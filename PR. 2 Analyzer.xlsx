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drawings/drawing1.xml" ContentType="application/vnd.openxmlformats-officedocument.drawing+xml"/>
  <Override PartName="/xl/drawings/drawing2.xml" ContentType="application/vnd.openxmlformats-officedocument.drawing+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s/slicer1.xml" ContentType="application/vnd.ms-excel.slicer+xml"/>
  <Override PartName="/xl/slicers/slicer2.xml" ContentType="application/vnd.ms-excel.slicer+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190" windowHeight="6800" firstSheet="2" activeTab="4"/>
  </bookViews>
  <sheets>
    <sheet name="Project Instructions" sheetId="1" r:id="rId1"/>
    <sheet name="Sheet8" sheetId="10" r:id="rId2"/>
    <sheet name="Dataset" sheetId="2" r:id="rId3"/>
    <sheet name="Sheet1" sheetId="3" r:id="rId4"/>
    <sheet name="dashboard" sheetId="11" r:id="rId5"/>
  </sheets>
  <definedNames>
    <definedName name="customar_name">Dataset!$A$1:$K$201</definedName>
    <definedName name="Slicer_Month">#N/A</definedName>
    <definedName name="Slicer_Region">#N/A</definedName>
    <definedName name="Slicer_Product_Category">#N/A</definedName>
  </definedNames>
  <calcPr calcId="191029"/>
  <pivotCaches>
    <pivotCache cacheId="0" r:id="rId7"/>
  </pivotCaches>
  <extLst>
    <ext xmlns:x14="http://schemas.microsoft.com/office/spreadsheetml/2009/9/main" uri="{BBE1A952-AA13-448e-AADC-164F8A28A991}">
      <x14:slicerCaches>
        <x14:slicerCache r:id="rId10"/>
        <x14:slicerCache r:id="rId9"/>
        <x14:slicerCache r:id="rId8"/>
      </x14: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<sst xmlns="http://schemas.openxmlformats.org/spreadsheetml/2006/main" count="837" uniqueCount="88">
  <si>
    <t>PR. 2 Analyzer</t>
  </si>
  <si>
    <r>
      <rPr>
        <b/>
        <sz val="11"/>
        <color theme="1"/>
        <rFont val="Calibri"/>
        <charset val="134"/>
      </rPr>
      <t xml:space="preserve">Topics:
</t>
    </r>
    <r>
      <rPr>
        <sz val="11"/>
        <color theme="1"/>
        <rFont val="Calibri"/>
        <charset val="134"/>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charset val="134"/>
      </rPr>
      <t>Main Tasks:</t>
    </r>
    <r>
      <rPr>
        <sz val="11"/>
        <color rgb="FF38761D"/>
        <rFont val="Calibri"/>
        <charset val="134"/>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charset val="134"/>
      </rPr>
      <t xml:space="preserve">
</t>
    </r>
    <r>
      <rPr>
        <b/>
        <sz val="11"/>
        <color theme="1"/>
        <rFont val="Calibri"/>
        <charset val="134"/>
      </rPr>
      <t xml:space="preserve">Deliverable:
</t>
    </r>
    <r>
      <rPr>
        <sz val="11"/>
        <color theme="1"/>
        <rFont val="Calibri"/>
        <charset val="134"/>
      </rPr>
      <t>Complete the given worksheet by applying the required formulas in respective sheets.</t>
    </r>
  </si>
  <si>
    <t>Month</t>
  </si>
  <si>
    <t>Sum of Profit</t>
  </si>
  <si>
    <t>May</t>
  </si>
  <si>
    <t>Aug</t>
  </si>
  <si>
    <t>Dec</t>
  </si>
  <si>
    <t>Grand Total</t>
  </si>
  <si>
    <t>Region</t>
  </si>
  <si>
    <t>Central</t>
  </si>
  <si>
    <t>Sum of Sales</t>
  </si>
  <si>
    <t>Customer_ID</t>
  </si>
  <si>
    <t>Customer_Name</t>
  </si>
  <si>
    <t>Product_Category</t>
  </si>
  <si>
    <t>Sales</t>
  </si>
  <si>
    <t>Quantity</t>
  </si>
  <si>
    <t>Total Purchase</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</si>
  <si>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</si>
  <si>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</si>
  <si>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</si>
  <si>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</si>
  <si>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</si>
  <si>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</si>
  <si>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</si>
  <si>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</si>
  <si>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</si>
  <si>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</si>
  <si>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</si>
  <si>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</si>
  <si>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</si>
  <si>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</si>
  <si>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</si>
  <si>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</si>
  <si>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</si>
  <si>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</si>
  <si>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</si>
  <si>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</si>
  <si>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</si>
  <si>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</si>
  <si>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</si>
  <si>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</si>
  <si>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</si>
  <si>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</si>
  <si>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</si>
  <si>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</si>
  <si>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</si>
  <si>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</si>
  <si>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</si>
  <si>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</si>
  <si>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</si>
  <si>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</si>
  <si>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</si>
  <si>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</si>
  <si>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</si>
  <si>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</si>
  <si>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</si>
  <si>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</si>
  <si>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</si>
  <si>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</si>
  <si>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</si>
  <si>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</si>
  <si>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</si>
  <si>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</si>
  <si>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</si>
  <si>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</si>
  <si>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</si>
  <si>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</si>
  <si>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</si>
  <si>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</si>
  <si>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</si>
  <si>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</si>
  <si>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</si>
  <si>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</si>
  <si>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</si>
  <si>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</si>
  <si>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</si>
  <si>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</si>
  <si>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</si>
  <si>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</si>
  <si>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</si>
  <si>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</si>
  <si>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</si>
  <si>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</si>
  <si>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</si>
  <si>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</si>
  <si>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</si>
  <si>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Total sale</t>
  </si>
  <si>
    <t>Total profit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</si>
</sst>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yyyy\-mm\-dd"/>
  </numFmts>
  <fonts count="26">
    <font>
      <sz val="11"/>
      <color theme="1"/>
      <name val="Calibri"/>
      <charset val="134"/>
      <scheme val="minor"/>
    </font>
    <font>
      <sz val="11"/>
      <color rgb="FFFFFF00"/>
      <name val="Calibri"/>
      <charset val="134"/>
      <scheme val="minor"/>
    </font>
    <font>
      <b/>
      <sz val="11"/>
      <color theme="1"/>
      <name val="Calibri"/>
      <charset val="134"/>
      <scheme val="minor"/>
    </font>
    <font>
      <b/>
      <sz val="11"/>
      <color theme="1"/>
      <name val="Calibri"/>
      <charset val="134"/>
    </font>
    <font>
      <sz val="11"/>
      <color theme="1"/>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rgb="FF38761D"/>
      <name val="Calibri"/>
      <charset val="134"/>
    </font>
    <font>
      <sz val="11"/>
      <color rgb="FF38761D"/>
      <name val="Calibri"/>
      <charset val="134"/>
    </font>
  </fonts>
  <fills count="34">
    <fill>
      <patternFill patternType="none"/>
    </fill>
    <fill>
      <patternFill patternType="gray125"/>
    </fill>
    <fill>
      <patternFill patternType="solid">
        <fgColor rgb="FFFFF2CC"/>
        <bgColor rgb="FFFFF2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4" borderId="5" applyNumberFormat="0" applyAlignment="0" applyProtection="0">
      <alignment vertical="center"/>
    </xf>
    <xf numFmtId="0" fontId="14" fillId="5" borderId="6" applyNumberFormat="0" applyAlignment="0" applyProtection="0">
      <alignment vertical="center"/>
    </xf>
    <xf numFmtId="0" fontId="15" fillId="5" borderId="5" applyNumberFormat="0" applyAlignment="0" applyProtection="0">
      <alignment vertical="center"/>
    </xf>
    <xf numFmtId="0" fontId="16" fillId="6"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9">
    <xf numFmtId="0" fontId="0" fillId="0" borderId="0" xfId="0" applyFont="1" applyAlignment="1"/>
    <xf numFmtId="0" fontId="0" fillId="0" borderId="0" xfId="0" applyNumberFormat="1" applyFont="1" applyAlignment="1"/>
    <xf numFmtId="0" fontId="1" fillId="0" borderId="0" xfId="0" applyFont="1" applyAlignment="1"/>
    <xf numFmtId="0" fontId="2" fillId="0" borderId="0" xfId="0" applyFont="1" applyAlignment="1"/>
    <xf numFmtId="0" fontId="2" fillId="0" borderId="0" xfId="0" applyFont="1"/>
    <xf numFmtId="178" fontId="0" fillId="0" borderId="0" xfId="0" applyNumberFormat="1" applyFont="1" applyAlignment="1"/>
    <xf numFmtId="0" fontId="3" fillId="2" borderId="1" xfId="0" applyFont="1" applyFill="1" applyBorder="1" applyAlignment="1">
      <alignment horizontal="center"/>
    </xf>
    <xf numFmtId="0" fontId="4" fillId="0" borderId="0" xfId="0" applyFont="1"/>
    <xf numFmtId="0" fontId="4" fillId="0" borderId="1" xfId="0" applyFont="1" applyBorder="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microsoft.com/office/2007/relationships/slicerCache" Target="slicerCaches/slicerCache2.xml"/><Relationship Id="rId8" Type="http://schemas.microsoft.com/office/2007/relationships/slicerCache" Target="slicerCaches/slicerCache1.xml"/><Relationship Id="rId7" Type="http://schemas.openxmlformats.org/officeDocument/2006/relationships/pivotCacheDefinition" Target="pivotCache/pivotCacheDefinition1.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microsoft.com/office/2007/relationships/slicerCache" Target="slicerCaches/slicerCache3.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Analyzer.xlsx]Sheet8!PivotTable5</c:name>
    <c:fmtId val="0"/>
  </c:pivotSource>
  <c:chart>
    <c:title>
      <c:layout/>
      <c:overlay val="0"/>
      <c:spPr>
        <a:noFill/>
        <a:ln>
          <a:noFill/>
        </a:ln>
        <a:effectLst/>
      </c:spPr>
      <c:txPr>
        <a:bodyPr rot="0" spcFirstLastPara="0"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tx>
            <c:strRef>
              <c:f>Sheet8!$B$3</c:f>
              <c:strCache>
                <c:ptCount val="1"/>
                <c:pt idx="0">
                  <c:v>Total</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Sheet8!$A$4:$A$7</c:f>
              <c:strCache>
                <c:ptCount val="3"/>
                <c:pt idx="0">
                  <c:v>May</c:v>
                </c:pt>
                <c:pt idx="1">
                  <c:v>Aug</c:v>
                </c:pt>
                <c:pt idx="2">
                  <c:v>Dec</c:v>
                </c:pt>
              </c:strCache>
            </c:strRef>
          </c:cat>
          <c:val>
            <c:numRef>
              <c:f>Sheet8!$B$4:$B$7</c:f>
              <c:numCache>
                <c:formatCode>General</c:formatCode>
                <c:ptCount val="3"/>
                <c:pt idx="0">
                  <c:v>698.83</c:v>
                </c:pt>
                <c:pt idx="1">
                  <c:v>441.47</c:v>
                </c:pt>
                <c:pt idx="2">
                  <c:v>426.16</c:v>
                </c:pt>
              </c:numCache>
            </c:numRef>
          </c:val>
        </c:ser>
        <c:dLbls>
          <c:showLegendKey val="0"/>
          <c:showVal val="1"/>
          <c:showCatName val="0"/>
          <c:showSerName val="0"/>
          <c:showPercent val="1"/>
          <c:showBubbleSize val="1"/>
        </c:dLbls>
        <c:gapWidth val="219"/>
        <c:overlap val="-27"/>
        <c:axId val="652004838"/>
        <c:axId val="954708526"/>
      </c:barChart>
      <c:catAx>
        <c:axId val="65200483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954708526"/>
        <c:crosses val="autoZero"/>
        <c:auto val="1"/>
        <c:lblAlgn val="ctr"/>
        <c:lblOffset val="100"/>
        <c:noMultiLvlLbl val="0"/>
      </c:catAx>
      <c:valAx>
        <c:axId val="954708526"/>
        <c:scaling>
          <c:orientation val="minMax"/>
        </c:scaling>
        <c:delete val="0"/>
        <c:axPos val="l"/>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65200483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Analyzer.xlsx]Sheet8!PivotTable6</c:name>
    <c:fmtId val="0"/>
  </c:pivotSource>
  <c:chart>
    <c:title>
      <c:layout/>
      <c:overlay val="0"/>
      <c:spPr>
        <a:noFill/>
        <a:ln>
          <a:noFill/>
        </a:ln>
        <a:effectLst/>
      </c:spPr>
      <c:txPr>
        <a:bodyPr rot="0" spcFirstLastPara="0" vertOverflow="ellipsis" vert="horz" wrap="square" anchor="ctr" anchorCtr="1"/>
        <a:lstStyle/>
        <a:p>
          <a:pPr>
            <a:defRPr lang="en-US" sz="1400" b="1" i="0" u="none" strike="noStrike" kern="1200" baseline="0">
              <a:solidFill>
                <a:schemeClr val="tx1">
                  <a:lumMod val="75000"/>
                  <a:lumOff val="25000"/>
                </a:schemeClr>
              </a:solidFill>
              <a:latin typeface="+mn-lt"/>
              <a:ea typeface="+mn-ea"/>
              <a:cs typeface="+mn-cs"/>
            </a:defRPr>
          </a:pPr>
        </a:p>
      </c:txPr>
    </c:title>
    <c:autoTitleDeleted val="0"/>
    <c:plotArea>
      <c:layout/>
      <c:pieChart>
        <c:varyColors val="1"/>
        <c:ser>
          <c:idx val="0"/>
          <c:order val="0"/>
          <c:tx>
            <c:strRef>
              <c:f>Sheet8!$B$20</c:f>
              <c:strCache>
                <c:ptCount val="1"/>
                <c:pt idx="0">
                  <c:v>Total</c:v>
                </c:pt>
              </c:strCache>
            </c:strRef>
          </c:tx>
          <c:spPr/>
          <c:explosion val="0"/>
          <c:dPt>
            <c:idx val="0"/>
            <c:bubble3D val="0"/>
            <c:spPr>
              <a:gradFill>
                <a:gsLst>
                  <a:gs pos="0">
                    <a:schemeClr val="accent1">
                      <a:lumMod val="40000"/>
                      <a:lumOff val="60000"/>
                    </a:schemeClr>
                  </a:gs>
                  <a:gs pos="90000">
                    <a:schemeClr val="accent1"/>
                  </a:gs>
                </a:gsLst>
                <a:lin ang="5400000" scaled="0"/>
              </a:gradFill>
              <a:ln>
                <a:gradFill>
                  <a:gsLst>
                    <a:gs pos="0">
                      <a:schemeClr val="accent1"/>
                    </a:gs>
                    <a:gs pos="100000">
                      <a:schemeClr val="accent1">
                        <a:lumMod val="75000"/>
                      </a:schemeClr>
                    </a:gs>
                  </a:gsLst>
                  <a:lin ang="5400000" scaled="1"/>
                </a:gradFill>
              </a:ln>
              <a:effectLst/>
            </c:spPr>
          </c:dPt>
          <c:dLbls>
            <c:dLbl>
              <c:idx val="0"/>
              <c:layout/>
              <c:spPr>
                <a:noFill/>
                <a:ln>
                  <a:noFill/>
                </a:ln>
                <a:effectLst/>
              </c:spPr>
              <c:txPr>
                <a:bodyPr rot="0" spcFirstLastPara="0" vertOverflow="ellipsis" vert="horz" wrap="square" lIns="38100" tIns="19050" rIns="38100" bIns="19050" anchor="ctr" anchorCtr="1"/>
                <a:lstStyle/>
                <a:p>
                  <a:pPr>
                    <a:defRPr lang="en-US" sz="1000" b="1" i="0" u="none" strike="noStrike" kern="1200" spc="0" baseline="0">
                      <a:solidFill>
                        <a:schemeClr val="accent1"/>
                      </a:solidFill>
                      <a:latin typeface="+mn-lt"/>
                      <a:ea typeface="+mn-ea"/>
                      <a:cs typeface="+mn-cs"/>
                    </a:defRPr>
                  </a:pPr>
                </a:p>
              </c:txPr>
              <c:dLblPos val="outEnd"/>
              <c:showLegendKey val="0"/>
              <c:showVal val="0"/>
              <c:showCatName val="1"/>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000" b="1" i="0" u="none" strike="noStrike" kern="1200" spc="0" baseline="0">
                    <a:solidFill>
                      <a:schemeClr val="accent1"/>
                    </a:solidFill>
                    <a:latin typeface="+mn-lt"/>
                    <a:ea typeface="+mn-ea"/>
                    <a:cs typeface="+mn-cs"/>
                  </a:defRPr>
                </a:pPr>
              </a:p>
            </c:txPr>
            <c:dLblPos val="outEnd"/>
            <c:showLegendKey val="0"/>
            <c:showVal val="0"/>
            <c:showCatName val="1"/>
            <c:showSerName val="0"/>
            <c:showPercent val="0"/>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Sheet8!$A$21:$A$22</c:f>
              <c:strCache>
                <c:ptCount val="1"/>
                <c:pt idx="0">
                  <c:v>Central</c:v>
                </c:pt>
              </c:strCache>
            </c:strRef>
          </c:cat>
          <c:val>
            <c:numRef>
              <c:f>Sheet8!$B$21:$B$22</c:f>
              <c:numCache>
                <c:formatCode>General</c:formatCode>
                <c:ptCount val="1"/>
                <c:pt idx="0">
                  <c:v>1566.46</c:v>
                </c:pt>
              </c:numCache>
            </c:numRef>
          </c:val>
        </c:ser>
        <c:dLbls>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Analyzer.xlsx]Sheet8!PivotTable7</c:name>
    <c:fmtId val="0"/>
  </c:pivotSource>
  <c:chart>
    <c:title>
      <c:layout/>
      <c:overlay val="0"/>
      <c:spPr>
        <a:noFill/>
        <a:ln>
          <a:noFill/>
        </a:ln>
        <a:effectLst/>
      </c:spPr>
      <c:txPr>
        <a:bodyPr rot="0" spcFirstLastPara="0"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tx>
            <c:strRef>
              <c:f>Sheet8!$B$35</c:f>
              <c:strCache>
                <c:ptCount val="1"/>
                <c:pt idx="0">
                  <c:v>Total</c:v>
                </c:pt>
              </c:strCache>
            </c:strRef>
          </c:tx>
          <c:spPr>
            <a:solidFill>
              <a:schemeClr val="accent1"/>
            </a:solidFill>
            <a:ln>
              <a:noFill/>
            </a:ln>
            <a:effectLst/>
          </c:spPr>
          <c:invertIfNegative val="0"/>
          <c:dLbls>
            <c:delete val="1"/>
          </c:dLbls>
          <c:cat>
            <c:strRef>
              <c:f>Sheet8!$A$36:$A$39</c:f>
              <c:strCache>
                <c:ptCount val="3"/>
                <c:pt idx="0">
                  <c:v>May</c:v>
                </c:pt>
                <c:pt idx="1">
                  <c:v>Aug</c:v>
                </c:pt>
                <c:pt idx="2">
                  <c:v>Dec</c:v>
                </c:pt>
              </c:strCache>
            </c:strRef>
          </c:cat>
          <c:val>
            <c:numRef>
              <c:f>Sheet8!$B$36:$B$39</c:f>
              <c:numCache>
                <c:formatCode>General</c:formatCode>
                <c:ptCount val="3"/>
                <c:pt idx="0">
                  <c:v>698.83</c:v>
                </c:pt>
                <c:pt idx="1">
                  <c:v>441.47</c:v>
                </c:pt>
                <c:pt idx="2">
                  <c:v>426.16</c:v>
                </c:pt>
              </c:numCache>
            </c:numRef>
          </c:val>
        </c:ser>
        <c:dLbls>
          <c:showLegendKey val="0"/>
          <c:showVal val="0"/>
          <c:showCatName val="0"/>
          <c:showSerName val="0"/>
          <c:showPercent val="0"/>
          <c:showBubbleSize val="0"/>
        </c:dLbls>
        <c:gapWidth val="219"/>
        <c:overlap val="-27"/>
        <c:axId val="446013825"/>
        <c:axId val="273102567"/>
      </c:barChart>
      <c:catAx>
        <c:axId val="44601382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273102567"/>
        <c:crosses val="autoZero"/>
        <c:auto val="1"/>
        <c:lblAlgn val="ctr"/>
        <c:lblOffset val="100"/>
        <c:noMultiLvlLbl val="0"/>
      </c:catAx>
      <c:valAx>
        <c:axId val="273102567"/>
        <c:scaling>
          <c:orientation val="minMax"/>
        </c:scaling>
        <c:delete val="0"/>
        <c:axPos val="l"/>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44601382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Analyzer.xlsx]Sheet8!PivotTable8</c:name>
    <c:fmtId val="0"/>
  </c:pivotSource>
  <c:chart>
    <c:title>
      <c:layout/>
      <c:overlay val="0"/>
      <c:spPr>
        <a:noFill/>
        <a:ln>
          <a:noFill/>
        </a:ln>
        <a:effectLst/>
      </c:spPr>
      <c:txPr>
        <a:bodyPr rot="0" spcFirstLastPara="0"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tx>
            <c:strRef>
              <c:f>Sheet8!$B$51</c:f>
              <c:strCache>
                <c:ptCount val="1"/>
                <c:pt idx="0">
                  <c:v>Total</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Sheet8!$A$52:$A$55</c:f>
              <c:strCache>
                <c:ptCount val="3"/>
                <c:pt idx="0">
                  <c:v>May</c:v>
                </c:pt>
                <c:pt idx="1">
                  <c:v>Aug</c:v>
                </c:pt>
                <c:pt idx="2">
                  <c:v>Dec</c:v>
                </c:pt>
              </c:strCache>
            </c:strRef>
          </c:cat>
          <c:val>
            <c:numRef>
              <c:f>Sheet8!$B$52:$B$55</c:f>
              <c:numCache>
                <c:formatCode>General</c:formatCode>
                <c:ptCount val="3"/>
                <c:pt idx="0">
                  <c:v>2183.15</c:v>
                </c:pt>
                <c:pt idx="1">
                  <c:v>1261.34</c:v>
                </c:pt>
                <c:pt idx="2">
                  <c:v>1432.47</c:v>
                </c:pt>
              </c:numCache>
            </c:numRef>
          </c:val>
        </c:ser>
        <c:dLbls>
          <c:showLegendKey val="0"/>
          <c:showVal val="1"/>
          <c:showCatName val="0"/>
          <c:showSerName val="0"/>
          <c:showPercent val="1"/>
          <c:showBubbleSize val="1"/>
        </c:dLbls>
        <c:gapWidth val="219"/>
        <c:overlap val="-27"/>
        <c:axId val="230921211"/>
        <c:axId val="107626278"/>
      </c:barChart>
      <c:catAx>
        <c:axId val="2309212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07626278"/>
        <c:crosses val="autoZero"/>
        <c:auto val="1"/>
        <c:lblAlgn val="ctr"/>
        <c:lblOffset val="100"/>
        <c:noMultiLvlLbl val="0"/>
      </c:catAx>
      <c:valAx>
        <c:axId val="107626278"/>
        <c:scaling>
          <c:orientation val="minMax"/>
        </c:scaling>
        <c:delete val="0"/>
        <c:axPos val="l"/>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2309212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Analyzer.xlsx]Sheet8!PivotTable5</c:name>
    <c:fmtId val="2"/>
  </c:pivotSource>
  <c:chart>
    <c:title>
      <c:layout/>
      <c:overlay val="0"/>
      <c:spPr>
        <a:noFill/>
        <a:ln>
          <a:noFill/>
        </a:ln>
        <a:effectLst/>
      </c:spPr>
      <c:txPr>
        <a:bodyPr rot="0" spcFirstLastPara="0"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tx>
            <c:strRef>
              <c:f>Sheet8!$B$3</c:f>
              <c:strCache>
                <c:ptCount val="1"/>
                <c:pt idx="0">
                  <c:v>Total</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Sheet8!$A$4:$A$7</c:f>
              <c:strCache>
                <c:ptCount val="3"/>
                <c:pt idx="0">
                  <c:v>May</c:v>
                </c:pt>
                <c:pt idx="1">
                  <c:v>Aug</c:v>
                </c:pt>
                <c:pt idx="2">
                  <c:v>Dec</c:v>
                </c:pt>
              </c:strCache>
            </c:strRef>
          </c:cat>
          <c:val>
            <c:numRef>
              <c:f>Sheet8!$B$4:$B$7</c:f>
              <c:numCache>
                <c:formatCode>General</c:formatCode>
                <c:ptCount val="3"/>
                <c:pt idx="0">
                  <c:v>698.83</c:v>
                </c:pt>
                <c:pt idx="1">
                  <c:v>441.47</c:v>
                </c:pt>
                <c:pt idx="2">
                  <c:v>426.16</c:v>
                </c:pt>
              </c:numCache>
            </c:numRef>
          </c:val>
        </c:ser>
        <c:dLbls>
          <c:showLegendKey val="0"/>
          <c:showVal val="1"/>
          <c:showCatName val="0"/>
          <c:showSerName val="0"/>
          <c:showPercent val="1"/>
          <c:showBubbleSize val="1"/>
        </c:dLbls>
        <c:gapWidth val="219"/>
        <c:overlap val="-27"/>
        <c:axId val="652004838"/>
        <c:axId val="954708526"/>
      </c:barChart>
      <c:catAx>
        <c:axId val="65200483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954708526"/>
        <c:crosses val="autoZero"/>
        <c:auto val="1"/>
        <c:lblAlgn val="ctr"/>
        <c:lblOffset val="100"/>
        <c:noMultiLvlLbl val="0"/>
      </c:catAx>
      <c:valAx>
        <c:axId val="954708526"/>
        <c:scaling>
          <c:orientation val="minMax"/>
        </c:scaling>
        <c:delete val="0"/>
        <c:axPos val="l"/>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652004838"/>
        <c:crosses val="autoZero"/>
        <c:crossBetween val="between"/>
      </c:valAx>
      <c:spPr>
        <a:noFill/>
        <a:ln>
          <a:noFill/>
        </a:ln>
        <a:effectLst/>
      </c:spPr>
    </c:plotArea>
    <c:plotVisOnly val="1"/>
    <c:dispBlanksAs val="gap"/>
    <c:showDLblsOverMax val="0"/>
    <c:extLst>
      <c:ext uri="{0b15fc19-7d7d-44ad-8c2d-2c3a37ce22c3}">
        <chartProps xmlns="https://web.wps.cn/et/2018/main" chartId="{afcad47c-c932-4c01-a196-95907859fa81}"/>
      </c:ext>
    </c:extLst>
  </c:chart>
  <c:spPr>
    <a:solidFill>
      <a:schemeClr val="bg1"/>
    </a:solidFill>
    <a:ln w="9525" cap="flat" cmpd="sng" algn="ctr">
      <a:solidFill>
        <a:schemeClr val="tx1">
          <a:lumMod val="15000"/>
          <a:lumOff val="85000"/>
        </a:schemeClr>
      </a:solid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Analyzer.xlsx]Sheet8!PivotTable6</c:name>
    <c:fmtId val="2"/>
  </c:pivotSource>
  <c:chart>
    <c:title>
      <c:layout/>
      <c:overlay val="0"/>
      <c:spPr>
        <a:noFill/>
        <a:ln>
          <a:noFill/>
        </a:ln>
        <a:effectLst/>
      </c:spPr>
      <c:txPr>
        <a:bodyPr rot="0" spcFirstLastPara="0" vertOverflow="ellipsis" vert="horz" wrap="square" anchor="ctr" anchorCtr="1"/>
        <a:lstStyle/>
        <a:p>
          <a:pPr>
            <a:defRPr lang="en-US" sz="1400" b="1" i="0" u="none" strike="noStrike" kern="1200" baseline="0">
              <a:solidFill>
                <a:schemeClr val="tx1">
                  <a:lumMod val="75000"/>
                  <a:lumOff val="25000"/>
                </a:schemeClr>
              </a:solidFill>
              <a:latin typeface="+mn-lt"/>
              <a:ea typeface="+mn-ea"/>
              <a:cs typeface="+mn-cs"/>
            </a:defRPr>
          </a:pPr>
        </a:p>
      </c:txPr>
    </c:title>
    <c:autoTitleDeleted val="0"/>
    <c:plotArea>
      <c:layout/>
      <c:pieChart>
        <c:varyColors val="1"/>
        <c:ser>
          <c:idx val="0"/>
          <c:order val="0"/>
          <c:tx>
            <c:strRef>
              <c:f>Sheet8!$B$20</c:f>
              <c:strCache>
                <c:ptCount val="1"/>
                <c:pt idx="0">
                  <c:v>Total</c:v>
                </c:pt>
              </c:strCache>
            </c:strRef>
          </c:tx>
          <c:spPr/>
          <c:explosion val="0"/>
          <c:dPt>
            <c:idx val="0"/>
            <c:bubble3D val="0"/>
            <c:spPr>
              <a:gradFill>
                <a:gsLst>
                  <a:gs pos="0">
                    <a:schemeClr val="accent1">
                      <a:lumMod val="40000"/>
                      <a:lumOff val="60000"/>
                    </a:schemeClr>
                  </a:gs>
                  <a:gs pos="90000">
                    <a:schemeClr val="accent1"/>
                  </a:gs>
                </a:gsLst>
                <a:lin ang="5400000" scaled="0"/>
              </a:gradFill>
              <a:ln>
                <a:gradFill>
                  <a:gsLst>
                    <a:gs pos="0">
                      <a:schemeClr val="accent1"/>
                    </a:gs>
                    <a:gs pos="100000">
                      <a:schemeClr val="accent1">
                        <a:lumMod val="75000"/>
                      </a:schemeClr>
                    </a:gs>
                  </a:gsLst>
                  <a:lin ang="5400000" scaled="1"/>
                </a:gra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en-US" sz="1000" b="1" i="0" u="none" strike="noStrike" kern="1200" spc="0" baseline="0">
                      <a:solidFill>
                        <a:schemeClr val="accent1"/>
                      </a:solidFill>
                      <a:latin typeface="+mn-lt"/>
                      <a:ea typeface="+mn-ea"/>
                      <a:cs typeface="+mn-cs"/>
                    </a:defRPr>
                  </a:pPr>
                </a:p>
              </c:txPr>
              <c:dLblPos val="outEnd"/>
              <c:showLegendKey val="0"/>
              <c:showVal val="0"/>
              <c:showCatName val="1"/>
              <c:showSerName val="0"/>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en-US" sz="1000" b="1" i="0" u="none" strike="noStrike" kern="1200" spc="0" baseline="0">
                    <a:solidFill>
                      <a:schemeClr val="accent1"/>
                    </a:solidFill>
                    <a:latin typeface="+mn-lt"/>
                    <a:ea typeface="+mn-ea"/>
                    <a:cs typeface="+mn-cs"/>
                  </a:defRPr>
                </a:pPr>
              </a:p>
            </c:txPr>
            <c:dLblPos val="outEnd"/>
            <c:showLegendKey val="0"/>
            <c:showVal val="0"/>
            <c:showCatName val="1"/>
            <c:showSerName val="0"/>
            <c:showPercent val="0"/>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Sheet8!$A$21:$A$22</c:f>
              <c:strCache>
                <c:ptCount val="1"/>
                <c:pt idx="0">
                  <c:v>Central</c:v>
                </c:pt>
              </c:strCache>
            </c:strRef>
          </c:cat>
          <c:val>
            <c:numRef>
              <c:f>Sheet8!$B$21:$B$22</c:f>
              <c:numCache>
                <c:formatCode>General</c:formatCode>
                <c:ptCount val="1"/>
                <c:pt idx="0">
                  <c:v>1566.46</c:v>
                </c:pt>
              </c:numCache>
            </c:numRef>
          </c:val>
        </c:ser>
        <c:dLbls>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uri="{0b15fc19-7d7d-44ad-8c2d-2c3a37ce22c3}">
        <chartProps xmlns="https://web.wps.cn/et/2018/main" chartId="{14377cd9-6cc0-44d7-b5c5-6bc23212e83a}"/>
      </c:ext>
    </c:extLst>
  </c:chart>
  <c:spPr>
    <a:solidFill>
      <a:schemeClr val="bg1"/>
    </a:solidFill>
    <a:ln w="9525" cap="flat" cmpd="sng" algn="ctr">
      <a:solidFill>
        <a:schemeClr val="tx1">
          <a:lumMod val="15000"/>
          <a:lumOff val="85000"/>
        </a:schemeClr>
      </a:solid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Analyzer.xlsx]Sheet8!PivotTable7</c:name>
    <c:fmtId val="2"/>
  </c:pivotSource>
  <c:chart>
    <c:title>
      <c:layout/>
      <c:overlay val="0"/>
      <c:spPr>
        <a:noFill/>
        <a:ln>
          <a:noFill/>
        </a:ln>
        <a:effectLst/>
      </c:spPr>
      <c:txPr>
        <a:bodyPr rot="0" spcFirstLastPara="0"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tx>
            <c:strRef>
              <c:f>Sheet8!$B$35</c:f>
              <c:strCache>
                <c:ptCount val="1"/>
                <c:pt idx="0">
                  <c:v>Total</c:v>
                </c:pt>
              </c:strCache>
            </c:strRef>
          </c:tx>
          <c:spPr>
            <a:solidFill>
              <a:schemeClr val="accent1"/>
            </a:solidFill>
            <a:ln>
              <a:noFill/>
            </a:ln>
            <a:effectLst/>
          </c:spPr>
          <c:invertIfNegative val="0"/>
          <c:dLbls>
            <c:numFmt formatCode="General" sourceLinked="1"/>
            <c:spPr>
              <a:noFill/>
              <a:ln>
                <a:noFill/>
              </a:ln>
              <a:effectLst/>
            </c:spPr>
            <c:txPr>
              <a:bodyPr rot="0" spcFirstLastPara="0" vertOverflow="ellipsis" vert="horz" wrap="square" lIns="38100" tIns="19050" rIns="38100" bIns="19050" anchor="ctr" anchorCtr="1"/>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Sheet8!$A$36:$A$39</c:f>
              <c:strCache>
                <c:ptCount val="3"/>
                <c:pt idx="0">
                  <c:v>May</c:v>
                </c:pt>
                <c:pt idx="1">
                  <c:v>Aug</c:v>
                </c:pt>
                <c:pt idx="2">
                  <c:v>Dec</c:v>
                </c:pt>
              </c:strCache>
            </c:strRef>
          </c:cat>
          <c:val>
            <c:numRef>
              <c:f>Sheet8!$B$36:$B$39</c:f>
              <c:numCache>
                <c:formatCode>General</c:formatCode>
                <c:ptCount val="3"/>
                <c:pt idx="0">
                  <c:v>698.83</c:v>
                </c:pt>
                <c:pt idx="1">
                  <c:v>441.47</c:v>
                </c:pt>
                <c:pt idx="2">
                  <c:v>426.16</c:v>
                </c:pt>
              </c:numCache>
            </c:numRef>
          </c:val>
        </c:ser>
        <c:dLbls>
          <c:showLegendKey val="0"/>
          <c:showVal val="1"/>
          <c:showCatName val="0"/>
          <c:showSerName val="0"/>
          <c:showPercent val="1"/>
          <c:showBubbleSize val="1"/>
        </c:dLbls>
        <c:gapWidth val="219"/>
        <c:overlap val="-27"/>
        <c:axId val="446013825"/>
        <c:axId val="273102567"/>
      </c:barChart>
      <c:catAx>
        <c:axId val="44601382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273102567"/>
        <c:crosses val="autoZero"/>
        <c:auto val="1"/>
        <c:lblAlgn val="ctr"/>
        <c:lblOffset val="100"/>
        <c:noMultiLvlLbl val="0"/>
      </c:catAx>
      <c:valAx>
        <c:axId val="273102567"/>
        <c:scaling>
          <c:orientation val="minMax"/>
        </c:scaling>
        <c:delete val="0"/>
        <c:axPos val="l"/>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446013825"/>
        <c:crosses val="autoZero"/>
        <c:crossBetween val="between"/>
      </c:valAx>
      <c:spPr>
        <a:noFill/>
        <a:ln>
          <a:noFill/>
        </a:ln>
        <a:effectLst/>
      </c:spPr>
    </c:plotArea>
    <c:plotVisOnly val="1"/>
    <c:dispBlanksAs val="gap"/>
    <c:showDLblsOverMax val="0"/>
    <c:extLst>
      <c:ext uri="{0b15fc19-7d7d-44ad-8c2d-2c3a37ce22c3}">
        <chartProps xmlns="https://web.wps.cn/et/2018/main" chartId="{399a1da6-bd6d-4c36-a907-9138b0075a6c}"/>
      </c:ext>
    </c:extLst>
  </c:chart>
  <c:spPr>
    <a:solidFill>
      <a:schemeClr val="bg1"/>
    </a:solidFill>
    <a:ln w="9525" cap="flat" cmpd="sng" algn="ctr">
      <a:solidFill>
        <a:schemeClr val="tx1">
          <a:lumMod val="15000"/>
          <a:lumOff val="85000"/>
        </a:schemeClr>
      </a:solid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Analyzer.xlsx]Sheet8!PivotTable8</c:name>
    <c:fmtId val="2"/>
  </c:pivotSource>
  <c:chart>
    <c:title>
      <c:layout/>
      <c:overlay val="0"/>
      <c:spPr>
        <a:noFill/>
        <a:ln>
          <a:noFill/>
        </a:ln>
        <a:effectLst/>
      </c:spPr>
      <c:txPr>
        <a:bodyPr rot="0" spcFirstLastPara="0"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tx>
            <c:strRef>
              <c:f>Sheet8!$B$51</c:f>
              <c:strCache>
                <c:ptCount val="1"/>
                <c:pt idx="0">
                  <c:v>Total</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Sheet8!$A$52:$A$55</c:f>
              <c:strCache>
                <c:ptCount val="3"/>
                <c:pt idx="0">
                  <c:v>May</c:v>
                </c:pt>
                <c:pt idx="1">
                  <c:v>Aug</c:v>
                </c:pt>
                <c:pt idx="2">
                  <c:v>Dec</c:v>
                </c:pt>
              </c:strCache>
            </c:strRef>
          </c:cat>
          <c:val>
            <c:numRef>
              <c:f>Sheet8!$B$52:$B$55</c:f>
              <c:numCache>
                <c:formatCode>General</c:formatCode>
                <c:ptCount val="3"/>
                <c:pt idx="0">
                  <c:v>2183.15</c:v>
                </c:pt>
                <c:pt idx="1">
                  <c:v>1261.34</c:v>
                </c:pt>
                <c:pt idx="2">
                  <c:v>1432.47</c:v>
                </c:pt>
              </c:numCache>
            </c:numRef>
          </c:val>
        </c:ser>
        <c:dLbls>
          <c:showLegendKey val="0"/>
          <c:showVal val="1"/>
          <c:showCatName val="0"/>
          <c:showSerName val="0"/>
          <c:showPercent val="1"/>
          <c:showBubbleSize val="1"/>
        </c:dLbls>
        <c:gapWidth val="219"/>
        <c:overlap val="-27"/>
        <c:axId val="230921211"/>
        <c:axId val="107626278"/>
      </c:barChart>
      <c:catAx>
        <c:axId val="2309212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07626278"/>
        <c:crosses val="autoZero"/>
        <c:auto val="1"/>
        <c:lblAlgn val="ctr"/>
        <c:lblOffset val="100"/>
        <c:noMultiLvlLbl val="0"/>
      </c:catAx>
      <c:valAx>
        <c:axId val="107626278"/>
        <c:scaling>
          <c:orientation val="minMax"/>
        </c:scaling>
        <c:delete val="0"/>
        <c:axPos val="l"/>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230921211"/>
        <c:crosses val="autoZero"/>
        <c:crossBetween val="between"/>
      </c:valAx>
      <c:spPr>
        <a:noFill/>
        <a:ln>
          <a:noFill/>
        </a:ln>
        <a:effectLst/>
      </c:spPr>
    </c:plotArea>
    <c:plotVisOnly val="1"/>
    <c:dispBlanksAs val="gap"/>
    <c:showDLblsOverMax val="0"/>
    <c:extLst>
      <c:ext uri="{0b15fc19-7d7d-44ad-8c2d-2c3a37ce22c3}">
        <chartProps xmlns="https://web.wps.cn/et/2018/main" chartId="{e5911d9a-5444-416d-b324-41a2b8b2007b}"/>
      </c:ext>
    </c:extLst>
  </c:chart>
  <c:spPr>
    <a:solidFill>
      <a:schemeClr val="bg1"/>
    </a:solidFill>
    <a:ln w="9525" cap="flat" cmpd="sng" algn="ctr">
      <a:solidFill>
        <a:schemeClr val="tx1">
          <a:lumMod val="15000"/>
          <a:lumOff val="85000"/>
        </a:schemeClr>
      </a:solid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8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cs:fontRef>
    <cs:defRPr sz="1000" b="1" i="0" u="none" strike="noStrike" kern="1200" spc="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lumMod val="40000"/>
              <a:lumOff val="60000"/>
            </a:schemeClr>
          </a:gs>
          <a:gs pos="90000">
            <a:schemeClr val="phClr"/>
          </a:gs>
        </a:gsLst>
        <a:lin ang="5400000" scaled="0"/>
      </a:gradFill>
      <a:ln>
        <a:gradFill>
          <a:gsLst>
            <a:gs pos="0">
              <a:schemeClr val="phClr"/>
            </a:gs>
            <a:gs pos="100000">
              <a:schemeClr val="phClr">
                <a:lumMod val="75000"/>
              </a:schemeClr>
            </a:gs>
          </a:gsLst>
          <a:lin ang="5400000" scaled="1"/>
        </a:gra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8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cs:fontRef>
    <cs:defRPr sz="1000" b="1" i="0" u="none" strike="noStrike" kern="1200" spc="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lumMod val="40000"/>
              <a:lumOff val="60000"/>
            </a:schemeClr>
          </a:gs>
          <a:gs pos="90000">
            <a:schemeClr val="phClr"/>
          </a:gs>
        </a:gsLst>
        <a:lin ang="5400000" scaled="0"/>
      </a:gradFill>
      <a:ln>
        <a:gradFill>
          <a:gsLst>
            <a:gs pos="0">
              <a:schemeClr val="phClr"/>
            </a:gs>
            <a:gs pos="100000">
              <a:schemeClr val="phClr">
                <a:lumMod val="75000"/>
              </a:schemeClr>
            </a:gs>
          </a:gsLst>
          <a:lin ang="5400000" scaled="1"/>
        </a:gra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4" Type="http://schemas.openxmlformats.org/officeDocument/2006/relationships/chart" Target="../charts/chart8.xml"/><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177800</xdr:colOff>
      <xdr:row>3</xdr:row>
      <xdr:rowOff>6350</xdr:rowOff>
    </xdr:from>
    <xdr:to>
      <xdr:col>10</xdr:col>
      <xdr:colOff>127000</xdr:colOff>
      <xdr:row>17</xdr:row>
      <xdr:rowOff>171450</xdr:rowOff>
    </xdr:to>
    <xdr:graphicFrame>
      <xdr:nvGraphicFramePr>
        <xdr:cNvPr id="2" name="Chart 1"/>
        <xdr:cNvGraphicFramePr/>
      </xdr:nvGraphicFramePr>
      <xdr:xfrm>
        <a:off x="1892300" y="558800"/>
        <a:ext cx="51181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596900</xdr:colOff>
      <xdr:row>2</xdr:row>
      <xdr:rowOff>152400</xdr:rowOff>
    </xdr:from>
    <xdr:to>
      <xdr:col>13</xdr:col>
      <xdr:colOff>596900</xdr:colOff>
      <xdr:row>8</xdr:row>
      <xdr:rowOff>38100</xdr:rowOff>
    </xdr:to>
    <mc:AlternateContent xmlns:mc="http://schemas.openxmlformats.org/markup-compatibility/2006">
      <mc:Choice xmlns:a14="http://schemas.microsoft.com/office/drawing/2010/main" Requires="a14">
        <xdr:graphicFrame>
          <xdr:nvGraphicFramePr>
            <xdr:cNvPr id="3"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7480300" y="520700"/>
              <a:ext cx="1828800" cy="9906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2</xdr:col>
      <xdr:colOff>203200</xdr:colOff>
      <xdr:row>18</xdr:row>
      <xdr:rowOff>25400</xdr:rowOff>
    </xdr:from>
    <xdr:to>
      <xdr:col>9</xdr:col>
      <xdr:colOff>469900</xdr:colOff>
      <xdr:row>33</xdr:row>
      <xdr:rowOff>6350</xdr:rowOff>
    </xdr:to>
    <xdr:graphicFrame>
      <xdr:nvGraphicFramePr>
        <xdr:cNvPr id="4" name="Chart 3"/>
        <xdr:cNvGraphicFramePr/>
      </xdr:nvGraphicFramePr>
      <xdr:xfrm>
        <a:off x="1917700" y="3340100"/>
        <a:ext cx="4826000" cy="2743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400050</xdr:colOff>
      <xdr:row>20</xdr:row>
      <xdr:rowOff>152400</xdr:rowOff>
    </xdr:from>
    <xdr:to>
      <xdr:col>13</xdr:col>
      <xdr:colOff>400050</xdr:colOff>
      <xdr:row>30</xdr:row>
      <xdr:rowOff>88900</xdr:rowOff>
    </xdr:to>
    <mc:AlternateContent xmlns:mc="http://schemas.openxmlformats.org/markup-compatibility/2006">
      <mc:Choice xmlns:a14="http://schemas.microsoft.com/office/drawing/2010/main" Requires="a14">
        <xdr:graphicFrame>
          <xdr:nvGraphicFramePr>
            <xdr:cNvPr id="5"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283450" y="3835400"/>
              <a:ext cx="1828800" cy="17780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2</xdr:col>
      <xdr:colOff>209550</xdr:colOff>
      <xdr:row>33</xdr:row>
      <xdr:rowOff>152400</xdr:rowOff>
    </xdr:from>
    <xdr:to>
      <xdr:col>9</xdr:col>
      <xdr:colOff>476250</xdr:colOff>
      <xdr:row>48</xdr:row>
      <xdr:rowOff>133350</xdr:rowOff>
    </xdr:to>
    <xdr:graphicFrame>
      <xdr:nvGraphicFramePr>
        <xdr:cNvPr id="6" name="Chart 5"/>
        <xdr:cNvGraphicFramePr/>
      </xdr:nvGraphicFramePr>
      <xdr:xfrm>
        <a:off x="1924050" y="6229350"/>
        <a:ext cx="4826000" cy="2743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76200</xdr:colOff>
      <xdr:row>35</xdr:row>
      <xdr:rowOff>50800</xdr:rowOff>
    </xdr:from>
    <xdr:to>
      <xdr:col>13</xdr:col>
      <xdr:colOff>76200</xdr:colOff>
      <xdr:row>48</xdr:row>
      <xdr:rowOff>31750</xdr:rowOff>
    </xdr:to>
    <mc:AlternateContent xmlns:mc="http://schemas.openxmlformats.org/markup-compatibility/2006">
      <mc:Choice xmlns:a14="http://schemas.microsoft.com/office/drawing/2010/main" Requires="a14">
        <xdr:graphicFrame>
          <xdr:nvGraphicFramePr>
            <xdr:cNvPr id="7" name="Product_Category"/>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6959600" y="6496050"/>
              <a:ext cx="1828800" cy="23749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2</xdr:col>
      <xdr:colOff>222250</xdr:colOff>
      <xdr:row>48</xdr:row>
      <xdr:rowOff>25400</xdr:rowOff>
    </xdr:from>
    <xdr:to>
      <xdr:col>9</xdr:col>
      <xdr:colOff>488950</xdr:colOff>
      <xdr:row>63</xdr:row>
      <xdr:rowOff>6350</xdr:rowOff>
    </xdr:to>
    <xdr:graphicFrame>
      <xdr:nvGraphicFramePr>
        <xdr:cNvPr id="8" name="Chart 7"/>
        <xdr:cNvGraphicFramePr/>
      </xdr:nvGraphicFramePr>
      <xdr:xfrm>
        <a:off x="1936750" y="8864600"/>
        <a:ext cx="4826000" cy="27432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3</xdr:col>
      <xdr:colOff>105410</xdr:colOff>
      <xdr:row>7</xdr:row>
      <xdr:rowOff>41910</xdr:rowOff>
    </xdr:from>
    <xdr:to>
      <xdr:col>14</xdr:col>
      <xdr:colOff>24130</xdr:colOff>
      <xdr:row>22</xdr:row>
      <xdr:rowOff>100330</xdr:rowOff>
    </xdr:to>
    <xdr:graphicFrame>
      <xdr:nvGraphicFramePr>
        <xdr:cNvPr id="2" name="Chart 1"/>
        <xdr:cNvGraphicFramePr/>
      </xdr:nvGraphicFramePr>
      <xdr:xfrm>
        <a:off x="1934210" y="1330960"/>
        <a:ext cx="6624320" cy="282067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51435</xdr:colOff>
      <xdr:row>7</xdr:row>
      <xdr:rowOff>87630</xdr:rowOff>
    </xdr:from>
    <xdr:to>
      <xdr:col>21</xdr:col>
      <xdr:colOff>610235</xdr:colOff>
      <xdr:row>22</xdr:row>
      <xdr:rowOff>68580</xdr:rowOff>
    </xdr:to>
    <xdr:graphicFrame>
      <xdr:nvGraphicFramePr>
        <xdr:cNvPr id="4" name="Chart 3"/>
        <xdr:cNvGraphicFramePr/>
      </xdr:nvGraphicFramePr>
      <xdr:xfrm>
        <a:off x="8585835" y="1376680"/>
        <a:ext cx="4825365" cy="2743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63500</xdr:colOff>
      <xdr:row>2</xdr:row>
      <xdr:rowOff>120650</xdr:rowOff>
    </xdr:from>
    <xdr:to>
      <xdr:col>22</xdr:col>
      <xdr:colOff>22225</xdr:colOff>
      <xdr:row>7</xdr:row>
      <xdr:rowOff>22225</xdr:rowOff>
    </xdr:to>
    <mc:AlternateContent xmlns:mc="http://schemas.openxmlformats.org/markup-compatibility/2006">
      <mc:Choice xmlns:a14="http://schemas.microsoft.com/office/drawing/2010/main" Requires="a14">
        <xdr:graphicFrame>
          <xdr:nvGraphicFramePr>
            <xdr:cNvPr id="6" name="Month 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892300" y="488950"/>
              <a:ext cx="11541125" cy="8223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3</xdr:col>
      <xdr:colOff>90170</xdr:colOff>
      <xdr:row>22</xdr:row>
      <xdr:rowOff>144145</xdr:rowOff>
    </xdr:from>
    <xdr:to>
      <xdr:col>14</xdr:col>
      <xdr:colOff>48895</xdr:colOff>
      <xdr:row>38</xdr:row>
      <xdr:rowOff>38100</xdr:rowOff>
    </xdr:to>
    <xdr:graphicFrame>
      <xdr:nvGraphicFramePr>
        <xdr:cNvPr id="7" name="Chart 6"/>
        <xdr:cNvGraphicFramePr/>
      </xdr:nvGraphicFramePr>
      <xdr:xfrm>
        <a:off x="1918970" y="4195445"/>
        <a:ext cx="6664325" cy="284035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55880</xdr:colOff>
      <xdr:row>2</xdr:row>
      <xdr:rowOff>107315</xdr:rowOff>
    </xdr:from>
    <xdr:to>
      <xdr:col>3</xdr:col>
      <xdr:colOff>55245</xdr:colOff>
      <xdr:row>12</xdr:row>
      <xdr:rowOff>127000</xdr:rowOff>
    </xdr:to>
    <mc:AlternateContent xmlns:mc="http://schemas.openxmlformats.org/markup-compatibility/2006">
      <mc:Choice xmlns:a14="http://schemas.microsoft.com/office/drawing/2010/main" Requires="a14">
        <xdr:graphicFrame>
          <xdr:nvGraphicFramePr>
            <xdr:cNvPr id="8" name="Region 2"/>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55880" y="475615"/>
              <a:ext cx="1828165" cy="186118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oneCell">
    <xdr:from>
      <xdr:col>0</xdr:col>
      <xdr:colOff>64135</xdr:colOff>
      <xdr:row>12</xdr:row>
      <xdr:rowOff>153670</xdr:rowOff>
    </xdr:from>
    <xdr:to>
      <xdr:col>3</xdr:col>
      <xdr:colOff>63500</xdr:colOff>
      <xdr:row>22</xdr:row>
      <xdr:rowOff>45085</xdr:rowOff>
    </xdr:to>
    <mc:AlternateContent xmlns:mc="http://schemas.openxmlformats.org/markup-compatibility/2006">
      <mc:Choice xmlns:a14="http://schemas.microsoft.com/office/drawing/2010/main" Requires="a14">
        <xdr:graphicFrame>
          <xdr:nvGraphicFramePr>
            <xdr:cNvPr id="9" name="Product_Category 3"/>
            <xdr:cNvGraphicFramePr/>
          </xdr:nvGraphicFramePr>
          <xdr:xfrm>
            <a:off x="0" y="0"/>
            <a:ext cx="0" cy="0"/>
          </xdr:xfrm>
          <a:graphic>
            <a:graphicData uri="http://schemas.microsoft.com/office/drawing/2010/slicer">
              <sle:slicer xmlns:sle="http://schemas.microsoft.com/office/drawing/2010/slicer" name="Product_Category 3"/>
            </a:graphicData>
          </a:graphic>
        </xdr:graphicFrame>
      </mc:Choice>
      <mc:Fallback xmlns="">
        <xdr:sp macro="" textlink="">
          <xdr:nvSpPr>
            <xdr:cNvPr id="0" name=""/>
            <xdr:cNvSpPr>
              <a:spLocks noTextEdit="1"/>
            </xdr:cNvSpPr>
          </xdr:nvSpPr>
          <xdr:spPr>
            <a:xfrm>
              <a:off x="64135" y="2363470"/>
              <a:ext cx="1828165" cy="173291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14</xdr:col>
      <xdr:colOff>78740</xdr:colOff>
      <xdr:row>22</xdr:row>
      <xdr:rowOff>100330</xdr:rowOff>
    </xdr:from>
    <xdr:to>
      <xdr:col>22</xdr:col>
      <xdr:colOff>27940</xdr:colOff>
      <xdr:row>38</xdr:row>
      <xdr:rowOff>7620</xdr:rowOff>
    </xdr:to>
    <xdr:graphicFrame>
      <xdr:nvGraphicFramePr>
        <xdr:cNvPr id="10" name="Chart 9"/>
        <xdr:cNvGraphicFramePr/>
      </xdr:nvGraphicFramePr>
      <xdr:xfrm>
        <a:off x="8613140" y="4151630"/>
        <a:ext cx="4826000" cy="285369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141605</xdr:colOff>
      <xdr:row>22</xdr:row>
      <xdr:rowOff>120650</xdr:rowOff>
    </xdr:from>
    <xdr:to>
      <xdr:col>3</xdr:col>
      <xdr:colOff>4445</xdr:colOff>
      <xdr:row>28</xdr:row>
      <xdr:rowOff>168275</xdr:rowOff>
    </xdr:to>
    <xdr:sp>
      <xdr:nvSpPr>
        <xdr:cNvPr id="12" name="Rounded Rectangle 11"/>
        <xdr:cNvSpPr/>
      </xdr:nvSpPr>
      <xdr:spPr>
        <a:xfrm>
          <a:off x="141605" y="4171950"/>
          <a:ext cx="1691640" cy="1152525"/>
        </a:xfrm>
        <a:prstGeom prst="roundRect">
          <a:avLst/>
        </a:prstGeom>
        <a:solidFill>
          <a:schemeClr val="accent1"/>
        </a:solidFill>
      </xdr:spPr>
      <xdr:style>
        <a:lnRef idx="2">
          <a:schemeClr val="lt1"/>
        </a:lnRef>
        <a:fillRef idx="1">
          <a:schemeClr val="accent1"/>
        </a:fillRef>
        <a:effectRef idx="1">
          <a:schemeClr val="accent1"/>
        </a:effectRef>
        <a:fontRef idx="minor">
          <a:schemeClr val="lt1"/>
        </a:fontRef>
      </xdr:style>
      <xdr:txBody>
        <a:bodyPr vertOverflow="clip" horzOverflow="clip" wrap="square" rtlCol="0" anchor="ctr" anchorCtr="0"/>
        <a:p>
          <a:pPr algn="ctr"/>
          <a:r>
            <a:rPr lang="en-US" sz="1100">
              <a:solidFill>
                <a:srgbClr val="FFFF00"/>
              </a:solidFill>
            </a:rPr>
            <a:t>Total Sale</a:t>
          </a:r>
          <a:endParaRPr lang="en-US" sz="1100">
            <a:solidFill>
              <a:srgbClr val="FFFF00"/>
            </a:solidFill>
          </a:endParaRPr>
        </a:p>
        <a:p>
          <a:pPr algn="ctr"/>
          <a:r>
            <a:rPr lang="en-US" sz="1100">
              <a:solidFill>
                <a:srgbClr val="FFFF00"/>
              </a:solidFill>
            </a:rPr>
            <a:t>195217.76</a:t>
          </a:r>
          <a:endParaRPr lang="en-US" sz="1100"/>
        </a:p>
        <a:p>
          <a:pPr algn="ctr"/>
          <a:endParaRPr lang="en-US" sz="1100"/>
        </a:p>
      </xdr:txBody>
    </xdr:sp>
    <xdr:clientData/>
  </xdr:twoCellAnchor>
  <xdr:oneCellAnchor>
    <xdr:from>
      <xdr:col>2</xdr:col>
      <xdr:colOff>188595</xdr:colOff>
      <xdr:row>26</xdr:row>
      <xdr:rowOff>79375</xdr:rowOff>
    </xdr:from>
    <xdr:ext cx="309880" cy="275590"/>
    <xdr:sp>
      <xdr:nvSpPr>
        <xdr:cNvPr id="13" name="Text Box 12"/>
        <xdr:cNvSpPr txBox="1"/>
      </xdr:nvSpPr>
      <xdr:spPr>
        <a:xfrm>
          <a:off x="1407795" y="4867275"/>
          <a:ext cx="309880" cy="275590"/>
        </a:xfrm>
        <a:prstGeom prst="rect">
          <a:avLst/>
        </a:prstGeom>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p>
          <a:pPr algn="l"/>
          <a:endParaRPr lang="en-US" sz="1100"/>
        </a:p>
      </xdr:txBody>
    </xdr:sp>
    <xdr:clientData/>
  </xdr:oneCellAnchor>
  <xdr:twoCellAnchor>
    <xdr:from>
      <xdr:col>0</xdr:col>
      <xdr:colOff>156845</xdr:colOff>
      <xdr:row>29</xdr:row>
      <xdr:rowOff>29845</xdr:rowOff>
    </xdr:from>
    <xdr:to>
      <xdr:col>3</xdr:col>
      <xdr:colOff>19685</xdr:colOff>
      <xdr:row>35</xdr:row>
      <xdr:rowOff>77470</xdr:rowOff>
    </xdr:to>
    <xdr:sp>
      <xdr:nvSpPr>
        <xdr:cNvPr id="14" name="Rounded Rectangle 13"/>
        <xdr:cNvSpPr/>
      </xdr:nvSpPr>
      <xdr:spPr>
        <a:xfrm>
          <a:off x="156845" y="5370195"/>
          <a:ext cx="1691640" cy="1152525"/>
        </a:xfrm>
        <a:prstGeom prst="roundRect">
          <a:avLst/>
        </a:prstGeom>
        <a:solidFill>
          <a:schemeClr val="accent1"/>
        </a:solidFill>
      </xdr:spPr>
      <xdr:style>
        <a:lnRef idx="2">
          <a:schemeClr val="lt1"/>
        </a:lnRef>
        <a:fillRef idx="1">
          <a:schemeClr val="accent1"/>
        </a:fillRef>
        <a:effectRef idx="1">
          <a:schemeClr val="accent1"/>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sz="1100">
              <a:solidFill>
                <a:srgbClr val="FFFF00"/>
              </a:solidFill>
            </a:rPr>
            <a:t>Total Profit</a:t>
          </a:r>
          <a:endParaRPr lang="en-US" sz="1100">
            <a:solidFill>
              <a:srgbClr val="FFFF00"/>
            </a:solidFill>
          </a:endParaRPr>
        </a:p>
        <a:p>
          <a:pPr algn="ctr"/>
          <a:r>
            <a:rPr lang="en-US" sz="1100">
              <a:solidFill>
                <a:srgbClr val="FFFF00"/>
              </a:solidFill>
            </a:rPr>
            <a:t>68287.01</a:t>
          </a:r>
          <a:endParaRPr lang="en-US" sz="1100"/>
        </a:p>
        <a:p>
          <a:pPr algn="ctr"/>
          <a:endParaRPr lang="en-US" sz="1100"/>
        </a:p>
        <a:p>
          <a:pPr algn="ct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5971.6183449074" refreshedBy="BAPS" recordCount="200">
  <cacheSource type="worksheet">
    <worksheetSource ref="A1:K201" sheet="Dataset"/>
  </cacheSource>
  <cacheFields count="11">
    <cacheField name="Customer_ID" numFmtId="0">
      <sharedItems count="30">
        <s v="CUST019"/>
        <s v="CUST012"/>
        <s v="CUST017"/>
        <s v="CUST005"/>
        <s v="CUST030"/>
        <s v="CUST007"/>
        <s v="CUST001"/>
        <s v="CUST026"/>
        <s v="CUST009"/>
        <s v="CUST010"/>
        <s v="CUST014"/>
        <s v="CUST023"/>
        <s v="CUST029"/>
        <s v="CUST008"/>
        <s v="CUST006"/>
        <s v="CUST022"/>
        <s v="CUST028"/>
        <s v="CUST025"/>
        <s v="CUST021"/>
        <s v="CUST015"/>
        <s v="CUST016"/>
        <s v="CUST011"/>
        <s v="CUST002"/>
        <s v="CUST003"/>
        <s v="CUST020"/>
        <s v="CUST024"/>
        <s v="CUST004"/>
        <s v="CUST013"/>
        <s v="CUST027"/>
        <s v="CUST018"/>
      </sharedItems>
    </cacheField>
    <cacheField name="Customer_Name" numFmtId="0">
      <sharedItems count="27">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ount="200">
        <n v="1036.09"/>
        <n v="1101.28"/>
        <n v="713.34"/>
        <n v="760.93"/>
        <n v="847"/>
        <n v="965.64"/>
        <n v="1317.53"/>
        <n v="1074.47"/>
        <n v="501.54"/>
        <n v="737.31"/>
        <n v="1572.82"/>
        <n v="1343.13"/>
        <n v="1191.58"/>
        <n v="822.28"/>
        <n v="521.67"/>
        <n v="1502.93"/>
        <n v="877.58"/>
        <n v="636.7"/>
        <n v="1506.14"/>
        <n v="645.02"/>
        <n v="953.3"/>
        <n v="388.56"/>
        <n v="743.17"/>
        <n v="706.37"/>
        <n v="925.31"/>
        <n v="1173.12"/>
        <n v="675.54"/>
        <n v="939.09"/>
        <n v="983.34"/>
        <n v="801.21"/>
        <n v="1450.71"/>
        <n v="1023.21"/>
        <n v="853.72"/>
        <n v="967.89"/>
        <n v="1200.9"/>
        <n v="472.38"/>
        <n v="840.92"/>
        <n v="1410.06"/>
        <n v="773.09"/>
        <n v="580.43"/>
        <n v="1151.21"/>
        <n v="1025.98"/>
        <n v="556.42"/>
        <n v="840.85"/>
        <n v="1227.25"/>
        <n v="856.7"/>
        <n v="1225.42"/>
        <n v="1001.57"/>
        <n v="1186.85"/>
        <n v="775.45"/>
        <n v="1021.47"/>
        <n v="1226.62"/>
        <n v="1086.93"/>
        <n v="942.9"/>
        <n v="818.8"/>
        <n v="919.04"/>
        <n v="973.26"/>
        <n v="741.61"/>
        <n v="1248.82"/>
        <n v="1360.36"/>
        <n v="1383.3"/>
        <n v="488.99"/>
        <n v="933.71"/>
        <n v="1005.53"/>
        <n v="1100.1"/>
        <n v="1034.7"/>
        <n v="876.44"/>
        <n v="1371.34"/>
        <n v="1020.26"/>
        <n v="804.81"/>
        <n v="608.66"/>
        <n v="981.2"/>
        <n v="539.77"/>
        <n v="804.45"/>
        <n v="1526.6"/>
        <n v="1215.26"/>
        <n v="1261.34"/>
        <n v="518.07"/>
        <n v="1111.34"/>
        <n v="1291.47"/>
        <n v="679.71"/>
        <n v="1143.69"/>
        <n v="790.08"/>
        <n v="1070.68"/>
        <n v="1168.89"/>
        <n v="1335.87"/>
        <n v="873.7"/>
        <n v="1443.98"/>
        <n v="1154.33"/>
        <n v="1264.49"/>
        <n v="1101.55"/>
        <n v="727.73"/>
        <n v="875.41"/>
        <n v="1158.94"/>
        <n v="966.3"/>
        <n v="917.48"/>
        <n v="1172.97"/>
        <n v="1205.82"/>
        <n v="826.93"/>
        <n v="902.19"/>
        <n v="585.97"/>
        <n v="990.19"/>
        <n v="1014.09"/>
        <n v="925.29"/>
        <n v="1286.54"/>
        <n v="961.62"/>
        <n v="1081.14"/>
        <n v="1923.66"/>
        <n v="728.71"/>
        <n v="1301.89"/>
        <n v="980.18"/>
        <n v="697.57"/>
        <n v="1193.61"/>
        <n v="771.02"/>
        <n v="661.09"/>
        <n v="688.83"/>
        <n v="1249.1"/>
        <n v="1014.22"/>
        <n v="1010.58"/>
        <n v="957.29"/>
        <n v="1077.92"/>
        <n v="1163.01"/>
        <n v="1014.56"/>
        <n v="718.04"/>
        <n v="1277.85"/>
        <n v="706.73"/>
        <n v="1410.59"/>
        <n v="1350.33"/>
        <n v="919.18"/>
        <n v="258.51"/>
        <n v="1213.48"/>
        <n v="1150.28"/>
        <n v="853.86"/>
        <n v="1061.04"/>
        <n v="894.55"/>
        <n v="833.91"/>
        <n v="820.19"/>
        <n v="511.74"/>
        <n v="806.03"/>
        <n v="1432.47"/>
        <n v="1488.58"/>
        <n v="1231.26"/>
        <n v="1161.67"/>
        <n v="388.23"/>
        <n v="1589.42"/>
        <n v="336.66"/>
        <n v="1353.79"/>
        <n v="662.61"/>
        <n v="309.42"/>
        <n v="884.63"/>
        <n v="745.05"/>
        <n v="870.23"/>
        <n v="862.19"/>
        <n v="1171.18"/>
        <n v="1054.56"/>
        <n v="1681.21"/>
        <n v="379.77"/>
        <n v="1076.33"/>
        <n v="1250.71"/>
        <n v="1118.34"/>
        <n v="1622.62"/>
        <n v="640.64"/>
        <n v="585.16"/>
        <n v="1109.98"/>
        <n v="1098.08"/>
        <n v="827.25"/>
        <n v="741.88"/>
        <n v="1311.26"/>
        <n v="573.32"/>
        <n v="1115.22"/>
        <n v="845.84"/>
        <n v="1029.8"/>
        <n v="1189.83"/>
        <n v="704.28"/>
        <n v="1618.22"/>
        <n v="1014.43"/>
        <n v="826.97"/>
        <n v="1022.23"/>
        <n v="1099.69"/>
        <n v="710.52"/>
        <n v="499.18"/>
        <n v="1064.19"/>
        <n v="438.76"/>
        <n v="864.98"/>
        <n v="984.93"/>
        <n v="1493.49"/>
        <n v="689.43"/>
        <n v="682.24"/>
        <n v="458.54"/>
        <n v="1184.25"/>
        <n v="762.14"/>
        <n v="750.71"/>
        <n v="1456.94"/>
        <n v="1093.38"/>
        <n v="934.27"/>
        <n v="1465.35"/>
        <n v="740.8"/>
        <n v="545.44"/>
        <n v="997.61"/>
        <n v="928.32"/>
      </sharedItems>
    </cacheField>
    <cacheField name="Quantity" numFmtId="0">
      <sharedItems containsSemiMixedTypes="0" containsString="0" containsNumber="1" containsInteger="1" minValue="1" maxValue="19" count="19">
        <n v="4"/>
        <n v="3"/>
        <n v="17"/>
        <n v="12"/>
        <n v="8"/>
        <n v="6"/>
        <n v="11"/>
        <n v="2"/>
        <n v="14"/>
        <n v="7"/>
        <n v="15"/>
        <n v="10"/>
        <n v="13"/>
        <n v="9"/>
        <n v="18"/>
        <n v="19"/>
        <n v="5"/>
        <n v="1"/>
        <n v="16"/>
      </sharedItems>
    </cacheField>
    <cacheField name="Total Purchase" numFmtId="0">
      <sharedItems containsSemiMixedTypes="0" containsString="0" containsNumber="1" minValue="309.42" maxValue="27435.62" count="200">
        <n v="4144.36"/>
        <n v="3303.84"/>
        <n v="12126.78"/>
        <n v="3043.72"/>
        <n v="10164"/>
        <n v="7725.12"/>
        <n v="15810.36"/>
        <n v="6446.82"/>
        <n v="5516.94"/>
        <n v="1474.62"/>
        <n v="9436.92"/>
        <n v="18803.82"/>
        <n v="16682.12"/>
        <n v="5755.96"/>
        <n v="7825.05"/>
        <n v="21041.02"/>
        <n v="8775.8"/>
        <n v="2546.8"/>
        <n v="19579.82"/>
        <n v="2580.08"/>
        <n v="10486.3"/>
        <n v="5439.84"/>
        <n v="6688.53"/>
        <n v="4238.22"/>
        <n v="7402.48"/>
        <n v="21116.16"/>
        <n v="11484.18"/>
        <n v="1878.18"/>
        <n v="18683.46"/>
        <n v="2403.63"/>
        <n v="7253.55"/>
        <n v="18417.78"/>
        <n v="4268.6"/>
        <n v="9678.9"/>
        <n v="16812.6"/>
        <n v="5668.56"/>
        <n v="7568.28"/>
        <n v="15510.66"/>
        <n v="10050.17"/>
        <n v="11028.17"/>
        <n v="17268.15"/>
        <n v="5129.9"/>
        <n v="6120.62"/>
        <n v="15976.15"/>
        <n v="14727"/>
        <n v="1713.4"/>
        <n v="9803.36"/>
        <n v="12018.84"/>
        <n v="22550.15"/>
        <n v="4652.7"/>
        <n v="6128.82"/>
        <n v="8586.34"/>
        <n v="2173.86"/>
        <n v="16972.2"/>
        <n v="12282"/>
        <n v="9190.4"/>
        <n v="10705.86"/>
        <n v="741.61"/>
        <n v="2497.64"/>
        <n v="23126.12"/>
        <n v="11066.4"/>
        <n v="4400.91"/>
        <n v="15873.07"/>
        <n v="17094.01"/>
        <n v="5500.5"/>
        <n v="15520.5"/>
        <n v="10517.28"/>
        <n v="6856.7"/>
        <n v="11222.86"/>
        <n v="804.81"/>
        <n v="608.66"/>
        <n v="18642.8"/>
        <n v="5397.7"/>
        <n v="4022.25"/>
        <n v="19845.8"/>
        <n v="6076.3"/>
        <n v="3784.02"/>
        <n v="3626.49"/>
        <n v="1111.34"/>
        <n v="23246.46"/>
        <n v="12914.49"/>
        <n v="19442.73"/>
        <n v="5530.56"/>
        <n v="7494.76"/>
        <n v="4675.56"/>
        <n v="22709.79"/>
        <n v="7863.3"/>
        <n v="27435.62"/>
        <n v="12697.63"/>
        <n v="20231.84"/>
        <n v="4406.2"/>
        <n v="727.73"/>
        <n v="11380.33"/>
        <n v="22019.86"/>
        <n v="1932.6"/>
        <n v="5504.88"/>
        <n v="8210.79"/>
        <n v="13264.02"/>
        <n v="8269.3"/>
        <n v="10826.28"/>
        <n v="9961.49"/>
        <n v="7921.52"/>
        <n v="13183.17"/>
        <n v="15729.93"/>
        <n v="10292.32"/>
        <n v="7692.96"/>
        <n v="20541.66"/>
        <n v="17312.94"/>
        <n v="10201.94"/>
        <n v="9113.23"/>
        <n v="15682.88"/>
        <n v="11858.69"/>
        <n v="1193.61"/>
        <n v="771.02"/>
        <n v="661.09"/>
        <n v="10332.45"/>
        <n v="4996.4"/>
        <n v="14199.08"/>
        <n v="2021.16"/>
        <n v="3829.16"/>
        <n v="3233.76"/>
        <n v="5815.05"/>
        <n v="10145.6"/>
        <n v="10052.56"/>
        <n v="23001.3"/>
        <n v="706.73"/>
        <n v="21158.85"/>
        <n v="13503.3"/>
        <n v="3676.72"/>
        <n v="4911.69"/>
        <n v="6067.4"/>
        <n v="9202.24"/>
        <n v="6830.88"/>
        <n v="1061.04"/>
        <n v="16996.45"/>
        <n v="2501.73"/>
        <n v="3280.76"/>
        <n v="4093.92"/>
        <n v="15314.57"/>
        <n v="22919.52"/>
        <n v="14885.8"/>
        <n v="11081.34"/>
        <n v="22071.73"/>
        <n v="6211.68"/>
        <n v="9536.52"/>
        <n v="4376.58"/>
        <n v="18953.06"/>
        <n v="7288.71"/>
        <n v="309.42"/>
        <n v="15923.34"/>
        <n v="7450.5"/>
        <n v="4351.15"/>
        <n v="15519.42"/>
        <n v="22252.42"/>
        <n v="11600.16"/>
        <n v="8406.05"/>
        <n v="3417.93"/>
        <n v="2152.66"/>
        <n v="8754.97"/>
        <n v="6710.04"/>
        <n v="19471.44"/>
        <n v="7047.04"/>
        <n v="9947.72"/>
        <n v="5549.9"/>
        <n v="9882.72"/>
        <n v="5790.75"/>
        <n v="11870.08"/>
        <n v="7867.56"/>
        <n v="10893.08"/>
        <n v="15613.08"/>
        <n v="3383.36"/>
        <n v="3089.4"/>
        <n v="2379.66"/>
        <n v="10564.2"/>
        <n v="19418.64"/>
        <n v="2028.86"/>
        <n v="14885.46"/>
        <n v="8177.84"/>
        <n v="6598.14"/>
        <n v="5684.16"/>
        <n v="7487.7"/>
        <n v="19155.42"/>
        <n v="7897.68"/>
        <n v="1729.96"/>
        <n v="13789.02"/>
        <n v="26882.82"/>
        <n v="6204.87"/>
        <n v="682.24"/>
        <n v="6878.1"/>
        <n v="13026.75"/>
        <n v="6859.26"/>
        <n v="7507.1"/>
        <n v="20397.16"/>
        <n v="18587.46"/>
        <n v="7474.16"/>
        <n v="11722.8"/>
        <n v="2222.4"/>
        <n v="9272.48"/>
        <n v="7980.88"/>
        <n v="1856.64"/>
      </sharedItems>
    </cacheField>
    <cacheField name="Discount" numFmtId="0">
      <sharedItems containsSemiMixedTypes="0" containsString="0" containsNumber="1" minValue="0" maxValue="0.2" count="5">
        <n v="0.2"/>
        <n v="0"/>
        <n v="0.15"/>
        <n v="0.1"/>
        <n v="0.05"/>
      </sharedItems>
    </cacheField>
    <cacheField name="Order_Date" numFmtId="178">
      <sharedItems containsSemiMixedTypes="0" containsString="0" containsNonDate="0" containsDate="1" minDate="2024-04-10T00:00:00" maxDate="2025-04-07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cacheField>
    <cacheField name="Month" numFmtId="178">
      <sharedItems count="12">
        <s v="Apr"/>
        <s v="May"/>
        <s v="Jun"/>
        <s v="Jul"/>
        <s v="Aug"/>
        <s v="Sep"/>
        <s v="Oct"/>
        <s v="Nov"/>
        <s v="Dec"/>
        <s v="Jan"/>
        <s v="Feb"/>
        <s v="Mar"/>
      </sharedItems>
    </cacheField>
    <cacheField name="Profit" numFmtId="0">
      <sharedItems containsSemiMixedTypes="0" containsString="0" containsNumber="1" minValue="64.63" maxValue="769.46" count="200">
        <n v="331.55"/>
        <n v="440.51"/>
        <n v="285.34"/>
        <n v="161.7"/>
        <n v="271.04"/>
        <n v="304.18"/>
        <n v="312.91"/>
        <n v="300.85"/>
        <n v="190.59"/>
        <n v="350.22"/>
        <n v="672.38"/>
        <n v="456.66"/>
        <n v="452.8"/>
        <n v="273.41"/>
        <n v="155.2"/>
        <n v="300.59"/>
        <n v="298.38"/>
        <n v="203.74"/>
        <n v="481.96"/>
        <n v="161.26"/>
        <n v="476.65"/>
        <n v="82.57"/>
        <n v="297.27"/>
        <n v="176.59"/>
        <n v="374.75"/>
        <n v="293.28"/>
        <n v="236.44"/>
        <n v="356.85"/>
        <n v="398.25"/>
        <n v="160.24"/>
        <n v="326.41"/>
        <n v="388.82"/>
        <n v="253.98"/>
        <n v="217.78"/>
        <n v="513.38"/>
        <n v="151.16"/>
        <n v="359.49"/>
        <n v="468.84"/>
        <n v="229.99"/>
        <n v="197.35"/>
        <n v="414.44"/>
        <n v="369.35"/>
        <n v="212.83"/>
        <n v="302.71"/>
        <n v="365.11"/>
        <n v="214.18"/>
        <n v="468.72"/>
        <n v="450.71"/>
        <n v="332.32"/>
        <n v="174.48"/>
        <n v="242.6"/>
        <n v="551.98"/>
        <n v="380.43"/>
        <n v="339.44"/>
        <n v="173.99"/>
        <n v="257.33"/>
        <n v="389.3"/>
        <n v="148.32"/>
        <n v="449.58"/>
        <n v="680.18"/>
        <n v="497.99"/>
        <n v="220.05"/>
        <n v="294.12"/>
        <n v="201.11"/>
        <n v="261.27"/>
        <n v="307.82"/>
        <n v="333.05"/>
        <n v="455.97"/>
        <n v="242.31"/>
        <n v="344.06"/>
        <n v="144.56"/>
        <n v="441.54"/>
        <n v="114.7"/>
        <n v="257.42"/>
        <n v="305.32"/>
        <n v="258.24"/>
        <n v="441.47"/>
        <n v="172.26"/>
        <n v="500.1"/>
        <n v="581.16"/>
        <n v="271.88"/>
        <n v="400.29"/>
        <n v="177.77"/>
        <n v="406.86"/>
        <n v="526"/>
        <n v="333.97"/>
        <n v="305.8"/>
        <n v="649.79"/>
        <n v="441.53"/>
        <n v="480.51"/>
        <n v="346.99"/>
        <n v="229.23"/>
        <n v="334.84"/>
        <n v="231.79"/>
        <n v="328.54"/>
        <n v="366.99"/>
        <n v="348.96"/>
        <n v="542.62"/>
        <n v="297.69"/>
        <n v="451.1"/>
        <n v="210.95"/>
        <n v="445.59"/>
        <n v="202.82"/>
        <n v="231.32"/>
        <n v="450.29"/>
        <n v="307.72"/>
        <n v="367.59"/>
        <n v="769.46"/>
        <n v="327.92"/>
        <n v="553.3"/>
        <n v="352.86"/>
        <n v="313.91"/>
        <n v="355.1"/>
        <n v="192.76"/>
        <n v="264.44"/>
        <n v="172.21"/>
        <n v="474.66"/>
        <n v="433.58"/>
        <n v="343.6"/>
        <n v="318.3"/>
        <n v="358.41"/>
        <n v="581.5"/>
        <n v="410.9"/>
        <n v="179.51"/>
        <n v="511.14"/>
        <n v="150.18"/>
        <n v="352.65"/>
        <n v="472.62"/>
        <n v="195.33"/>
        <n v="64.63"/>
        <n v="461.12"/>
        <n v="437.11"/>
        <n v="268.97"/>
        <n v="265.26"/>
        <n v="178.91"/>
        <n v="356.5"/>
        <n v="229.65"/>
        <n v="121.54"/>
        <n v="268"/>
        <n v="426.16"/>
        <n v="316.32"/>
        <n v="492.5"/>
        <n v="232.33"/>
        <n v="165.97"/>
        <n v="675.5"/>
        <n v="134.66"/>
        <n v="487.36"/>
        <n v="314.74"/>
        <n v="111.39"/>
        <n v="318.47"/>
        <n v="301.75"/>
        <n v="413.36"/>
        <n v="286.68"/>
        <n v="556.31"/>
        <n v="332.19"/>
        <n v="336.24"/>
        <n v="180.39"/>
        <n v="484.35"/>
        <n v="562.82"/>
        <n v="447.34"/>
        <n v="649.05"/>
        <n v="205"/>
        <n v="263.32"/>
        <n v="443.99"/>
        <n v="395.31"/>
        <n v="335.04"/>
        <n v="333.85"/>
        <n v="531.06"/>
        <n v="232.19"/>
        <n v="223.04"/>
        <n v="422.92"/>
        <n v="257.45"/>
        <n v="380.75"/>
        <n v="225.37"/>
        <n v="582.56"/>
        <n v="344.91"/>
        <n v="330.79"/>
        <n v="460"/>
        <n v="439.88"/>
        <n v="255.79"/>
        <n v="159.74"/>
        <n v="404.39"/>
        <n v="187.57"/>
        <n v="410.87"/>
        <n v="275.78"/>
        <n v="746.74"/>
        <n v="310.24"/>
        <n v="341.12"/>
        <n v="91.71"/>
        <n v="331.59"/>
        <n v="381.07"/>
        <n v="255.24"/>
        <n v="692.05"/>
        <n v="344.41"/>
        <n v="397.06"/>
        <n v="586.14"/>
        <n v="333.36"/>
        <n v="245.45"/>
        <n v="379.09"/>
        <n v="440.95"/>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
  <r>
    <x v="0"/>
    <x v="0"/>
    <x v="0"/>
    <x v="0"/>
    <x v="0"/>
    <x v="0"/>
    <x v="0"/>
    <x v="0"/>
    <x v="0"/>
    <x v="0"/>
    <x v="0"/>
  </r>
  <r>
    <x v="1"/>
    <x v="1"/>
    <x v="0"/>
    <x v="1"/>
    <x v="1"/>
    <x v="1"/>
    <x v="1"/>
    <x v="0"/>
    <x v="1"/>
    <x v="0"/>
    <x v="1"/>
  </r>
  <r>
    <x v="2"/>
    <x v="2"/>
    <x v="1"/>
    <x v="0"/>
    <x v="2"/>
    <x v="2"/>
    <x v="2"/>
    <x v="1"/>
    <x v="2"/>
    <x v="0"/>
    <x v="2"/>
  </r>
  <r>
    <x v="3"/>
    <x v="1"/>
    <x v="2"/>
    <x v="2"/>
    <x v="3"/>
    <x v="0"/>
    <x v="3"/>
    <x v="2"/>
    <x v="2"/>
    <x v="0"/>
    <x v="3"/>
  </r>
  <r>
    <x v="4"/>
    <x v="3"/>
    <x v="3"/>
    <x v="0"/>
    <x v="4"/>
    <x v="3"/>
    <x v="4"/>
    <x v="0"/>
    <x v="3"/>
    <x v="0"/>
    <x v="4"/>
  </r>
  <r>
    <x v="5"/>
    <x v="4"/>
    <x v="3"/>
    <x v="3"/>
    <x v="5"/>
    <x v="4"/>
    <x v="5"/>
    <x v="3"/>
    <x v="4"/>
    <x v="0"/>
    <x v="5"/>
  </r>
  <r>
    <x v="6"/>
    <x v="5"/>
    <x v="0"/>
    <x v="2"/>
    <x v="6"/>
    <x v="3"/>
    <x v="6"/>
    <x v="4"/>
    <x v="4"/>
    <x v="0"/>
    <x v="6"/>
  </r>
  <r>
    <x v="7"/>
    <x v="6"/>
    <x v="1"/>
    <x v="3"/>
    <x v="7"/>
    <x v="5"/>
    <x v="7"/>
    <x v="0"/>
    <x v="5"/>
    <x v="0"/>
    <x v="7"/>
  </r>
  <r>
    <x v="8"/>
    <x v="7"/>
    <x v="4"/>
    <x v="0"/>
    <x v="8"/>
    <x v="6"/>
    <x v="8"/>
    <x v="4"/>
    <x v="5"/>
    <x v="0"/>
    <x v="8"/>
  </r>
  <r>
    <x v="9"/>
    <x v="8"/>
    <x v="4"/>
    <x v="1"/>
    <x v="9"/>
    <x v="7"/>
    <x v="9"/>
    <x v="4"/>
    <x v="5"/>
    <x v="0"/>
    <x v="9"/>
  </r>
  <r>
    <x v="10"/>
    <x v="9"/>
    <x v="0"/>
    <x v="4"/>
    <x v="10"/>
    <x v="5"/>
    <x v="10"/>
    <x v="4"/>
    <x v="6"/>
    <x v="0"/>
    <x v="10"/>
  </r>
  <r>
    <x v="10"/>
    <x v="8"/>
    <x v="4"/>
    <x v="0"/>
    <x v="11"/>
    <x v="8"/>
    <x v="11"/>
    <x v="2"/>
    <x v="7"/>
    <x v="0"/>
    <x v="11"/>
  </r>
  <r>
    <x v="5"/>
    <x v="4"/>
    <x v="4"/>
    <x v="0"/>
    <x v="12"/>
    <x v="8"/>
    <x v="12"/>
    <x v="4"/>
    <x v="8"/>
    <x v="0"/>
    <x v="12"/>
  </r>
  <r>
    <x v="11"/>
    <x v="1"/>
    <x v="0"/>
    <x v="3"/>
    <x v="13"/>
    <x v="9"/>
    <x v="13"/>
    <x v="4"/>
    <x v="8"/>
    <x v="0"/>
    <x v="13"/>
  </r>
  <r>
    <x v="12"/>
    <x v="10"/>
    <x v="3"/>
    <x v="3"/>
    <x v="14"/>
    <x v="10"/>
    <x v="14"/>
    <x v="2"/>
    <x v="9"/>
    <x v="0"/>
    <x v="14"/>
  </r>
  <r>
    <x v="3"/>
    <x v="11"/>
    <x v="2"/>
    <x v="2"/>
    <x v="15"/>
    <x v="8"/>
    <x v="15"/>
    <x v="0"/>
    <x v="10"/>
    <x v="0"/>
    <x v="15"/>
  </r>
  <r>
    <x v="13"/>
    <x v="1"/>
    <x v="2"/>
    <x v="0"/>
    <x v="16"/>
    <x v="11"/>
    <x v="16"/>
    <x v="2"/>
    <x v="11"/>
    <x v="0"/>
    <x v="16"/>
  </r>
  <r>
    <x v="6"/>
    <x v="12"/>
    <x v="0"/>
    <x v="0"/>
    <x v="17"/>
    <x v="0"/>
    <x v="17"/>
    <x v="0"/>
    <x v="11"/>
    <x v="0"/>
    <x v="17"/>
  </r>
  <r>
    <x v="14"/>
    <x v="13"/>
    <x v="0"/>
    <x v="0"/>
    <x v="18"/>
    <x v="12"/>
    <x v="18"/>
    <x v="0"/>
    <x v="12"/>
    <x v="0"/>
    <x v="18"/>
  </r>
  <r>
    <x v="7"/>
    <x v="6"/>
    <x v="4"/>
    <x v="2"/>
    <x v="19"/>
    <x v="0"/>
    <x v="19"/>
    <x v="1"/>
    <x v="13"/>
    <x v="1"/>
    <x v="19"/>
  </r>
  <r>
    <x v="5"/>
    <x v="14"/>
    <x v="2"/>
    <x v="1"/>
    <x v="20"/>
    <x v="6"/>
    <x v="20"/>
    <x v="1"/>
    <x v="14"/>
    <x v="1"/>
    <x v="20"/>
  </r>
  <r>
    <x v="15"/>
    <x v="1"/>
    <x v="3"/>
    <x v="2"/>
    <x v="21"/>
    <x v="8"/>
    <x v="21"/>
    <x v="2"/>
    <x v="15"/>
    <x v="1"/>
    <x v="21"/>
  </r>
  <r>
    <x v="0"/>
    <x v="6"/>
    <x v="0"/>
    <x v="0"/>
    <x v="22"/>
    <x v="13"/>
    <x v="22"/>
    <x v="1"/>
    <x v="15"/>
    <x v="1"/>
    <x v="22"/>
  </r>
  <r>
    <x v="11"/>
    <x v="6"/>
    <x v="4"/>
    <x v="2"/>
    <x v="23"/>
    <x v="5"/>
    <x v="23"/>
    <x v="1"/>
    <x v="15"/>
    <x v="1"/>
    <x v="23"/>
  </r>
  <r>
    <x v="1"/>
    <x v="6"/>
    <x v="4"/>
    <x v="4"/>
    <x v="24"/>
    <x v="4"/>
    <x v="24"/>
    <x v="3"/>
    <x v="16"/>
    <x v="1"/>
    <x v="24"/>
  </r>
  <r>
    <x v="9"/>
    <x v="15"/>
    <x v="2"/>
    <x v="2"/>
    <x v="25"/>
    <x v="14"/>
    <x v="25"/>
    <x v="1"/>
    <x v="16"/>
    <x v="1"/>
    <x v="25"/>
  </r>
  <r>
    <x v="4"/>
    <x v="16"/>
    <x v="3"/>
    <x v="3"/>
    <x v="26"/>
    <x v="2"/>
    <x v="26"/>
    <x v="1"/>
    <x v="17"/>
    <x v="1"/>
    <x v="26"/>
  </r>
  <r>
    <x v="5"/>
    <x v="1"/>
    <x v="4"/>
    <x v="0"/>
    <x v="27"/>
    <x v="7"/>
    <x v="27"/>
    <x v="4"/>
    <x v="18"/>
    <x v="1"/>
    <x v="27"/>
  </r>
  <r>
    <x v="16"/>
    <x v="17"/>
    <x v="1"/>
    <x v="4"/>
    <x v="28"/>
    <x v="15"/>
    <x v="28"/>
    <x v="3"/>
    <x v="19"/>
    <x v="1"/>
    <x v="28"/>
  </r>
  <r>
    <x v="16"/>
    <x v="3"/>
    <x v="2"/>
    <x v="2"/>
    <x v="29"/>
    <x v="1"/>
    <x v="29"/>
    <x v="0"/>
    <x v="19"/>
    <x v="1"/>
    <x v="29"/>
  </r>
  <r>
    <x v="17"/>
    <x v="18"/>
    <x v="3"/>
    <x v="2"/>
    <x v="30"/>
    <x v="16"/>
    <x v="30"/>
    <x v="3"/>
    <x v="20"/>
    <x v="1"/>
    <x v="30"/>
  </r>
  <r>
    <x v="15"/>
    <x v="19"/>
    <x v="4"/>
    <x v="0"/>
    <x v="31"/>
    <x v="14"/>
    <x v="31"/>
    <x v="4"/>
    <x v="21"/>
    <x v="1"/>
    <x v="31"/>
  </r>
  <r>
    <x v="6"/>
    <x v="13"/>
    <x v="0"/>
    <x v="3"/>
    <x v="32"/>
    <x v="16"/>
    <x v="32"/>
    <x v="2"/>
    <x v="21"/>
    <x v="1"/>
    <x v="32"/>
  </r>
  <r>
    <x v="18"/>
    <x v="11"/>
    <x v="2"/>
    <x v="2"/>
    <x v="33"/>
    <x v="11"/>
    <x v="33"/>
    <x v="3"/>
    <x v="22"/>
    <x v="1"/>
    <x v="33"/>
  </r>
  <r>
    <x v="19"/>
    <x v="17"/>
    <x v="3"/>
    <x v="4"/>
    <x v="34"/>
    <x v="8"/>
    <x v="34"/>
    <x v="4"/>
    <x v="22"/>
    <x v="1"/>
    <x v="34"/>
  </r>
  <r>
    <x v="1"/>
    <x v="4"/>
    <x v="0"/>
    <x v="0"/>
    <x v="35"/>
    <x v="3"/>
    <x v="35"/>
    <x v="0"/>
    <x v="22"/>
    <x v="1"/>
    <x v="35"/>
  </r>
  <r>
    <x v="0"/>
    <x v="18"/>
    <x v="1"/>
    <x v="4"/>
    <x v="36"/>
    <x v="13"/>
    <x v="36"/>
    <x v="4"/>
    <x v="22"/>
    <x v="1"/>
    <x v="36"/>
  </r>
  <r>
    <x v="16"/>
    <x v="14"/>
    <x v="4"/>
    <x v="3"/>
    <x v="37"/>
    <x v="6"/>
    <x v="37"/>
    <x v="4"/>
    <x v="23"/>
    <x v="1"/>
    <x v="37"/>
  </r>
  <r>
    <x v="13"/>
    <x v="20"/>
    <x v="4"/>
    <x v="3"/>
    <x v="38"/>
    <x v="12"/>
    <x v="38"/>
    <x v="2"/>
    <x v="23"/>
    <x v="1"/>
    <x v="38"/>
  </r>
  <r>
    <x v="20"/>
    <x v="21"/>
    <x v="1"/>
    <x v="0"/>
    <x v="39"/>
    <x v="15"/>
    <x v="39"/>
    <x v="2"/>
    <x v="24"/>
    <x v="1"/>
    <x v="39"/>
  </r>
  <r>
    <x v="3"/>
    <x v="10"/>
    <x v="2"/>
    <x v="0"/>
    <x v="40"/>
    <x v="10"/>
    <x v="40"/>
    <x v="3"/>
    <x v="25"/>
    <x v="2"/>
    <x v="40"/>
  </r>
  <r>
    <x v="16"/>
    <x v="3"/>
    <x v="4"/>
    <x v="4"/>
    <x v="41"/>
    <x v="16"/>
    <x v="41"/>
    <x v="0"/>
    <x v="26"/>
    <x v="2"/>
    <x v="41"/>
  </r>
  <r>
    <x v="11"/>
    <x v="19"/>
    <x v="1"/>
    <x v="4"/>
    <x v="42"/>
    <x v="6"/>
    <x v="42"/>
    <x v="2"/>
    <x v="26"/>
    <x v="2"/>
    <x v="42"/>
  </r>
  <r>
    <x v="18"/>
    <x v="3"/>
    <x v="4"/>
    <x v="0"/>
    <x v="43"/>
    <x v="15"/>
    <x v="43"/>
    <x v="3"/>
    <x v="27"/>
    <x v="2"/>
    <x v="43"/>
  </r>
  <r>
    <x v="7"/>
    <x v="21"/>
    <x v="3"/>
    <x v="3"/>
    <x v="44"/>
    <x v="3"/>
    <x v="44"/>
    <x v="2"/>
    <x v="27"/>
    <x v="2"/>
    <x v="44"/>
  </r>
  <r>
    <x v="2"/>
    <x v="22"/>
    <x v="4"/>
    <x v="2"/>
    <x v="45"/>
    <x v="7"/>
    <x v="45"/>
    <x v="1"/>
    <x v="28"/>
    <x v="2"/>
    <x v="45"/>
  </r>
  <r>
    <x v="17"/>
    <x v="19"/>
    <x v="4"/>
    <x v="4"/>
    <x v="46"/>
    <x v="4"/>
    <x v="46"/>
    <x v="2"/>
    <x v="28"/>
    <x v="2"/>
    <x v="46"/>
  </r>
  <r>
    <x v="21"/>
    <x v="6"/>
    <x v="3"/>
    <x v="4"/>
    <x v="47"/>
    <x v="3"/>
    <x v="47"/>
    <x v="1"/>
    <x v="29"/>
    <x v="2"/>
    <x v="47"/>
  </r>
  <r>
    <x v="18"/>
    <x v="4"/>
    <x v="1"/>
    <x v="3"/>
    <x v="48"/>
    <x v="15"/>
    <x v="48"/>
    <x v="0"/>
    <x v="30"/>
    <x v="2"/>
    <x v="48"/>
  </r>
  <r>
    <x v="13"/>
    <x v="16"/>
    <x v="2"/>
    <x v="2"/>
    <x v="49"/>
    <x v="5"/>
    <x v="49"/>
    <x v="3"/>
    <x v="31"/>
    <x v="2"/>
    <x v="49"/>
  </r>
  <r>
    <x v="5"/>
    <x v="7"/>
    <x v="2"/>
    <x v="2"/>
    <x v="50"/>
    <x v="5"/>
    <x v="50"/>
    <x v="4"/>
    <x v="32"/>
    <x v="2"/>
    <x v="50"/>
  </r>
  <r>
    <x v="19"/>
    <x v="3"/>
    <x v="2"/>
    <x v="1"/>
    <x v="51"/>
    <x v="9"/>
    <x v="51"/>
    <x v="3"/>
    <x v="33"/>
    <x v="2"/>
    <x v="51"/>
  </r>
  <r>
    <x v="4"/>
    <x v="23"/>
    <x v="2"/>
    <x v="3"/>
    <x v="52"/>
    <x v="7"/>
    <x v="52"/>
    <x v="1"/>
    <x v="34"/>
    <x v="2"/>
    <x v="52"/>
  </r>
  <r>
    <x v="22"/>
    <x v="14"/>
    <x v="0"/>
    <x v="0"/>
    <x v="53"/>
    <x v="14"/>
    <x v="53"/>
    <x v="3"/>
    <x v="35"/>
    <x v="2"/>
    <x v="53"/>
  </r>
  <r>
    <x v="8"/>
    <x v="9"/>
    <x v="3"/>
    <x v="2"/>
    <x v="54"/>
    <x v="10"/>
    <x v="54"/>
    <x v="2"/>
    <x v="36"/>
    <x v="2"/>
    <x v="54"/>
  </r>
  <r>
    <x v="3"/>
    <x v="1"/>
    <x v="2"/>
    <x v="3"/>
    <x v="55"/>
    <x v="11"/>
    <x v="55"/>
    <x v="0"/>
    <x v="36"/>
    <x v="2"/>
    <x v="55"/>
  </r>
  <r>
    <x v="4"/>
    <x v="24"/>
    <x v="4"/>
    <x v="0"/>
    <x v="56"/>
    <x v="6"/>
    <x v="56"/>
    <x v="1"/>
    <x v="37"/>
    <x v="2"/>
    <x v="56"/>
  </r>
  <r>
    <x v="12"/>
    <x v="23"/>
    <x v="3"/>
    <x v="2"/>
    <x v="57"/>
    <x v="17"/>
    <x v="57"/>
    <x v="0"/>
    <x v="38"/>
    <x v="2"/>
    <x v="57"/>
  </r>
  <r>
    <x v="23"/>
    <x v="9"/>
    <x v="3"/>
    <x v="0"/>
    <x v="58"/>
    <x v="7"/>
    <x v="58"/>
    <x v="3"/>
    <x v="39"/>
    <x v="2"/>
    <x v="58"/>
  </r>
  <r>
    <x v="1"/>
    <x v="20"/>
    <x v="0"/>
    <x v="1"/>
    <x v="59"/>
    <x v="2"/>
    <x v="59"/>
    <x v="1"/>
    <x v="39"/>
    <x v="2"/>
    <x v="59"/>
  </r>
  <r>
    <x v="18"/>
    <x v="6"/>
    <x v="1"/>
    <x v="0"/>
    <x v="60"/>
    <x v="4"/>
    <x v="60"/>
    <x v="3"/>
    <x v="40"/>
    <x v="3"/>
    <x v="60"/>
  </r>
  <r>
    <x v="9"/>
    <x v="18"/>
    <x v="4"/>
    <x v="4"/>
    <x v="61"/>
    <x v="13"/>
    <x v="61"/>
    <x v="1"/>
    <x v="41"/>
    <x v="3"/>
    <x v="61"/>
  </r>
  <r>
    <x v="7"/>
    <x v="6"/>
    <x v="1"/>
    <x v="3"/>
    <x v="62"/>
    <x v="2"/>
    <x v="62"/>
    <x v="3"/>
    <x v="42"/>
    <x v="3"/>
    <x v="62"/>
  </r>
  <r>
    <x v="23"/>
    <x v="0"/>
    <x v="0"/>
    <x v="2"/>
    <x v="63"/>
    <x v="2"/>
    <x v="63"/>
    <x v="0"/>
    <x v="42"/>
    <x v="3"/>
    <x v="63"/>
  </r>
  <r>
    <x v="12"/>
    <x v="21"/>
    <x v="2"/>
    <x v="2"/>
    <x v="64"/>
    <x v="16"/>
    <x v="64"/>
    <x v="4"/>
    <x v="43"/>
    <x v="3"/>
    <x v="64"/>
  </r>
  <r>
    <x v="23"/>
    <x v="3"/>
    <x v="3"/>
    <x v="3"/>
    <x v="65"/>
    <x v="10"/>
    <x v="65"/>
    <x v="2"/>
    <x v="44"/>
    <x v="3"/>
    <x v="65"/>
  </r>
  <r>
    <x v="22"/>
    <x v="6"/>
    <x v="2"/>
    <x v="0"/>
    <x v="66"/>
    <x v="3"/>
    <x v="66"/>
    <x v="4"/>
    <x v="45"/>
    <x v="3"/>
    <x v="66"/>
  </r>
  <r>
    <x v="24"/>
    <x v="18"/>
    <x v="0"/>
    <x v="3"/>
    <x v="67"/>
    <x v="16"/>
    <x v="67"/>
    <x v="4"/>
    <x v="45"/>
    <x v="3"/>
    <x v="67"/>
  </r>
  <r>
    <x v="18"/>
    <x v="13"/>
    <x v="3"/>
    <x v="2"/>
    <x v="68"/>
    <x v="6"/>
    <x v="68"/>
    <x v="4"/>
    <x v="46"/>
    <x v="3"/>
    <x v="68"/>
  </r>
  <r>
    <x v="13"/>
    <x v="0"/>
    <x v="4"/>
    <x v="4"/>
    <x v="69"/>
    <x v="17"/>
    <x v="69"/>
    <x v="4"/>
    <x v="47"/>
    <x v="3"/>
    <x v="69"/>
  </r>
  <r>
    <x v="4"/>
    <x v="18"/>
    <x v="4"/>
    <x v="2"/>
    <x v="70"/>
    <x v="17"/>
    <x v="70"/>
    <x v="4"/>
    <x v="48"/>
    <x v="3"/>
    <x v="70"/>
  </r>
  <r>
    <x v="24"/>
    <x v="25"/>
    <x v="2"/>
    <x v="4"/>
    <x v="71"/>
    <x v="15"/>
    <x v="71"/>
    <x v="1"/>
    <x v="49"/>
    <x v="3"/>
    <x v="71"/>
  </r>
  <r>
    <x v="25"/>
    <x v="18"/>
    <x v="1"/>
    <x v="2"/>
    <x v="72"/>
    <x v="11"/>
    <x v="72"/>
    <x v="2"/>
    <x v="50"/>
    <x v="4"/>
    <x v="72"/>
  </r>
  <r>
    <x v="1"/>
    <x v="26"/>
    <x v="2"/>
    <x v="0"/>
    <x v="73"/>
    <x v="16"/>
    <x v="73"/>
    <x v="0"/>
    <x v="50"/>
    <x v="4"/>
    <x v="73"/>
  </r>
  <r>
    <x v="25"/>
    <x v="9"/>
    <x v="0"/>
    <x v="2"/>
    <x v="74"/>
    <x v="12"/>
    <x v="74"/>
    <x v="0"/>
    <x v="51"/>
    <x v="4"/>
    <x v="74"/>
  </r>
  <r>
    <x v="1"/>
    <x v="5"/>
    <x v="0"/>
    <x v="2"/>
    <x v="75"/>
    <x v="16"/>
    <x v="75"/>
    <x v="2"/>
    <x v="52"/>
    <x v="4"/>
    <x v="75"/>
  </r>
  <r>
    <x v="3"/>
    <x v="17"/>
    <x v="4"/>
    <x v="3"/>
    <x v="76"/>
    <x v="1"/>
    <x v="76"/>
    <x v="1"/>
    <x v="53"/>
    <x v="4"/>
    <x v="76"/>
  </r>
  <r>
    <x v="26"/>
    <x v="12"/>
    <x v="3"/>
    <x v="3"/>
    <x v="77"/>
    <x v="9"/>
    <x v="77"/>
    <x v="4"/>
    <x v="54"/>
    <x v="4"/>
    <x v="77"/>
  </r>
  <r>
    <x v="7"/>
    <x v="5"/>
    <x v="0"/>
    <x v="4"/>
    <x v="78"/>
    <x v="17"/>
    <x v="78"/>
    <x v="1"/>
    <x v="55"/>
    <x v="4"/>
    <x v="78"/>
  </r>
  <r>
    <x v="4"/>
    <x v="6"/>
    <x v="1"/>
    <x v="1"/>
    <x v="79"/>
    <x v="14"/>
    <x v="79"/>
    <x v="3"/>
    <x v="56"/>
    <x v="4"/>
    <x v="79"/>
  </r>
  <r>
    <x v="5"/>
    <x v="18"/>
    <x v="3"/>
    <x v="0"/>
    <x v="80"/>
    <x v="15"/>
    <x v="80"/>
    <x v="1"/>
    <x v="57"/>
    <x v="4"/>
    <x v="80"/>
  </r>
  <r>
    <x v="24"/>
    <x v="7"/>
    <x v="1"/>
    <x v="3"/>
    <x v="81"/>
    <x v="2"/>
    <x v="81"/>
    <x v="1"/>
    <x v="57"/>
    <x v="4"/>
    <x v="81"/>
  </r>
  <r>
    <x v="16"/>
    <x v="15"/>
    <x v="4"/>
    <x v="2"/>
    <x v="82"/>
    <x v="9"/>
    <x v="82"/>
    <x v="3"/>
    <x v="58"/>
    <x v="5"/>
    <x v="82"/>
  </r>
  <r>
    <x v="3"/>
    <x v="14"/>
    <x v="4"/>
    <x v="0"/>
    <x v="83"/>
    <x v="9"/>
    <x v="83"/>
    <x v="4"/>
    <x v="58"/>
    <x v="5"/>
    <x v="83"/>
  </r>
  <r>
    <x v="19"/>
    <x v="8"/>
    <x v="0"/>
    <x v="1"/>
    <x v="84"/>
    <x v="0"/>
    <x v="84"/>
    <x v="3"/>
    <x v="59"/>
    <x v="5"/>
    <x v="84"/>
  </r>
  <r>
    <x v="23"/>
    <x v="0"/>
    <x v="2"/>
    <x v="2"/>
    <x v="85"/>
    <x v="2"/>
    <x v="85"/>
    <x v="1"/>
    <x v="59"/>
    <x v="5"/>
    <x v="85"/>
  </r>
  <r>
    <x v="11"/>
    <x v="18"/>
    <x v="1"/>
    <x v="3"/>
    <x v="86"/>
    <x v="13"/>
    <x v="86"/>
    <x v="1"/>
    <x v="60"/>
    <x v="5"/>
    <x v="86"/>
  </r>
  <r>
    <x v="26"/>
    <x v="23"/>
    <x v="0"/>
    <x v="4"/>
    <x v="87"/>
    <x v="15"/>
    <x v="87"/>
    <x v="1"/>
    <x v="61"/>
    <x v="5"/>
    <x v="87"/>
  </r>
  <r>
    <x v="11"/>
    <x v="3"/>
    <x v="1"/>
    <x v="4"/>
    <x v="88"/>
    <x v="6"/>
    <x v="88"/>
    <x v="2"/>
    <x v="62"/>
    <x v="5"/>
    <x v="88"/>
  </r>
  <r>
    <x v="15"/>
    <x v="15"/>
    <x v="2"/>
    <x v="0"/>
    <x v="89"/>
    <x v="18"/>
    <x v="89"/>
    <x v="4"/>
    <x v="62"/>
    <x v="5"/>
    <x v="89"/>
  </r>
  <r>
    <x v="5"/>
    <x v="24"/>
    <x v="0"/>
    <x v="3"/>
    <x v="90"/>
    <x v="0"/>
    <x v="90"/>
    <x v="3"/>
    <x v="63"/>
    <x v="5"/>
    <x v="90"/>
  </r>
  <r>
    <x v="27"/>
    <x v="1"/>
    <x v="2"/>
    <x v="3"/>
    <x v="91"/>
    <x v="17"/>
    <x v="91"/>
    <x v="3"/>
    <x v="64"/>
    <x v="5"/>
    <x v="91"/>
  </r>
  <r>
    <x v="28"/>
    <x v="9"/>
    <x v="1"/>
    <x v="4"/>
    <x v="92"/>
    <x v="12"/>
    <x v="92"/>
    <x v="2"/>
    <x v="64"/>
    <x v="5"/>
    <x v="92"/>
  </r>
  <r>
    <x v="23"/>
    <x v="3"/>
    <x v="0"/>
    <x v="2"/>
    <x v="93"/>
    <x v="15"/>
    <x v="93"/>
    <x v="0"/>
    <x v="65"/>
    <x v="5"/>
    <x v="93"/>
  </r>
  <r>
    <x v="29"/>
    <x v="13"/>
    <x v="2"/>
    <x v="0"/>
    <x v="94"/>
    <x v="7"/>
    <x v="94"/>
    <x v="2"/>
    <x v="66"/>
    <x v="5"/>
    <x v="94"/>
  </r>
  <r>
    <x v="24"/>
    <x v="2"/>
    <x v="2"/>
    <x v="0"/>
    <x v="95"/>
    <x v="5"/>
    <x v="95"/>
    <x v="1"/>
    <x v="67"/>
    <x v="5"/>
    <x v="95"/>
  </r>
  <r>
    <x v="12"/>
    <x v="21"/>
    <x v="0"/>
    <x v="3"/>
    <x v="96"/>
    <x v="9"/>
    <x v="96"/>
    <x v="2"/>
    <x v="68"/>
    <x v="5"/>
    <x v="96"/>
  </r>
  <r>
    <x v="18"/>
    <x v="3"/>
    <x v="3"/>
    <x v="1"/>
    <x v="97"/>
    <x v="6"/>
    <x v="97"/>
    <x v="3"/>
    <x v="68"/>
    <x v="5"/>
    <x v="97"/>
  </r>
  <r>
    <x v="2"/>
    <x v="23"/>
    <x v="0"/>
    <x v="4"/>
    <x v="98"/>
    <x v="11"/>
    <x v="98"/>
    <x v="0"/>
    <x v="69"/>
    <x v="5"/>
    <x v="98"/>
  </r>
  <r>
    <x v="23"/>
    <x v="3"/>
    <x v="4"/>
    <x v="1"/>
    <x v="99"/>
    <x v="3"/>
    <x v="99"/>
    <x v="1"/>
    <x v="69"/>
    <x v="5"/>
    <x v="99"/>
  </r>
  <r>
    <x v="28"/>
    <x v="9"/>
    <x v="3"/>
    <x v="0"/>
    <x v="100"/>
    <x v="2"/>
    <x v="100"/>
    <x v="3"/>
    <x v="70"/>
    <x v="5"/>
    <x v="100"/>
  </r>
  <r>
    <x v="20"/>
    <x v="4"/>
    <x v="3"/>
    <x v="1"/>
    <x v="101"/>
    <x v="4"/>
    <x v="101"/>
    <x v="3"/>
    <x v="70"/>
    <x v="5"/>
    <x v="101"/>
  </r>
  <r>
    <x v="13"/>
    <x v="19"/>
    <x v="4"/>
    <x v="2"/>
    <x v="102"/>
    <x v="12"/>
    <x v="102"/>
    <x v="0"/>
    <x v="71"/>
    <x v="6"/>
    <x v="102"/>
  </r>
  <r>
    <x v="1"/>
    <x v="14"/>
    <x v="3"/>
    <x v="2"/>
    <x v="103"/>
    <x v="2"/>
    <x v="103"/>
    <x v="1"/>
    <x v="72"/>
    <x v="6"/>
    <x v="103"/>
  </r>
  <r>
    <x v="17"/>
    <x v="13"/>
    <x v="1"/>
    <x v="3"/>
    <x v="104"/>
    <x v="4"/>
    <x v="104"/>
    <x v="1"/>
    <x v="73"/>
    <x v="6"/>
    <x v="104"/>
  </r>
  <r>
    <x v="10"/>
    <x v="23"/>
    <x v="2"/>
    <x v="0"/>
    <x v="105"/>
    <x v="4"/>
    <x v="105"/>
    <x v="0"/>
    <x v="74"/>
    <x v="6"/>
    <x v="105"/>
  </r>
  <r>
    <x v="13"/>
    <x v="3"/>
    <x v="1"/>
    <x v="0"/>
    <x v="106"/>
    <x v="15"/>
    <x v="106"/>
    <x v="2"/>
    <x v="74"/>
    <x v="6"/>
    <x v="106"/>
  </r>
  <r>
    <x v="19"/>
    <x v="3"/>
    <x v="0"/>
    <x v="1"/>
    <x v="107"/>
    <x v="13"/>
    <x v="107"/>
    <x v="0"/>
    <x v="75"/>
    <x v="6"/>
    <x v="107"/>
  </r>
  <r>
    <x v="17"/>
    <x v="24"/>
    <x v="4"/>
    <x v="1"/>
    <x v="108"/>
    <x v="8"/>
    <x v="108"/>
    <x v="3"/>
    <x v="76"/>
    <x v="6"/>
    <x v="108"/>
  </r>
  <r>
    <x v="0"/>
    <x v="7"/>
    <x v="4"/>
    <x v="1"/>
    <x v="109"/>
    <x v="9"/>
    <x v="109"/>
    <x v="2"/>
    <x v="76"/>
    <x v="6"/>
    <x v="109"/>
  </r>
  <r>
    <x v="25"/>
    <x v="24"/>
    <x v="1"/>
    <x v="0"/>
    <x v="110"/>
    <x v="18"/>
    <x v="110"/>
    <x v="3"/>
    <x v="77"/>
    <x v="6"/>
    <x v="110"/>
  </r>
  <r>
    <x v="28"/>
    <x v="3"/>
    <x v="0"/>
    <x v="1"/>
    <x v="111"/>
    <x v="2"/>
    <x v="111"/>
    <x v="3"/>
    <x v="78"/>
    <x v="6"/>
    <x v="111"/>
  </r>
  <r>
    <x v="14"/>
    <x v="26"/>
    <x v="0"/>
    <x v="3"/>
    <x v="112"/>
    <x v="17"/>
    <x v="112"/>
    <x v="2"/>
    <x v="78"/>
    <x v="6"/>
    <x v="112"/>
  </r>
  <r>
    <x v="8"/>
    <x v="9"/>
    <x v="2"/>
    <x v="2"/>
    <x v="113"/>
    <x v="17"/>
    <x v="113"/>
    <x v="1"/>
    <x v="79"/>
    <x v="6"/>
    <x v="113"/>
  </r>
  <r>
    <x v="23"/>
    <x v="25"/>
    <x v="3"/>
    <x v="1"/>
    <x v="114"/>
    <x v="17"/>
    <x v="114"/>
    <x v="0"/>
    <x v="80"/>
    <x v="6"/>
    <x v="114"/>
  </r>
  <r>
    <x v="1"/>
    <x v="18"/>
    <x v="0"/>
    <x v="2"/>
    <x v="115"/>
    <x v="10"/>
    <x v="115"/>
    <x v="1"/>
    <x v="81"/>
    <x v="6"/>
    <x v="115"/>
  </r>
  <r>
    <x v="27"/>
    <x v="5"/>
    <x v="4"/>
    <x v="0"/>
    <x v="116"/>
    <x v="0"/>
    <x v="116"/>
    <x v="4"/>
    <x v="82"/>
    <x v="7"/>
    <x v="116"/>
  </r>
  <r>
    <x v="13"/>
    <x v="3"/>
    <x v="1"/>
    <x v="4"/>
    <x v="117"/>
    <x v="8"/>
    <x v="117"/>
    <x v="4"/>
    <x v="83"/>
    <x v="7"/>
    <x v="117"/>
  </r>
  <r>
    <x v="17"/>
    <x v="14"/>
    <x v="1"/>
    <x v="0"/>
    <x v="118"/>
    <x v="7"/>
    <x v="118"/>
    <x v="2"/>
    <x v="84"/>
    <x v="7"/>
    <x v="118"/>
  </r>
  <r>
    <x v="7"/>
    <x v="20"/>
    <x v="3"/>
    <x v="3"/>
    <x v="119"/>
    <x v="0"/>
    <x v="119"/>
    <x v="4"/>
    <x v="84"/>
    <x v="7"/>
    <x v="119"/>
  </r>
  <r>
    <x v="6"/>
    <x v="12"/>
    <x v="3"/>
    <x v="3"/>
    <x v="120"/>
    <x v="1"/>
    <x v="120"/>
    <x v="4"/>
    <x v="85"/>
    <x v="7"/>
    <x v="120"/>
  </r>
  <r>
    <x v="16"/>
    <x v="15"/>
    <x v="2"/>
    <x v="1"/>
    <x v="121"/>
    <x v="16"/>
    <x v="121"/>
    <x v="1"/>
    <x v="86"/>
    <x v="7"/>
    <x v="121"/>
  </r>
  <r>
    <x v="17"/>
    <x v="12"/>
    <x v="1"/>
    <x v="4"/>
    <x v="122"/>
    <x v="11"/>
    <x v="122"/>
    <x v="3"/>
    <x v="87"/>
    <x v="7"/>
    <x v="122"/>
  </r>
  <r>
    <x v="0"/>
    <x v="2"/>
    <x v="2"/>
    <x v="2"/>
    <x v="123"/>
    <x v="8"/>
    <x v="123"/>
    <x v="1"/>
    <x v="88"/>
    <x v="7"/>
    <x v="123"/>
  </r>
  <r>
    <x v="26"/>
    <x v="2"/>
    <x v="4"/>
    <x v="1"/>
    <x v="124"/>
    <x v="14"/>
    <x v="124"/>
    <x v="0"/>
    <x v="88"/>
    <x v="7"/>
    <x v="124"/>
  </r>
  <r>
    <x v="25"/>
    <x v="3"/>
    <x v="3"/>
    <x v="2"/>
    <x v="125"/>
    <x v="17"/>
    <x v="125"/>
    <x v="2"/>
    <x v="88"/>
    <x v="7"/>
    <x v="125"/>
  </r>
  <r>
    <x v="22"/>
    <x v="15"/>
    <x v="1"/>
    <x v="2"/>
    <x v="126"/>
    <x v="10"/>
    <x v="126"/>
    <x v="1"/>
    <x v="89"/>
    <x v="7"/>
    <x v="126"/>
  </r>
  <r>
    <x v="8"/>
    <x v="21"/>
    <x v="2"/>
    <x v="3"/>
    <x v="127"/>
    <x v="11"/>
    <x v="127"/>
    <x v="1"/>
    <x v="89"/>
    <x v="7"/>
    <x v="127"/>
  </r>
  <r>
    <x v="12"/>
    <x v="12"/>
    <x v="1"/>
    <x v="2"/>
    <x v="128"/>
    <x v="0"/>
    <x v="128"/>
    <x v="2"/>
    <x v="89"/>
    <x v="7"/>
    <x v="128"/>
  </r>
  <r>
    <x v="28"/>
    <x v="3"/>
    <x v="0"/>
    <x v="2"/>
    <x v="129"/>
    <x v="15"/>
    <x v="129"/>
    <x v="1"/>
    <x v="90"/>
    <x v="7"/>
    <x v="129"/>
  </r>
  <r>
    <x v="21"/>
    <x v="21"/>
    <x v="1"/>
    <x v="0"/>
    <x v="130"/>
    <x v="16"/>
    <x v="130"/>
    <x v="4"/>
    <x v="90"/>
    <x v="7"/>
    <x v="130"/>
  </r>
  <r>
    <x v="18"/>
    <x v="9"/>
    <x v="4"/>
    <x v="0"/>
    <x v="131"/>
    <x v="4"/>
    <x v="131"/>
    <x v="4"/>
    <x v="91"/>
    <x v="7"/>
    <x v="131"/>
  </r>
  <r>
    <x v="10"/>
    <x v="26"/>
    <x v="2"/>
    <x v="3"/>
    <x v="132"/>
    <x v="4"/>
    <x v="132"/>
    <x v="3"/>
    <x v="91"/>
    <x v="7"/>
    <x v="132"/>
  </r>
  <r>
    <x v="29"/>
    <x v="12"/>
    <x v="2"/>
    <x v="2"/>
    <x v="133"/>
    <x v="17"/>
    <x v="133"/>
    <x v="1"/>
    <x v="92"/>
    <x v="7"/>
    <x v="133"/>
  </r>
  <r>
    <x v="6"/>
    <x v="11"/>
    <x v="0"/>
    <x v="2"/>
    <x v="134"/>
    <x v="15"/>
    <x v="134"/>
    <x v="0"/>
    <x v="93"/>
    <x v="7"/>
    <x v="134"/>
  </r>
  <r>
    <x v="5"/>
    <x v="9"/>
    <x v="3"/>
    <x v="4"/>
    <x v="135"/>
    <x v="1"/>
    <x v="135"/>
    <x v="4"/>
    <x v="94"/>
    <x v="7"/>
    <x v="135"/>
  </r>
  <r>
    <x v="19"/>
    <x v="26"/>
    <x v="0"/>
    <x v="3"/>
    <x v="136"/>
    <x v="0"/>
    <x v="136"/>
    <x v="0"/>
    <x v="95"/>
    <x v="8"/>
    <x v="136"/>
  </r>
  <r>
    <x v="19"/>
    <x v="9"/>
    <x v="4"/>
    <x v="2"/>
    <x v="137"/>
    <x v="4"/>
    <x v="137"/>
    <x v="4"/>
    <x v="96"/>
    <x v="8"/>
    <x v="137"/>
  </r>
  <r>
    <x v="22"/>
    <x v="21"/>
    <x v="2"/>
    <x v="3"/>
    <x v="138"/>
    <x v="15"/>
    <x v="138"/>
    <x v="4"/>
    <x v="97"/>
    <x v="8"/>
    <x v="138"/>
  </r>
  <r>
    <x v="6"/>
    <x v="4"/>
    <x v="4"/>
    <x v="3"/>
    <x v="139"/>
    <x v="18"/>
    <x v="139"/>
    <x v="2"/>
    <x v="98"/>
    <x v="8"/>
    <x v="139"/>
  </r>
  <r>
    <x v="28"/>
    <x v="5"/>
    <x v="4"/>
    <x v="2"/>
    <x v="140"/>
    <x v="11"/>
    <x v="140"/>
    <x v="2"/>
    <x v="98"/>
    <x v="8"/>
    <x v="140"/>
  </r>
  <r>
    <x v="7"/>
    <x v="24"/>
    <x v="1"/>
    <x v="0"/>
    <x v="141"/>
    <x v="13"/>
    <x v="141"/>
    <x v="1"/>
    <x v="99"/>
    <x v="8"/>
    <x v="141"/>
  </r>
  <r>
    <x v="7"/>
    <x v="11"/>
    <x v="0"/>
    <x v="2"/>
    <x v="142"/>
    <x v="15"/>
    <x v="142"/>
    <x v="0"/>
    <x v="100"/>
    <x v="8"/>
    <x v="142"/>
  </r>
  <r>
    <x v="15"/>
    <x v="12"/>
    <x v="4"/>
    <x v="4"/>
    <x v="143"/>
    <x v="18"/>
    <x v="143"/>
    <x v="4"/>
    <x v="101"/>
    <x v="8"/>
    <x v="143"/>
  </r>
  <r>
    <x v="26"/>
    <x v="6"/>
    <x v="3"/>
    <x v="1"/>
    <x v="144"/>
    <x v="5"/>
    <x v="144"/>
    <x v="2"/>
    <x v="102"/>
    <x v="8"/>
    <x v="144"/>
  </r>
  <r>
    <x v="6"/>
    <x v="26"/>
    <x v="3"/>
    <x v="1"/>
    <x v="145"/>
    <x v="12"/>
    <x v="145"/>
    <x v="0"/>
    <x v="102"/>
    <x v="8"/>
    <x v="145"/>
  </r>
  <r>
    <x v="15"/>
    <x v="3"/>
    <x v="0"/>
    <x v="0"/>
    <x v="146"/>
    <x v="8"/>
    <x v="146"/>
    <x v="3"/>
    <x v="103"/>
    <x v="8"/>
    <x v="146"/>
  </r>
  <r>
    <x v="21"/>
    <x v="25"/>
    <x v="4"/>
    <x v="1"/>
    <x v="147"/>
    <x v="6"/>
    <x v="147"/>
    <x v="4"/>
    <x v="104"/>
    <x v="9"/>
    <x v="147"/>
  </r>
  <r>
    <x v="16"/>
    <x v="14"/>
    <x v="3"/>
    <x v="4"/>
    <x v="148"/>
    <x v="17"/>
    <x v="148"/>
    <x v="0"/>
    <x v="104"/>
    <x v="9"/>
    <x v="148"/>
  </r>
  <r>
    <x v="21"/>
    <x v="5"/>
    <x v="3"/>
    <x v="0"/>
    <x v="149"/>
    <x v="14"/>
    <x v="149"/>
    <x v="3"/>
    <x v="105"/>
    <x v="9"/>
    <x v="149"/>
  </r>
  <r>
    <x v="16"/>
    <x v="3"/>
    <x v="4"/>
    <x v="4"/>
    <x v="150"/>
    <x v="11"/>
    <x v="150"/>
    <x v="3"/>
    <x v="106"/>
    <x v="9"/>
    <x v="150"/>
  </r>
  <r>
    <x v="20"/>
    <x v="2"/>
    <x v="2"/>
    <x v="1"/>
    <x v="151"/>
    <x v="16"/>
    <x v="151"/>
    <x v="4"/>
    <x v="106"/>
    <x v="9"/>
    <x v="151"/>
  </r>
  <r>
    <x v="9"/>
    <x v="5"/>
    <x v="0"/>
    <x v="3"/>
    <x v="152"/>
    <x v="14"/>
    <x v="152"/>
    <x v="4"/>
    <x v="107"/>
    <x v="9"/>
    <x v="152"/>
  </r>
  <r>
    <x v="27"/>
    <x v="20"/>
    <x v="3"/>
    <x v="1"/>
    <x v="153"/>
    <x v="15"/>
    <x v="153"/>
    <x v="4"/>
    <x v="108"/>
    <x v="9"/>
    <x v="153"/>
  </r>
  <r>
    <x v="19"/>
    <x v="1"/>
    <x v="2"/>
    <x v="3"/>
    <x v="154"/>
    <x v="6"/>
    <x v="154"/>
    <x v="3"/>
    <x v="109"/>
    <x v="9"/>
    <x v="154"/>
  </r>
  <r>
    <x v="19"/>
    <x v="3"/>
    <x v="3"/>
    <x v="2"/>
    <x v="155"/>
    <x v="16"/>
    <x v="155"/>
    <x v="0"/>
    <x v="110"/>
    <x v="9"/>
    <x v="155"/>
  </r>
  <r>
    <x v="19"/>
    <x v="8"/>
    <x v="0"/>
    <x v="1"/>
    <x v="156"/>
    <x v="13"/>
    <x v="156"/>
    <x v="4"/>
    <x v="111"/>
    <x v="9"/>
    <x v="156"/>
  </r>
  <r>
    <x v="13"/>
    <x v="12"/>
    <x v="4"/>
    <x v="1"/>
    <x v="157"/>
    <x v="7"/>
    <x v="157"/>
    <x v="3"/>
    <x v="112"/>
    <x v="9"/>
    <x v="157"/>
  </r>
  <r>
    <x v="13"/>
    <x v="6"/>
    <x v="4"/>
    <x v="4"/>
    <x v="158"/>
    <x v="9"/>
    <x v="158"/>
    <x v="1"/>
    <x v="112"/>
    <x v="9"/>
    <x v="158"/>
  </r>
  <r>
    <x v="11"/>
    <x v="2"/>
    <x v="2"/>
    <x v="1"/>
    <x v="159"/>
    <x v="5"/>
    <x v="159"/>
    <x v="0"/>
    <x v="112"/>
    <x v="9"/>
    <x v="159"/>
  </r>
  <r>
    <x v="25"/>
    <x v="17"/>
    <x v="3"/>
    <x v="1"/>
    <x v="160"/>
    <x v="3"/>
    <x v="160"/>
    <x v="0"/>
    <x v="113"/>
    <x v="9"/>
    <x v="160"/>
  </r>
  <r>
    <x v="29"/>
    <x v="14"/>
    <x v="3"/>
    <x v="0"/>
    <x v="161"/>
    <x v="6"/>
    <x v="161"/>
    <x v="0"/>
    <x v="114"/>
    <x v="9"/>
    <x v="161"/>
  </r>
  <r>
    <x v="4"/>
    <x v="11"/>
    <x v="0"/>
    <x v="1"/>
    <x v="162"/>
    <x v="2"/>
    <x v="162"/>
    <x v="3"/>
    <x v="115"/>
    <x v="9"/>
    <x v="162"/>
  </r>
  <r>
    <x v="4"/>
    <x v="6"/>
    <x v="1"/>
    <x v="1"/>
    <x v="163"/>
    <x v="16"/>
    <x v="163"/>
    <x v="0"/>
    <x v="116"/>
    <x v="10"/>
    <x v="163"/>
  </r>
  <r>
    <x v="19"/>
    <x v="12"/>
    <x v="1"/>
    <x v="0"/>
    <x v="164"/>
    <x v="13"/>
    <x v="164"/>
    <x v="3"/>
    <x v="117"/>
    <x v="10"/>
    <x v="164"/>
  </r>
  <r>
    <x v="22"/>
    <x v="14"/>
    <x v="0"/>
    <x v="4"/>
    <x v="165"/>
    <x v="9"/>
    <x v="165"/>
    <x v="3"/>
    <x v="118"/>
    <x v="10"/>
    <x v="165"/>
  </r>
  <r>
    <x v="25"/>
    <x v="5"/>
    <x v="4"/>
    <x v="1"/>
    <x v="166"/>
    <x v="18"/>
    <x v="166"/>
    <x v="3"/>
    <x v="119"/>
    <x v="10"/>
    <x v="166"/>
  </r>
  <r>
    <x v="26"/>
    <x v="0"/>
    <x v="1"/>
    <x v="4"/>
    <x v="167"/>
    <x v="5"/>
    <x v="167"/>
    <x v="3"/>
    <x v="120"/>
    <x v="10"/>
    <x v="167"/>
  </r>
  <r>
    <x v="26"/>
    <x v="6"/>
    <x v="2"/>
    <x v="4"/>
    <x v="168"/>
    <x v="15"/>
    <x v="168"/>
    <x v="3"/>
    <x v="121"/>
    <x v="10"/>
    <x v="168"/>
  </r>
  <r>
    <x v="16"/>
    <x v="3"/>
    <x v="0"/>
    <x v="2"/>
    <x v="169"/>
    <x v="8"/>
    <x v="169"/>
    <x v="0"/>
    <x v="122"/>
    <x v="10"/>
    <x v="169"/>
  </r>
  <r>
    <x v="1"/>
    <x v="12"/>
    <x v="3"/>
    <x v="1"/>
    <x v="170"/>
    <x v="0"/>
    <x v="170"/>
    <x v="1"/>
    <x v="123"/>
    <x v="10"/>
    <x v="170"/>
  </r>
  <r>
    <x v="7"/>
    <x v="18"/>
    <x v="0"/>
    <x v="2"/>
    <x v="171"/>
    <x v="1"/>
    <x v="171"/>
    <x v="1"/>
    <x v="124"/>
    <x v="10"/>
    <x v="171"/>
  </r>
  <r>
    <x v="8"/>
    <x v="6"/>
    <x v="3"/>
    <x v="0"/>
    <x v="172"/>
    <x v="7"/>
    <x v="172"/>
    <x v="0"/>
    <x v="125"/>
    <x v="10"/>
    <x v="172"/>
  </r>
  <r>
    <x v="23"/>
    <x v="11"/>
    <x v="2"/>
    <x v="0"/>
    <x v="173"/>
    <x v="10"/>
    <x v="173"/>
    <x v="0"/>
    <x v="126"/>
    <x v="10"/>
    <x v="173"/>
  </r>
  <r>
    <x v="22"/>
    <x v="13"/>
    <x v="4"/>
    <x v="4"/>
    <x v="174"/>
    <x v="3"/>
    <x v="174"/>
    <x v="0"/>
    <x v="126"/>
    <x v="10"/>
    <x v="174"/>
  </r>
  <r>
    <x v="27"/>
    <x v="17"/>
    <x v="4"/>
    <x v="0"/>
    <x v="175"/>
    <x v="7"/>
    <x v="175"/>
    <x v="2"/>
    <x v="127"/>
    <x v="10"/>
    <x v="175"/>
  </r>
  <r>
    <x v="29"/>
    <x v="6"/>
    <x v="4"/>
    <x v="1"/>
    <x v="176"/>
    <x v="14"/>
    <x v="176"/>
    <x v="0"/>
    <x v="128"/>
    <x v="10"/>
    <x v="176"/>
  </r>
  <r>
    <x v="2"/>
    <x v="6"/>
    <x v="4"/>
    <x v="1"/>
    <x v="177"/>
    <x v="4"/>
    <x v="177"/>
    <x v="3"/>
    <x v="129"/>
    <x v="11"/>
    <x v="177"/>
  </r>
  <r>
    <x v="26"/>
    <x v="5"/>
    <x v="1"/>
    <x v="0"/>
    <x v="178"/>
    <x v="5"/>
    <x v="178"/>
    <x v="1"/>
    <x v="130"/>
    <x v="11"/>
    <x v="178"/>
  </r>
  <r>
    <x v="16"/>
    <x v="23"/>
    <x v="3"/>
    <x v="0"/>
    <x v="179"/>
    <x v="4"/>
    <x v="179"/>
    <x v="3"/>
    <x v="131"/>
    <x v="11"/>
    <x v="179"/>
  </r>
  <r>
    <x v="16"/>
    <x v="20"/>
    <x v="3"/>
    <x v="0"/>
    <x v="180"/>
    <x v="10"/>
    <x v="180"/>
    <x v="0"/>
    <x v="132"/>
    <x v="11"/>
    <x v="180"/>
  </r>
  <r>
    <x v="10"/>
    <x v="9"/>
    <x v="2"/>
    <x v="0"/>
    <x v="181"/>
    <x v="14"/>
    <x v="181"/>
    <x v="4"/>
    <x v="133"/>
    <x v="11"/>
    <x v="181"/>
  </r>
  <r>
    <x v="23"/>
    <x v="9"/>
    <x v="1"/>
    <x v="4"/>
    <x v="182"/>
    <x v="14"/>
    <x v="182"/>
    <x v="4"/>
    <x v="134"/>
    <x v="11"/>
    <x v="182"/>
  </r>
  <r>
    <x v="12"/>
    <x v="18"/>
    <x v="0"/>
    <x v="1"/>
    <x v="183"/>
    <x v="7"/>
    <x v="183"/>
    <x v="4"/>
    <x v="135"/>
    <x v="11"/>
    <x v="183"/>
  </r>
  <r>
    <x v="18"/>
    <x v="18"/>
    <x v="0"/>
    <x v="3"/>
    <x v="184"/>
    <x v="8"/>
    <x v="184"/>
    <x v="0"/>
    <x v="136"/>
    <x v="11"/>
    <x v="184"/>
  </r>
  <r>
    <x v="5"/>
    <x v="18"/>
    <x v="0"/>
    <x v="1"/>
    <x v="185"/>
    <x v="14"/>
    <x v="185"/>
    <x v="1"/>
    <x v="137"/>
    <x v="11"/>
    <x v="185"/>
  </r>
  <r>
    <x v="8"/>
    <x v="17"/>
    <x v="2"/>
    <x v="1"/>
    <x v="186"/>
    <x v="13"/>
    <x v="186"/>
    <x v="3"/>
    <x v="138"/>
    <x v="11"/>
    <x v="186"/>
  </r>
  <r>
    <x v="11"/>
    <x v="20"/>
    <x v="2"/>
    <x v="1"/>
    <x v="187"/>
    <x v="17"/>
    <x v="187"/>
    <x v="1"/>
    <x v="139"/>
    <x v="11"/>
    <x v="187"/>
  </r>
  <r>
    <x v="12"/>
    <x v="4"/>
    <x v="3"/>
    <x v="2"/>
    <x v="188"/>
    <x v="10"/>
    <x v="188"/>
    <x v="0"/>
    <x v="140"/>
    <x v="11"/>
    <x v="188"/>
  </r>
  <r>
    <x v="8"/>
    <x v="4"/>
    <x v="2"/>
    <x v="3"/>
    <x v="189"/>
    <x v="6"/>
    <x v="189"/>
    <x v="0"/>
    <x v="141"/>
    <x v="11"/>
    <x v="189"/>
  </r>
  <r>
    <x v="5"/>
    <x v="0"/>
    <x v="2"/>
    <x v="1"/>
    <x v="190"/>
    <x v="13"/>
    <x v="190"/>
    <x v="1"/>
    <x v="142"/>
    <x v="11"/>
    <x v="190"/>
  </r>
  <r>
    <x v="4"/>
    <x v="17"/>
    <x v="3"/>
    <x v="0"/>
    <x v="191"/>
    <x v="11"/>
    <x v="191"/>
    <x v="2"/>
    <x v="142"/>
    <x v="11"/>
    <x v="191"/>
  </r>
  <r>
    <x v="29"/>
    <x v="26"/>
    <x v="4"/>
    <x v="1"/>
    <x v="192"/>
    <x v="8"/>
    <x v="192"/>
    <x v="4"/>
    <x v="143"/>
    <x v="11"/>
    <x v="192"/>
  </r>
  <r>
    <x v="13"/>
    <x v="21"/>
    <x v="1"/>
    <x v="3"/>
    <x v="193"/>
    <x v="2"/>
    <x v="193"/>
    <x v="3"/>
    <x v="143"/>
    <x v="11"/>
    <x v="193"/>
  </r>
  <r>
    <x v="10"/>
    <x v="11"/>
    <x v="0"/>
    <x v="1"/>
    <x v="194"/>
    <x v="4"/>
    <x v="194"/>
    <x v="2"/>
    <x v="144"/>
    <x v="11"/>
    <x v="194"/>
  </r>
  <r>
    <x v="25"/>
    <x v="8"/>
    <x v="4"/>
    <x v="1"/>
    <x v="195"/>
    <x v="4"/>
    <x v="195"/>
    <x v="0"/>
    <x v="144"/>
    <x v="11"/>
    <x v="195"/>
  </r>
  <r>
    <x v="16"/>
    <x v="1"/>
    <x v="2"/>
    <x v="4"/>
    <x v="196"/>
    <x v="1"/>
    <x v="196"/>
    <x v="1"/>
    <x v="145"/>
    <x v="0"/>
    <x v="196"/>
  </r>
  <r>
    <x v="19"/>
    <x v="11"/>
    <x v="0"/>
    <x v="4"/>
    <x v="197"/>
    <x v="2"/>
    <x v="197"/>
    <x v="1"/>
    <x v="146"/>
    <x v="0"/>
    <x v="197"/>
  </r>
  <r>
    <x v="9"/>
    <x v="8"/>
    <x v="1"/>
    <x v="0"/>
    <x v="198"/>
    <x v="4"/>
    <x v="198"/>
    <x v="4"/>
    <x v="146"/>
    <x v="0"/>
    <x v="198"/>
  </r>
  <r>
    <x v="20"/>
    <x v="8"/>
    <x v="2"/>
    <x v="1"/>
    <x v="199"/>
    <x v="7"/>
    <x v="199"/>
    <x v="4"/>
    <x v="147"/>
    <x v="0"/>
    <x v="1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A3:B7" firstHeaderRow="1" firstDataRow="1" firstDataCol="1"/>
  <pivotFields count="11">
    <pivotField compact="0" showAll="0">
      <items count="31">
        <item x="6"/>
        <item x="22"/>
        <item x="23"/>
        <item x="26"/>
        <item x="3"/>
        <item x="14"/>
        <item x="5"/>
        <item x="13"/>
        <item x="8"/>
        <item x="9"/>
        <item x="21"/>
        <item x="1"/>
        <item x="27"/>
        <item x="10"/>
        <item x="19"/>
        <item x="20"/>
        <item x="2"/>
        <item x="29"/>
        <item x="0"/>
        <item x="24"/>
        <item x="18"/>
        <item x="15"/>
        <item x="11"/>
        <item x="25"/>
        <item x="17"/>
        <item x="7"/>
        <item x="28"/>
        <item x="16"/>
        <item x="12"/>
        <item x="4"/>
        <item t="default"/>
      </items>
    </pivotField>
    <pivotField compact="0" showAll="0">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compact="0" showAll="0">
      <items count="6">
        <item x="4"/>
        <item h="1" x="1"/>
        <item h="1" x="3"/>
        <item h="1" x="2"/>
        <item h="1" x="0"/>
        <item t="default"/>
      </items>
    </pivotField>
    <pivotField compact="0" showAll="0">
      <items count="6">
        <item h="1" x="0"/>
        <item h="1" x="1"/>
        <item h="1" x="2"/>
        <item x="3"/>
        <item h="1" x="4"/>
        <item t="default"/>
      </items>
    </pivotField>
    <pivotField compact="0" showAll="0">
      <items count="201">
        <item x="129"/>
        <item x="148"/>
        <item x="145"/>
        <item x="156"/>
        <item x="143"/>
        <item x="21"/>
        <item x="182"/>
        <item x="188"/>
        <item x="35"/>
        <item x="61"/>
        <item x="180"/>
        <item x="8"/>
        <item x="137"/>
        <item x="77"/>
        <item x="14"/>
        <item x="72"/>
        <item x="197"/>
        <item x="42"/>
        <item x="168"/>
        <item x="39"/>
        <item x="162"/>
        <item x="100"/>
        <item x="70"/>
        <item x="17"/>
        <item x="161"/>
        <item x="19"/>
        <item x="114"/>
        <item x="147"/>
        <item x="26"/>
        <item x="80"/>
        <item x="187"/>
        <item x="115"/>
        <item x="186"/>
        <item x="111"/>
        <item x="173"/>
        <item x="23"/>
        <item x="125"/>
        <item x="179"/>
        <item x="2"/>
        <item x="123"/>
        <item x="91"/>
        <item x="108"/>
        <item x="9"/>
        <item x="196"/>
        <item x="57"/>
        <item x="166"/>
        <item x="22"/>
        <item x="150"/>
        <item x="191"/>
        <item x="3"/>
        <item x="190"/>
        <item x="113"/>
        <item x="38"/>
        <item x="49"/>
        <item x="82"/>
        <item x="29"/>
        <item x="73"/>
        <item x="69"/>
        <item x="138"/>
        <item x="54"/>
        <item x="136"/>
        <item x="13"/>
        <item x="98"/>
        <item x="176"/>
        <item x="165"/>
        <item x="135"/>
        <item x="43"/>
        <item x="36"/>
        <item x="170"/>
        <item x="4"/>
        <item x="32"/>
        <item x="132"/>
        <item x="45"/>
        <item x="152"/>
        <item x="183"/>
        <item x="151"/>
        <item x="86"/>
        <item x="92"/>
        <item x="66"/>
        <item x="16"/>
        <item x="149"/>
        <item x="134"/>
        <item x="99"/>
        <item x="95"/>
        <item x="55"/>
        <item x="128"/>
        <item x="103"/>
        <item x="24"/>
        <item x="199"/>
        <item x="62"/>
        <item x="194"/>
        <item x="27"/>
        <item x="53"/>
        <item x="20"/>
        <item x="119"/>
        <item x="105"/>
        <item x="5"/>
        <item x="94"/>
        <item x="33"/>
        <item x="56"/>
        <item x="110"/>
        <item x="71"/>
        <item x="28"/>
        <item x="184"/>
        <item x="101"/>
        <item x="198"/>
        <item x="47"/>
        <item x="63"/>
        <item x="118"/>
        <item x="102"/>
        <item x="117"/>
        <item x="175"/>
        <item x="122"/>
        <item x="68"/>
        <item x="50"/>
        <item x="177"/>
        <item x="31"/>
        <item x="41"/>
        <item x="171"/>
        <item x="65"/>
        <item x="0"/>
        <item x="154"/>
        <item x="133"/>
        <item x="181"/>
        <item x="83"/>
        <item x="7"/>
        <item x="157"/>
        <item x="120"/>
        <item x="106"/>
        <item x="52"/>
        <item x="193"/>
        <item x="164"/>
        <item x="178"/>
        <item x="64"/>
        <item x="1"/>
        <item x="90"/>
        <item x="163"/>
        <item x="78"/>
        <item x="169"/>
        <item x="159"/>
        <item x="81"/>
        <item x="131"/>
        <item x="40"/>
        <item x="88"/>
        <item x="93"/>
        <item x="142"/>
        <item x="121"/>
        <item x="84"/>
        <item x="153"/>
        <item x="96"/>
        <item x="25"/>
        <item x="189"/>
        <item x="48"/>
        <item x="172"/>
        <item x="12"/>
        <item x="112"/>
        <item x="34"/>
        <item x="97"/>
        <item x="130"/>
        <item x="75"/>
        <item x="46"/>
        <item x="51"/>
        <item x="44"/>
        <item x="141"/>
        <item x="58"/>
        <item x="116"/>
        <item x="158"/>
        <item x="76"/>
        <item x="89"/>
        <item x="124"/>
        <item x="104"/>
        <item x="79"/>
        <item x="109"/>
        <item x="167"/>
        <item x="6"/>
        <item x="85"/>
        <item x="11"/>
        <item x="127"/>
        <item x="146"/>
        <item x="59"/>
        <item x="67"/>
        <item x="60"/>
        <item x="37"/>
        <item x="126"/>
        <item x="139"/>
        <item x="87"/>
        <item x="30"/>
        <item x="192"/>
        <item x="195"/>
        <item x="140"/>
        <item x="185"/>
        <item x="15"/>
        <item x="18"/>
        <item x="74"/>
        <item x="10"/>
        <item x="144"/>
        <item x="174"/>
        <item x="160"/>
        <item x="155"/>
        <item x="107"/>
        <item t="default"/>
      </items>
    </pivotField>
    <pivotField compact="0" showAll="0">
      <items count="20">
        <item x="17"/>
        <item x="7"/>
        <item x="1"/>
        <item x="0"/>
        <item x="16"/>
        <item x="5"/>
        <item x="9"/>
        <item x="4"/>
        <item x="13"/>
        <item x="11"/>
        <item x="6"/>
        <item x="3"/>
        <item x="12"/>
        <item x="8"/>
        <item x="10"/>
        <item x="18"/>
        <item x="2"/>
        <item x="14"/>
        <item x="15"/>
        <item t="default"/>
      </items>
    </pivotField>
    <pivotField compact="0" showAll="0">
      <items count="201">
        <item x="148"/>
        <item x="70"/>
        <item x="114"/>
        <item x="187"/>
        <item x="125"/>
        <item x="91"/>
        <item x="57"/>
        <item x="113"/>
        <item x="69"/>
        <item x="133"/>
        <item x="78"/>
        <item x="112"/>
        <item x="9"/>
        <item x="45"/>
        <item x="183"/>
        <item x="199"/>
        <item x="27"/>
        <item x="94"/>
        <item x="118"/>
        <item x="175"/>
        <item x="157"/>
        <item x="52"/>
        <item x="196"/>
        <item x="172"/>
        <item x="29"/>
        <item x="58"/>
        <item x="135"/>
        <item x="17"/>
        <item x="19"/>
        <item x="3"/>
        <item x="171"/>
        <item x="120"/>
        <item x="136"/>
        <item x="1"/>
        <item x="170"/>
        <item x="156"/>
        <item x="77"/>
        <item x="128"/>
        <item x="76"/>
        <item x="119"/>
        <item x="73"/>
        <item x="137"/>
        <item x="0"/>
        <item x="23"/>
        <item x="32"/>
        <item x="151"/>
        <item x="145"/>
        <item x="61"/>
        <item x="90"/>
        <item x="49"/>
        <item x="84"/>
        <item x="129"/>
        <item x="116"/>
        <item x="41"/>
        <item x="72"/>
        <item x="21"/>
        <item x="64"/>
        <item x="95"/>
        <item x="8"/>
        <item x="82"/>
        <item x="163"/>
        <item x="35"/>
        <item x="179"/>
        <item x="13"/>
        <item x="165"/>
        <item x="121"/>
        <item x="130"/>
        <item x="75"/>
        <item x="42"/>
        <item x="50"/>
        <item x="186"/>
        <item x="143"/>
        <item x="7"/>
        <item x="178"/>
        <item x="22"/>
        <item x="159"/>
        <item x="132"/>
        <item x="67"/>
        <item x="190"/>
        <item x="188"/>
        <item x="161"/>
        <item x="30"/>
        <item x="147"/>
        <item x="24"/>
        <item x="150"/>
        <item x="194"/>
        <item x="180"/>
        <item x="83"/>
        <item x="191"/>
        <item x="36"/>
        <item x="105"/>
        <item x="5"/>
        <item x="14"/>
        <item x="86"/>
        <item x="167"/>
        <item x="182"/>
        <item x="101"/>
        <item x="198"/>
        <item x="177"/>
        <item x="96"/>
        <item x="98"/>
        <item x="155"/>
        <item x="51"/>
        <item x="158"/>
        <item x="16"/>
        <item x="109"/>
        <item x="55"/>
        <item x="131"/>
        <item x="197"/>
        <item x="10"/>
        <item x="144"/>
        <item x="33"/>
        <item x="46"/>
        <item x="164"/>
        <item x="162"/>
        <item x="100"/>
        <item x="38"/>
        <item x="123"/>
        <item x="122"/>
        <item x="4"/>
        <item x="108"/>
        <item x="104"/>
        <item x="115"/>
        <item x="20"/>
        <item x="66"/>
        <item x="173"/>
        <item x="56"/>
        <item x="99"/>
        <item x="168"/>
        <item x="39"/>
        <item x="60"/>
        <item x="141"/>
        <item x="68"/>
        <item x="92"/>
        <item x="26"/>
        <item x="154"/>
        <item x="195"/>
        <item x="111"/>
        <item x="166"/>
        <item x="47"/>
        <item x="2"/>
        <item x="54"/>
        <item x="88"/>
        <item x="80"/>
        <item x="189"/>
        <item x="102"/>
        <item x="97"/>
        <item x="127"/>
        <item x="184"/>
        <item x="117"/>
        <item x="44"/>
        <item x="176"/>
        <item x="140"/>
        <item x="138"/>
        <item x="37"/>
        <item x="152"/>
        <item x="65"/>
        <item x="169"/>
        <item x="110"/>
        <item x="103"/>
        <item x="6"/>
        <item x="62"/>
        <item x="149"/>
        <item x="43"/>
        <item x="12"/>
        <item x="34"/>
        <item x="53"/>
        <item x="134"/>
        <item x="63"/>
        <item x="40"/>
        <item x="107"/>
        <item x="31"/>
        <item x="193"/>
        <item x="71"/>
        <item x="28"/>
        <item x="11"/>
        <item x="146"/>
        <item x="181"/>
        <item x="174"/>
        <item x="81"/>
        <item x="160"/>
        <item x="18"/>
        <item x="74"/>
        <item x="89"/>
        <item x="192"/>
        <item x="106"/>
        <item x="15"/>
        <item x="25"/>
        <item x="126"/>
        <item x="93"/>
        <item x="142"/>
        <item x="153"/>
        <item x="48"/>
        <item x="85"/>
        <item x="139"/>
        <item x="124"/>
        <item x="59"/>
        <item x="79"/>
        <item x="185"/>
        <item x="87"/>
        <item t="default"/>
      </items>
    </pivotField>
    <pivotField compact="0" showAll="0">
      <items count="6">
        <item x="1"/>
        <item x="4"/>
        <item x="3"/>
        <item x="2"/>
        <item x="0"/>
        <item t="default"/>
      </items>
    </pivotField>
    <pivotField compact="0" numFmtId="178"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axis="axisRow" compact="0" showAll="0">
      <items count="13">
        <item h="1" x="9"/>
        <item h="1" x="10"/>
        <item x="11"/>
        <item x="0"/>
        <item x="1"/>
        <item x="2"/>
        <item x="3"/>
        <item x="4"/>
        <item x="5"/>
        <item x="6"/>
        <item x="7"/>
        <item x="8"/>
        <item t="default"/>
      </items>
    </pivotField>
    <pivotField dataField="1" compact="0" showAll="0">
      <items count="201">
        <item x="129"/>
        <item x="21"/>
        <item x="188"/>
        <item x="148"/>
        <item x="72"/>
        <item x="137"/>
        <item x="145"/>
        <item x="70"/>
        <item x="57"/>
        <item x="125"/>
        <item x="35"/>
        <item x="14"/>
        <item x="180"/>
        <item x="29"/>
        <item x="19"/>
        <item x="3"/>
        <item x="143"/>
        <item x="115"/>
        <item x="77"/>
        <item x="54"/>
        <item x="49"/>
        <item x="23"/>
        <item x="82"/>
        <item x="134"/>
        <item x="123"/>
        <item x="156"/>
        <item x="182"/>
        <item x="8"/>
        <item x="113"/>
        <item x="128"/>
        <item x="39"/>
        <item x="63"/>
        <item x="102"/>
        <item x="17"/>
        <item x="161"/>
        <item x="100"/>
        <item x="42"/>
        <item x="45"/>
        <item x="33"/>
        <item x="61"/>
        <item x="169"/>
        <item x="173"/>
        <item x="91"/>
        <item x="136"/>
        <item x="38"/>
        <item x="103"/>
        <item x="93"/>
        <item x="168"/>
        <item x="142"/>
        <item x="26"/>
        <item x="68"/>
        <item x="50"/>
        <item x="197"/>
        <item x="32"/>
        <item x="191"/>
        <item x="179"/>
        <item x="55"/>
        <item x="73"/>
        <item x="171"/>
        <item x="75"/>
        <item x="64"/>
        <item x="162"/>
        <item x="114"/>
        <item x="133"/>
        <item x="138"/>
        <item x="132"/>
        <item x="4"/>
        <item x="80"/>
        <item x="13"/>
        <item x="184"/>
        <item x="2"/>
        <item x="152"/>
        <item x="25"/>
        <item x="62"/>
        <item x="22"/>
        <item x="98"/>
        <item x="16"/>
        <item x="15"/>
        <item x="7"/>
        <item x="150"/>
        <item x="43"/>
        <item x="5"/>
        <item x="74"/>
        <item x="86"/>
        <item x="105"/>
        <item x="65"/>
        <item x="186"/>
        <item x="6"/>
        <item x="111"/>
        <item x="147"/>
        <item x="140"/>
        <item x="119"/>
        <item x="149"/>
        <item x="30"/>
        <item x="108"/>
        <item x="94"/>
        <item x="176"/>
        <item x="0"/>
        <item x="189"/>
        <item x="154"/>
        <item x="48"/>
        <item x="66"/>
        <item x="196"/>
        <item x="166"/>
        <item x="85"/>
        <item x="92"/>
        <item x="165"/>
        <item x="155"/>
        <item x="53"/>
        <item x="187"/>
        <item x="118"/>
        <item x="69"/>
        <item x="193"/>
        <item x="175"/>
        <item x="90"/>
        <item x="96"/>
        <item x="9"/>
        <item x="126"/>
        <item x="110"/>
        <item x="112"/>
        <item x="135"/>
        <item x="27"/>
        <item x="120"/>
        <item x="36"/>
        <item x="44"/>
        <item x="95"/>
        <item x="106"/>
        <item x="41"/>
        <item x="24"/>
        <item x="198"/>
        <item x="52"/>
        <item x="172"/>
        <item x="190"/>
        <item x="31"/>
        <item x="56"/>
        <item x="164"/>
        <item x="194"/>
        <item x="28"/>
        <item x="81"/>
        <item x="181"/>
        <item x="83"/>
        <item x="183"/>
        <item x="122"/>
        <item x="151"/>
        <item x="40"/>
        <item x="170"/>
        <item x="139"/>
        <item x="117"/>
        <item x="131"/>
        <item x="178"/>
        <item x="1"/>
        <item x="199"/>
        <item x="76"/>
        <item x="88"/>
        <item x="71"/>
        <item x="163"/>
        <item x="101"/>
        <item x="159"/>
        <item x="58"/>
        <item x="104"/>
        <item x="47"/>
        <item x="99"/>
        <item x="12"/>
        <item x="67"/>
        <item x="11"/>
        <item x="177"/>
        <item x="130"/>
        <item x="46"/>
        <item x="37"/>
        <item x="127"/>
        <item x="116"/>
        <item x="20"/>
        <item x="89"/>
        <item x="18"/>
        <item x="157"/>
        <item x="146"/>
        <item x="141"/>
        <item x="60"/>
        <item x="78"/>
        <item x="124"/>
        <item x="34"/>
        <item x="84"/>
        <item x="167"/>
        <item x="97"/>
        <item x="51"/>
        <item x="109"/>
        <item x="153"/>
        <item x="158"/>
        <item x="79"/>
        <item x="121"/>
        <item x="174"/>
        <item x="195"/>
        <item x="160"/>
        <item x="87"/>
        <item x="10"/>
        <item x="144"/>
        <item x="59"/>
        <item x="192"/>
        <item x="185"/>
        <item x="107"/>
        <item t="default"/>
      </items>
    </pivotField>
  </pivotFields>
  <rowFields count="1">
    <field x="9"/>
  </rowFields>
  <rowItems count="4">
    <i>
      <x v="4"/>
    </i>
    <i>
      <x v="7"/>
    </i>
    <i>
      <x v="11"/>
    </i>
    <i t="grand">
      <x/>
    </i>
  </rowItems>
  <colItems count="1">
    <i/>
  </colItems>
  <dataFields count="1">
    <dataField name="Sum of Profit" fld="10"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6"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A20:B22" firstHeaderRow="1" firstDataRow="1" firstDataCol="1"/>
  <pivotFields count="11">
    <pivotField compact="0" showAll="0">
      <items count="31">
        <item x="6"/>
        <item x="22"/>
        <item x="23"/>
        <item x="26"/>
        <item x="3"/>
        <item x="14"/>
        <item x="5"/>
        <item x="13"/>
        <item x="8"/>
        <item x="9"/>
        <item x="21"/>
        <item x="1"/>
        <item x="27"/>
        <item x="10"/>
        <item x="19"/>
        <item x="20"/>
        <item x="2"/>
        <item x="29"/>
        <item x="0"/>
        <item x="24"/>
        <item x="18"/>
        <item x="15"/>
        <item x="11"/>
        <item x="25"/>
        <item x="17"/>
        <item x="7"/>
        <item x="28"/>
        <item x="16"/>
        <item x="12"/>
        <item x="4"/>
        <item t="default"/>
      </items>
    </pivotField>
    <pivotField compact="0" showAll="0">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axis="axisRow" compact="0" showAll="0">
      <items count="6">
        <item x="4"/>
        <item h="1" x="1"/>
        <item h="1" x="3"/>
        <item h="1" x="2"/>
        <item h="1" x="0"/>
        <item t="default"/>
      </items>
    </pivotField>
    <pivotField compact="0" showAll="0">
      <items count="6">
        <item h="1" x="0"/>
        <item h="1" x="1"/>
        <item h="1" x="2"/>
        <item x="3"/>
        <item h="1" x="4"/>
        <item t="default"/>
      </items>
    </pivotField>
    <pivotField compact="0" showAll="0">
      <items count="201">
        <item x="129"/>
        <item x="148"/>
        <item x="145"/>
        <item x="156"/>
        <item x="143"/>
        <item x="21"/>
        <item x="182"/>
        <item x="188"/>
        <item x="35"/>
        <item x="61"/>
        <item x="180"/>
        <item x="8"/>
        <item x="137"/>
        <item x="77"/>
        <item x="14"/>
        <item x="72"/>
        <item x="197"/>
        <item x="42"/>
        <item x="168"/>
        <item x="39"/>
        <item x="162"/>
        <item x="100"/>
        <item x="70"/>
        <item x="17"/>
        <item x="161"/>
        <item x="19"/>
        <item x="114"/>
        <item x="147"/>
        <item x="26"/>
        <item x="80"/>
        <item x="187"/>
        <item x="115"/>
        <item x="186"/>
        <item x="111"/>
        <item x="173"/>
        <item x="23"/>
        <item x="125"/>
        <item x="179"/>
        <item x="2"/>
        <item x="123"/>
        <item x="91"/>
        <item x="108"/>
        <item x="9"/>
        <item x="196"/>
        <item x="57"/>
        <item x="166"/>
        <item x="22"/>
        <item x="150"/>
        <item x="191"/>
        <item x="3"/>
        <item x="190"/>
        <item x="113"/>
        <item x="38"/>
        <item x="49"/>
        <item x="82"/>
        <item x="29"/>
        <item x="73"/>
        <item x="69"/>
        <item x="138"/>
        <item x="54"/>
        <item x="136"/>
        <item x="13"/>
        <item x="98"/>
        <item x="176"/>
        <item x="165"/>
        <item x="135"/>
        <item x="43"/>
        <item x="36"/>
        <item x="170"/>
        <item x="4"/>
        <item x="32"/>
        <item x="132"/>
        <item x="45"/>
        <item x="152"/>
        <item x="183"/>
        <item x="151"/>
        <item x="86"/>
        <item x="92"/>
        <item x="66"/>
        <item x="16"/>
        <item x="149"/>
        <item x="134"/>
        <item x="99"/>
        <item x="95"/>
        <item x="55"/>
        <item x="128"/>
        <item x="103"/>
        <item x="24"/>
        <item x="199"/>
        <item x="62"/>
        <item x="194"/>
        <item x="27"/>
        <item x="53"/>
        <item x="20"/>
        <item x="119"/>
        <item x="105"/>
        <item x="5"/>
        <item x="94"/>
        <item x="33"/>
        <item x="56"/>
        <item x="110"/>
        <item x="71"/>
        <item x="28"/>
        <item x="184"/>
        <item x="101"/>
        <item x="198"/>
        <item x="47"/>
        <item x="63"/>
        <item x="118"/>
        <item x="102"/>
        <item x="117"/>
        <item x="175"/>
        <item x="122"/>
        <item x="68"/>
        <item x="50"/>
        <item x="177"/>
        <item x="31"/>
        <item x="41"/>
        <item x="171"/>
        <item x="65"/>
        <item x="0"/>
        <item x="154"/>
        <item x="133"/>
        <item x="181"/>
        <item x="83"/>
        <item x="7"/>
        <item x="157"/>
        <item x="120"/>
        <item x="106"/>
        <item x="52"/>
        <item x="193"/>
        <item x="164"/>
        <item x="178"/>
        <item x="64"/>
        <item x="1"/>
        <item x="90"/>
        <item x="163"/>
        <item x="78"/>
        <item x="169"/>
        <item x="159"/>
        <item x="81"/>
        <item x="131"/>
        <item x="40"/>
        <item x="88"/>
        <item x="93"/>
        <item x="142"/>
        <item x="121"/>
        <item x="84"/>
        <item x="153"/>
        <item x="96"/>
        <item x="25"/>
        <item x="189"/>
        <item x="48"/>
        <item x="172"/>
        <item x="12"/>
        <item x="112"/>
        <item x="34"/>
        <item x="97"/>
        <item x="130"/>
        <item x="75"/>
        <item x="46"/>
        <item x="51"/>
        <item x="44"/>
        <item x="141"/>
        <item x="58"/>
        <item x="116"/>
        <item x="158"/>
        <item x="76"/>
        <item x="89"/>
        <item x="124"/>
        <item x="104"/>
        <item x="79"/>
        <item x="109"/>
        <item x="167"/>
        <item x="6"/>
        <item x="85"/>
        <item x="11"/>
        <item x="127"/>
        <item x="146"/>
        <item x="59"/>
        <item x="67"/>
        <item x="60"/>
        <item x="37"/>
        <item x="126"/>
        <item x="139"/>
        <item x="87"/>
        <item x="30"/>
        <item x="192"/>
        <item x="195"/>
        <item x="140"/>
        <item x="185"/>
        <item x="15"/>
        <item x="18"/>
        <item x="74"/>
        <item x="10"/>
        <item x="144"/>
        <item x="174"/>
        <item x="160"/>
        <item x="155"/>
        <item x="107"/>
        <item t="default"/>
      </items>
    </pivotField>
    <pivotField compact="0" showAll="0">
      <items count="20">
        <item x="17"/>
        <item x="7"/>
        <item x="1"/>
        <item x="0"/>
        <item x="16"/>
        <item x="5"/>
        <item x="9"/>
        <item x="4"/>
        <item x="13"/>
        <item x="11"/>
        <item x="6"/>
        <item x="3"/>
        <item x="12"/>
        <item x="8"/>
        <item x="10"/>
        <item x="18"/>
        <item x="2"/>
        <item x="14"/>
        <item x="15"/>
        <item t="default"/>
      </items>
    </pivotField>
    <pivotField compact="0" showAll="0">
      <items count="201">
        <item x="148"/>
        <item x="70"/>
        <item x="114"/>
        <item x="187"/>
        <item x="125"/>
        <item x="91"/>
        <item x="57"/>
        <item x="113"/>
        <item x="69"/>
        <item x="133"/>
        <item x="78"/>
        <item x="112"/>
        <item x="9"/>
        <item x="45"/>
        <item x="183"/>
        <item x="199"/>
        <item x="27"/>
        <item x="94"/>
        <item x="118"/>
        <item x="175"/>
        <item x="157"/>
        <item x="52"/>
        <item x="196"/>
        <item x="172"/>
        <item x="29"/>
        <item x="58"/>
        <item x="135"/>
        <item x="17"/>
        <item x="19"/>
        <item x="3"/>
        <item x="171"/>
        <item x="120"/>
        <item x="136"/>
        <item x="1"/>
        <item x="170"/>
        <item x="156"/>
        <item x="77"/>
        <item x="128"/>
        <item x="76"/>
        <item x="119"/>
        <item x="73"/>
        <item x="137"/>
        <item x="0"/>
        <item x="23"/>
        <item x="32"/>
        <item x="151"/>
        <item x="145"/>
        <item x="61"/>
        <item x="90"/>
        <item x="49"/>
        <item x="84"/>
        <item x="129"/>
        <item x="116"/>
        <item x="41"/>
        <item x="72"/>
        <item x="21"/>
        <item x="64"/>
        <item x="95"/>
        <item x="8"/>
        <item x="82"/>
        <item x="163"/>
        <item x="35"/>
        <item x="179"/>
        <item x="13"/>
        <item x="165"/>
        <item x="121"/>
        <item x="130"/>
        <item x="75"/>
        <item x="42"/>
        <item x="50"/>
        <item x="186"/>
        <item x="143"/>
        <item x="7"/>
        <item x="178"/>
        <item x="22"/>
        <item x="159"/>
        <item x="132"/>
        <item x="67"/>
        <item x="190"/>
        <item x="188"/>
        <item x="161"/>
        <item x="30"/>
        <item x="147"/>
        <item x="24"/>
        <item x="150"/>
        <item x="194"/>
        <item x="180"/>
        <item x="83"/>
        <item x="191"/>
        <item x="36"/>
        <item x="105"/>
        <item x="5"/>
        <item x="14"/>
        <item x="86"/>
        <item x="167"/>
        <item x="182"/>
        <item x="101"/>
        <item x="198"/>
        <item x="177"/>
        <item x="96"/>
        <item x="98"/>
        <item x="155"/>
        <item x="51"/>
        <item x="158"/>
        <item x="16"/>
        <item x="109"/>
        <item x="55"/>
        <item x="131"/>
        <item x="197"/>
        <item x="10"/>
        <item x="144"/>
        <item x="33"/>
        <item x="46"/>
        <item x="164"/>
        <item x="162"/>
        <item x="100"/>
        <item x="38"/>
        <item x="123"/>
        <item x="122"/>
        <item x="4"/>
        <item x="108"/>
        <item x="104"/>
        <item x="115"/>
        <item x="20"/>
        <item x="66"/>
        <item x="173"/>
        <item x="56"/>
        <item x="99"/>
        <item x="168"/>
        <item x="39"/>
        <item x="60"/>
        <item x="141"/>
        <item x="68"/>
        <item x="92"/>
        <item x="26"/>
        <item x="154"/>
        <item x="195"/>
        <item x="111"/>
        <item x="166"/>
        <item x="47"/>
        <item x="2"/>
        <item x="54"/>
        <item x="88"/>
        <item x="80"/>
        <item x="189"/>
        <item x="102"/>
        <item x="97"/>
        <item x="127"/>
        <item x="184"/>
        <item x="117"/>
        <item x="44"/>
        <item x="176"/>
        <item x="140"/>
        <item x="138"/>
        <item x="37"/>
        <item x="152"/>
        <item x="65"/>
        <item x="169"/>
        <item x="110"/>
        <item x="103"/>
        <item x="6"/>
        <item x="62"/>
        <item x="149"/>
        <item x="43"/>
        <item x="12"/>
        <item x="34"/>
        <item x="53"/>
        <item x="134"/>
        <item x="63"/>
        <item x="40"/>
        <item x="107"/>
        <item x="31"/>
        <item x="193"/>
        <item x="71"/>
        <item x="28"/>
        <item x="11"/>
        <item x="146"/>
        <item x="181"/>
        <item x="174"/>
        <item x="81"/>
        <item x="160"/>
        <item x="18"/>
        <item x="74"/>
        <item x="89"/>
        <item x="192"/>
        <item x="106"/>
        <item x="15"/>
        <item x="25"/>
        <item x="126"/>
        <item x="93"/>
        <item x="142"/>
        <item x="153"/>
        <item x="48"/>
        <item x="85"/>
        <item x="139"/>
        <item x="124"/>
        <item x="59"/>
        <item x="79"/>
        <item x="185"/>
        <item x="87"/>
        <item t="default"/>
      </items>
    </pivotField>
    <pivotField compact="0" showAll="0">
      <items count="6">
        <item x="1"/>
        <item x="4"/>
        <item x="3"/>
        <item x="2"/>
        <item x="0"/>
        <item t="default"/>
      </items>
    </pivotField>
    <pivotField compact="0" numFmtId="178"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compact="0" showAll="0">
      <items count="13">
        <item h="1" x="9"/>
        <item h="1" x="10"/>
        <item x="11"/>
        <item x="0"/>
        <item x="1"/>
        <item x="2"/>
        <item x="3"/>
        <item x="4"/>
        <item x="5"/>
        <item x="6"/>
        <item x="7"/>
        <item x="8"/>
        <item t="default"/>
      </items>
    </pivotField>
    <pivotField dataField="1" compact="0" showAll="0">
      <items count="201">
        <item x="129"/>
        <item x="21"/>
        <item x="188"/>
        <item x="148"/>
        <item x="72"/>
        <item x="137"/>
        <item x="145"/>
        <item x="70"/>
        <item x="57"/>
        <item x="125"/>
        <item x="35"/>
        <item x="14"/>
        <item x="180"/>
        <item x="29"/>
        <item x="19"/>
        <item x="3"/>
        <item x="143"/>
        <item x="115"/>
        <item x="77"/>
        <item x="54"/>
        <item x="49"/>
        <item x="23"/>
        <item x="82"/>
        <item x="134"/>
        <item x="123"/>
        <item x="156"/>
        <item x="182"/>
        <item x="8"/>
        <item x="113"/>
        <item x="128"/>
        <item x="39"/>
        <item x="63"/>
        <item x="102"/>
        <item x="17"/>
        <item x="161"/>
        <item x="100"/>
        <item x="42"/>
        <item x="45"/>
        <item x="33"/>
        <item x="61"/>
        <item x="169"/>
        <item x="173"/>
        <item x="91"/>
        <item x="136"/>
        <item x="38"/>
        <item x="103"/>
        <item x="93"/>
        <item x="168"/>
        <item x="142"/>
        <item x="26"/>
        <item x="68"/>
        <item x="50"/>
        <item x="197"/>
        <item x="32"/>
        <item x="191"/>
        <item x="179"/>
        <item x="55"/>
        <item x="73"/>
        <item x="171"/>
        <item x="75"/>
        <item x="64"/>
        <item x="162"/>
        <item x="114"/>
        <item x="133"/>
        <item x="138"/>
        <item x="132"/>
        <item x="4"/>
        <item x="80"/>
        <item x="13"/>
        <item x="184"/>
        <item x="2"/>
        <item x="152"/>
        <item x="25"/>
        <item x="62"/>
        <item x="22"/>
        <item x="98"/>
        <item x="16"/>
        <item x="15"/>
        <item x="7"/>
        <item x="150"/>
        <item x="43"/>
        <item x="5"/>
        <item x="74"/>
        <item x="86"/>
        <item x="105"/>
        <item x="65"/>
        <item x="186"/>
        <item x="6"/>
        <item x="111"/>
        <item x="147"/>
        <item x="140"/>
        <item x="119"/>
        <item x="149"/>
        <item x="30"/>
        <item x="108"/>
        <item x="94"/>
        <item x="176"/>
        <item x="0"/>
        <item x="189"/>
        <item x="154"/>
        <item x="48"/>
        <item x="66"/>
        <item x="196"/>
        <item x="166"/>
        <item x="85"/>
        <item x="92"/>
        <item x="165"/>
        <item x="155"/>
        <item x="53"/>
        <item x="187"/>
        <item x="118"/>
        <item x="69"/>
        <item x="193"/>
        <item x="175"/>
        <item x="90"/>
        <item x="96"/>
        <item x="9"/>
        <item x="126"/>
        <item x="110"/>
        <item x="112"/>
        <item x="135"/>
        <item x="27"/>
        <item x="120"/>
        <item x="36"/>
        <item x="44"/>
        <item x="95"/>
        <item x="106"/>
        <item x="41"/>
        <item x="24"/>
        <item x="198"/>
        <item x="52"/>
        <item x="172"/>
        <item x="190"/>
        <item x="31"/>
        <item x="56"/>
        <item x="164"/>
        <item x="194"/>
        <item x="28"/>
        <item x="81"/>
        <item x="181"/>
        <item x="83"/>
        <item x="183"/>
        <item x="122"/>
        <item x="151"/>
        <item x="40"/>
        <item x="170"/>
        <item x="139"/>
        <item x="117"/>
        <item x="131"/>
        <item x="178"/>
        <item x="1"/>
        <item x="199"/>
        <item x="76"/>
        <item x="88"/>
        <item x="71"/>
        <item x="163"/>
        <item x="101"/>
        <item x="159"/>
        <item x="58"/>
        <item x="104"/>
        <item x="47"/>
        <item x="99"/>
        <item x="12"/>
        <item x="67"/>
        <item x="11"/>
        <item x="177"/>
        <item x="130"/>
        <item x="46"/>
        <item x="37"/>
        <item x="127"/>
        <item x="116"/>
        <item x="20"/>
        <item x="89"/>
        <item x="18"/>
        <item x="157"/>
        <item x="146"/>
        <item x="141"/>
        <item x="60"/>
        <item x="78"/>
        <item x="124"/>
        <item x="34"/>
        <item x="84"/>
        <item x="167"/>
        <item x="97"/>
        <item x="51"/>
        <item x="109"/>
        <item x="153"/>
        <item x="158"/>
        <item x="79"/>
        <item x="121"/>
        <item x="174"/>
        <item x="195"/>
        <item x="160"/>
        <item x="87"/>
        <item x="10"/>
        <item x="144"/>
        <item x="59"/>
        <item x="192"/>
        <item x="185"/>
        <item x="107"/>
        <item t="default"/>
      </items>
    </pivotField>
  </pivotFields>
  <rowFields count="1">
    <field x="2"/>
  </rowFields>
  <rowItems count="2">
    <i>
      <x/>
    </i>
    <i t="grand">
      <x/>
    </i>
  </rowItems>
  <colItems count="1">
    <i/>
  </colItems>
  <dataFields count="1">
    <dataField name="Sum of Profit" fld="10"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7"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A35:B39" firstHeaderRow="1" firstDataRow="1" firstDataCol="1"/>
  <pivotFields count="11">
    <pivotField compact="0" showAll="0">
      <items count="31">
        <item x="6"/>
        <item x="22"/>
        <item x="23"/>
        <item x="26"/>
        <item x="3"/>
        <item x="14"/>
        <item x="5"/>
        <item x="13"/>
        <item x="8"/>
        <item x="9"/>
        <item x="21"/>
        <item x="1"/>
        <item x="27"/>
        <item x="10"/>
        <item x="19"/>
        <item x="20"/>
        <item x="2"/>
        <item x="29"/>
        <item x="0"/>
        <item x="24"/>
        <item x="18"/>
        <item x="15"/>
        <item x="11"/>
        <item x="25"/>
        <item x="17"/>
        <item x="7"/>
        <item x="28"/>
        <item x="16"/>
        <item x="12"/>
        <item x="4"/>
        <item t="default"/>
      </items>
    </pivotField>
    <pivotField compact="0" showAll="0">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compact="0" showAll="0">
      <items count="6">
        <item x="4"/>
        <item h="1" x="1"/>
        <item h="1" x="3"/>
        <item h="1" x="2"/>
        <item h="1" x="0"/>
        <item t="default"/>
      </items>
    </pivotField>
    <pivotField compact="0" showAll="0">
      <items count="6">
        <item h="1" x="0"/>
        <item h="1" x="1"/>
        <item h="1" x="2"/>
        <item x="3"/>
        <item h="1" x="4"/>
        <item t="default"/>
      </items>
    </pivotField>
    <pivotField compact="0" showAll="0">
      <items count="201">
        <item x="129"/>
        <item x="148"/>
        <item x="145"/>
        <item x="156"/>
        <item x="143"/>
        <item x="21"/>
        <item x="182"/>
        <item x="188"/>
        <item x="35"/>
        <item x="61"/>
        <item x="180"/>
        <item x="8"/>
        <item x="137"/>
        <item x="77"/>
        <item x="14"/>
        <item x="72"/>
        <item x="197"/>
        <item x="42"/>
        <item x="168"/>
        <item x="39"/>
        <item x="162"/>
        <item x="100"/>
        <item x="70"/>
        <item x="17"/>
        <item x="161"/>
        <item x="19"/>
        <item x="114"/>
        <item x="147"/>
        <item x="26"/>
        <item x="80"/>
        <item x="187"/>
        <item x="115"/>
        <item x="186"/>
        <item x="111"/>
        <item x="173"/>
        <item x="23"/>
        <item x="125"/>
        <item x="179"/>
        <item x="2"/>
        <item x="123"/>
        <item x="91"/>
        <item x="108"/>
        <item x="9"/>
        <item x="196"/>
        <item x="57"/>
        <item x="166"/>
        <item x="22"/>
        <item x="150"/>
        <item x="191"/>
        <item x="3"/>
        <item x="190"/>
        <item x="113"/>
        <item x="38"/>
        <item x="49"/>
        <item x="82"/>
        <item x="29"/>
        <item x="73"/>
        <item x="69"/>
        <item x="138"/>
        <item x="54"/>
        <item x="136"/>
        <item x="13"/>
        <item x="98"/>
        <item x="176"/>
        <item x="165"/>
        <item x="135"/>
        <item x="43"/>
        <item x="36"/>
        <item x="170"/>
        <item x="4"/>
        <item x="32"/>
        <item x="132"/>
        <item x="45"/>
        <item x="152"/>
        <item x="183"/>
        <item x="151"/>
        <item x="86"/>
        <item x="92"/>
        <item x="66"/>
        <item x="16"/>
        <item x="149"/>
        <item x="134"/>
        <item x="99"/>
        <item x="95"/>
        <item x="55"/>
        <item x="128"/>
        <item x="103"/>
        <item x="24"/>
        <item x="199"/>
        <item x="62"/>
        <item x="194"/>
        <item x="27"/>
        <item x="53"/>
        <item x="20"/>
        <item x="119"/>
        <item x="105"/>
        <item x="5"/>
        <item x="94"/>
        <item x="33"/>
        <item x="56"/>
        <item x="110"/>
        <item x="71"/>
        <item x="28"/>
        <item x="184"/>
        <item x="101"/>
        <item x="198"/>
        <item x="47"/>
        <item x="63"/>
        <item x="118"/>
        <item x="102"/>
        <item x="117"/>
        <item x="175"/>
        <item x="122"/>
        <item x="68"/>
        <item x="50"/>
        <item x="177"/>
        <item x="31"/>
        <item x="41"/>
        <item x="171"/>
        <item x="65"/>
        <item x="0"/>
        <item x="154"/>
        <item x="133"/>
        <item x="181"/>
        <item x="83"/>
        <item x="7"/>
        <item x="157"/>
        <item x="120"/>
        <item x="106"/>
        <item x="52"/>
        <item x="193"/>
        <item x="164"/>
        <item x="178"/>
        <item x="64"/>
        <item x="1"/>
        <item x="90"/>
        <item x="163"/>
        <item x="78"/>
        <item x="169"/>
        <item x="159"/>
        <item x="81"/>
        <item x="131"/>
        <item x="40"/>
        <item x="88"/>
        <item x="93"/>
        <item x="142"/>
        <item x="121"/>
        <item x="84"/>
        <item x="153"/>
        <item x="96"/>
        <item x="25"/>
        <item x="189"/>
        <item x="48"/>
        <item x="172"/>
        <item x="12"/>
        <item x="112"/>
        <item x="34"/>
        <item x="97"/>
        <item x="130"/>
        <item x="75"/>
        <item x="46"/>
        <item x="51"/>
        <item x="44"/>
        <item x="141"/>
        <item x="58"/>
        <item x="116"/>
        <item x="158"/>
        <item x="76"/>
        <item x="89"/>
        <item x="124"/>
        <item x="104"/>
        <item x="79"/>
        <item x="109"/>
        <item x="167"/>
        <item x="6"/>
        <item x="85"/>
        <item x="11"/>
        <item x="127"/>
        <item x="146"/>
        <item x="59"/>
        <item x="67"/>
        <item x="60"/>
        <item x="37"/>
        <item x="126"/>
        <item x="139"/>
        <item x="87"/>
        <item x="30"/>
        <item x="192"/>
        <item x="195"/>
        <item x="140"/>
        <item x="185"/>
        <item x="15"/>
        <item x="18"/>
        <item x="74"/>
        <item x="10"/>
        <item x="144"/>
        <item x="174"/>
        <item x="160"/>
        <item x="155"/>
        <item x="107"/>
        <item t="default"/>
      </items>
    </pivotField>
    <pivotField compact="0" showAll="0">
      <items count="20">
        <item x="17"/>
        <item x="7"/>
        <item x="1"/>
        <item x="0"/>
        <item x="16"/>
        <item x="5"/>
        <item x="9"/>
        <item x="4"/>
        <item x="13"/>
        <item x="11"/>
        <item x="6"/>
        <item x="3"/>
        <item x="12"/>
        <item x="8"/>
        <item x="10"/>
        <item x="18"/>
        <item x="2"/>
        <item x="14"/>
        <item x="15"/>
        <item t="default"/>
      </items>
    </pivotField>
    <pivotField compact="0" showAll="0">
      <items count="201">
        <item x="148"/>
        <item x="70"/>
        <item x="114"/>
        <item x="187"/>
        <item x="125"/>
        <item x="91"/>
        <item x="57"/>
        <item x="113"/>
        <item x="69"/>
        <item x="133"/>
        <item x="78"/>
        <item x="112"/>
        <item x="9"/>
        <item x="45"/>
        <item x="183"/>
        <item x="199"/>
        <item x="27"/>
        <item x="94"/>
        <item x="118"/>
        <item x="175"/>
        <item x="157"/>
        <item x="52"/>
        <item x="196"/>
        <item x="172"/>
        <item x="29"/>
        <item x="58"/>
        <item x="135"/>
        <item x="17"/>
        <item x="19"/>
        <item x="3"/>
        <item x="171"/>
        <item x="120"/>
        <item x="136"/>
        <item x="1"/>
        <item x="170"/>
        <item x="156"/>
        <item x="77"/>
        <item x="128"/>
        <item x="76"/>
        <item x="119"/>
        <item x="73"/>
        <item x="137"/>
        <item x="0"/>
        <item x="23"/>
        <item x="32"/>
        <item x="151"/>
        <item x="145"/>
        <item x="61"/>
        <item x="90"/>
        <item x="49"/>
        <item x="84"/>
        <item x="129"/>
        <item x="116"/>
        <item x="41"/>
        <item x="72"/>
        <item x="21"/>
        <item x="64"/>
        <item x="95"/>
        <item x="8"/>
        <item x="82"/>
        <item x="163"/>
        <item x="35"/>
        <item x="179"/>
        <item x="13"/>
        <item x="165"/>
        <item x="121"/>
        <item x="130"/>
        <item x="75"/>
        <item x="42"/>
        <item x="50"/>
        <item x="186"/>
        <item x="143"/>
        <item x="7"/>
        <item x="178"/>
        <item x="22"/>
        <item x="159"/>
        <item x="132"/>
        <item x="67"/>
        <item x="190"/>
        <item x="188"/>
        <item x="161"/>
        <item x="30"/>
        <item x="147"/>
        <item x="24"/>
        <item x="150"/>
        <item x="194"/>
        <item x="180"/>
        <item x="83"/>
        <item x="191"/>
        <item x="36"/>
        <item x="105"/>
        <item x="5"/>
        <item x="14"/>
        <item x="86"/>
        <item x="167"/>
        <item x="182"/>
        <item x="101"/>
        <item x="198"/>
        <item x="177"/>
        <item x="96"/>
        <item x="98"/>
        <item x="155"/>
        <item x="51"/>
        <item x="158"/>
        <item x="16"/>
        <item x="109"/>
        <item x="55"/>
        <item x="131"/>
        <item x="197"/>
        <item x="10"/>
        <item x="144"/>
        <item x="33"/>
        <item x="46"/>
        <item x="164"/>
        <item x="162"/>
        <item x="100"/>
        <item x="38"/>
        <item x="123"/>
        <item x="122"/>
        <item x="4"/>
        <item x="108"/>
        <item x="104"/>
        <item x="115"/>
        <item x="20"/>
        <item x="66"/>
        <item x="173"/>
        <item x="56"/>
        <item x="99"/>
        <item x="168"/>
        <item x="39"/>
        <item x="60"/>
        <item x="141"/>
        <item x="68"/>
        <item x="92"/>
        <item x="26"/>
        <item x="154"/>
        <item x="195"/>
        <item x="111"/>
        <item x="166"/>
        <item x="47"/>
        <item x="2"/>
        <item x="54"/>
        <item x="88"/>
        <item x="80"/>
        <item x="189"/>
        <item x="102"/>
        <item x="97"/>
        <item x="127"/>
        <item x="184"/>
        <item x="117"/>
        <item x="44"/>
        <item x="176"/>
        <item x="140"/>
        <item x="138"/>
        <item x="37"/>
        <item x="152"/>
        <item x="65"/>
        <item x="169"/>
        <item x="110"/>
        <item x="103"/>
        <item x="6"/>
        <item x="62"/>
        <item x="149"/>
        <item x="43"/>
        <item x="12"/>
        <item x="34"/>
        <item x="53"/>
        <item x="134"/>
        <item x="63"/>
        <item x="40"/>
        <item x="107"/>
        <item x="31"/>
        <item x="193"/>
        <item x="71"/>
        <item x="28"/>
        <item x="11"/>
        <item x="146"/>
        <item x="181"/>
        <item x="174"/>
        <item x="81"/>
        <item x="160"/>
        <item x="18"/>
        <item x="74"/>
        <item x="89"/>
        <item x="192"/>
        <item x="106"/>
        <item x="15"/>
        <item x="25"/>
        <item x="126"/>
        <item x="93"/>
        <item x="142"/>
        <item x="153"/>
        <item x="48"/>
        <item x="85"/>
        <item x="139"/>
        <item x="124"/>
        <item x="59"/>
        <item x="79"/>
        <item x="185"/>
        <item x="87"/>
        <item t="default"/>
      </items>
    </pivotField>
    <pivotField compact="0" showAll="0">
      <items count="6">
        <item x="1"/>
        <item x="4"/>
        <item x="3"/>
        <item x="2"/>
        <item x="0"/>
        <item t="default"/>
      </items>
    </pivotField>
    <pivotField compact="0" numFmtId="178"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axis="axisRow" compact="0" showAll="0">
      <items count="13">
        <item h="1" x="9"/>
        <item h="1" x="10"/>
        <item x="11"/>
        <item x="0"/>
        <item x="1"/>
        <item x="2"/>
        <item x="3"/>
        <item x="4"/>
        <item x="5"/>
        <item x="6"/>
        <item x="7"/>
        <item x="8"/>
        <item t="default"/>
      </items>
    </pivotField>
    <pivotField dataField="1" compact="0" showAll="0">
      <items count="201">
        <item x="129"/>
        <item x="21"/>
        <item x="188"/>
        <item x="148"/>
        <item x="72"/>
        <item x="137"/>
        <item x="145"/>
        <item x="70"/>
        <item x="57"/>
        <item x="125"/>
        <item x="35"/>
        <item x="14"/>
        <item x="180"/>
        <item x="29"/>
        <item x="19"/>
        <item x="3"/>
        <item x="143"/>
        <item x="115"/>
        <item x="77"/>
        <item x="54"/>
        <item x="49"/>
        <item x="23"/>
        <item x="82"/>
        <item x="134"/>
        <item x="123"/>
        <item x="156"/>
        <item x="182"/>
        <item x="8"/>
        <item x="113"/>
        <item x="128"/>
        <item x="39"/>
        <item x="63"/>
        <item x="102"/>
        <item x="17"/>
        <item x="161"/>
        <item x="100"/>
        <item x="42"/>
        <item x="45"/>
        <item x="33"/>
        <item x="61"/>
        <item x="169"/>
        <item x="173"/>
        <item x="91"/>
        <item x="136"/>
        <item x="38"/>
        <item x="103"/>
        <item x="93"/>
        <item x="168"/>
        <item x="142"/>
        <item x="26"/>
        <item x="68"/>
        <item x="50"/>
        <item x="197"/>
        <item x="32"/>
        <item x="191"/>
        <item x="179"/>
        <item x="55"/>
        <item x="73"/>
        <item x="171"/>
        <item x="75"/>
        <item x="64"/>
        <item x="162"/>
        <item x="114"/>
        <item x="133"/>
        <item x="138"/>
        <item x="132"/>
        <item x="4"/>
        <item x="80"/>
        <item x="13"/>
        <item x="184"/>
        <item x="2"/>
        <item x="152"/>
        <item x="25"/>
        <item x="62"/>
        <item x="22"/>
        <item x="98"/>
        <item x="16"/>
        <item x="15"/>
        <item x="7"/>
        <item x="150"/>
        <item x="43"/>
        <item x="5"/>
        <item x="74"/>
        <item x="86"/>
        <item x="105"/>
        <item x="65"/>
        <item x="186"/>
        <item x="6"/>
        <item x="111"/>
        <item x="147"/>
        <item x="140"/>
        <item x="119"/>
        <item x="149"/>
        <item x="30"/>
        <item x="108"/>
        <item x="94"/>
        <item x="176"/>
        <item x="0"/>
        <item x="189"/>
        <item x="154"/>
        <item x="48"/>
        <item x="66"/>
        <item x="196"/>
        <item x="166"/>
        <item x="85"/>
        <item x="92"/>
        <item x="165"/>
        <item x="155"/>
        <item x="53"/>
        <item x="187"/>
        <item x="118"/>
        <item x="69"/>
        <item x="193"/>
        <item x="175"/>
        <item x="90"/>
        <item x="96"/>
        <item x="9"/>
        <item x="126"/>
        <item x="110"/>
        <item x="112"/>
        <item x="135"/>
        <item x="27"/>
        <item x="120"/>
        <item x="36"/>
        <item x="44"/>
        <item x="95"/>
        <item x="106"/>
        <item x="41"/>
        <item x="24"/>
        <item x="198"/>
        <item x="52"/>
        <item x="172"/>
        <item x="190"/>
        <item x="31"/>
        <item x="56"/>
        <item x="164"/>
        <item x="194"/>
        <item x="28"/>
        <item x="81"/>
        <item x="181"/>
        <item x="83"/>
        <item x="183"/>
        <item x="122"/>
        <item x="151"/>
        <item x="40"/>
        <item x="170"/>
        <item x="139"/>
        <item x="117"/>
        <item x="131"/>
        <item x="178"/>
        <item x="1"/>
        <item x="199"/>
        <item x="76"/>
        <item x="88"/>
        <item x="71"/>
        <item x="163"/>
        <item x="101"/>
        <item x="159"/>
        <item x="58"/>
        <item x="104"/>
        <item x="47"/>
        <item x="99"/>
        <item x="12"/>
        <item x="67"/>
        <item x="11"/>
        <item x="177"/>
        <item x="130"/>
        <item x="46"/>
        <item x="37"/>
        <item x="127"/>
        <item x="116"/>
        <item x="20"/>
        <item x="89"/>
        <item x="18"/>
        <item x="157"/>
        <item x="146"/>
        <item x="141"/>
        <item x="60"/>
        <item x="78"/>
        <item x="124"/>
        <item x="34"/>
        <item x="84"/>
        <item x="167"/>
        <item x="97"/>
        <item x="51"/>
        <item x="109"/>
        <item x="153"/>
        <item x="158"/>
        <item x="79"/>
        <item x="121"/>
        <item x="174"/>
        <item x="195"/>
        <item x="160"/>
        <item x="87"/>
        <item x="10"/>
        <item x="144"/>
        <item x="59"/>
        <item x="192"/>
        <item x="185"/>
        <item x="107"/>
        <item t="default"/>
      </items>
    </pivotField>
  </pivotFields>
  <rowFields count="1">
    <field x="9"/>
  </rowFields>
  <rowItems count="4">
    <i>
      <x v="4"/>
    </i>
    <i>
      <x v="7"/>
    </i>
    <i>
      <x v="11"/>
    </i>
    <i t="grand">
      <x/>
    </i>
  </rowItems>
  <colItems count="1">
    <i/>
  </colItems>
  <dataFields count="1">
    <dataField name="Sum of Profit" fld="10"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8"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A51:B55" firstHeaderRow="1" firstDataRow="1" firstDataCol="1"/>
  <pivotFields count="11">
    <pivotField compact="0" showAll="0">
      <items count="31">
        <item x="6"/>
        <item x="22"/>
        <item x="23"/>
        <item x="26"/>
        <item x="3"/>
        <item x="14"/>
        <item x="5"/>
        <item x="13"/>
        <item x="8"/>
        <item x="9"/>
        <item x="21"/>
        <item x="1"/>
        <item x="27"/>
        <item x="10"/>
        <item x="19"/>
        <item x="20"/>
        <item x="2"/>
        <item x="29"/>
        <item x="0"/>
        <item x="24"/>
        <item x="18"/>
        <item x="15"/>
        <item x="11"/>
        <item x="25"/>
        <item x="17"/>
        <item x="7"/>
        <item x="28"/>
        <item x="16"/>
        <item x="12"/>
        <item x="4"/>
        <item t="default"/>
      </items>
    </pivotField>
    <pivotField compact="0" showAll="0">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compact="0" showAll="0">
      <items count="6">
        <item x="4"/>
        <item h="1" x="1"/>
        <item h="1" x="3"/>
        <item h="1" x="2"/>
        <item h="1" x="0"/>
        <item t="default"/>
      </items>
    </pivotField>
    <pivotField compact="0" showAll="0">
      <items count="6">
        <item h="1" x="0"/>
        <item h="1" x="1"/>
        <item h="1" x="2"/>
        <item x="3"/>
        <item h="1" x="4"/>
        <item t="default"/>
      </items>
    </pivotField>
    <pivotField dataField="1" compact="0" showAll="0">
      <items count="201">
        <item x="129"/>
        <item x="148"/>
        <item x="145"/>
        <item x="156"/>
        <item x="143"/>
        <item x="21"/>
        <item x="182"/>
        <item x="188"/>
        <item x="35"/>
        <item x="61"/>
        <item x="180"/>
        <item x="8"/>
        <item x="137"/>
        <item x="77"/>
        <item x="14"/>
        <item x="72"/>
        <item x="197"/>
        <item x="42"/>
        <item x="168"/>
        <item x="39"/>
        <item x="162"/>
        <item x="100"/>
        <item x="70"/>
        <item x="17"/>
        <item x="161"/>
        <item x="19"/>
        <item x="114"/>
        <item x="147"/>
        <item x="26"/>
        <item x="80"/>
        <item x="187"/>
        <item x="115"/>
        <item x="186"/>
        <item x="111"/>
        <item x="173"/>
        <item x="23"/>
        <item x="125"/>
        <item x="179"/>
        <item x="2"/>
        <item x="123"/>
        <item x="91"/>
        <item x="108"/>
        <item x="9"/>
        <item x="196"/>
        <item x="57"/>
        <item x="166"/>
        <item x="22"/>
        <item x="150"/>
        <item x="191"/>
        <item x="3"/>
        <item x="190"/>
        <item x="113"/>
        <item x="38"/>
        <item x="49"/>
        <item x="82"/>
        <item x="29"/>
        <item x="73"/>
        <item x="69"/>
        <item x="138"/>
        <item x="54"/>
        <item x="136"/>
        <item x="13"/>
        <item x="98"/>
        <item x="176"/>
        <item x="165"/>
        <item x="135"/>
        <item x="43"/>
        <item x="36"/>
        <item x="170"/>
        <item x="4"/>
        <item x="32"/>
        <item x="132"/>
        <item x="45"/>
        <item x="152"/>
        <item x="183"/>
        <item x="151"/>
        <item x="86"/>
        <item x="92"/>
        <item x="66"/>
        <item x="16"/>
        <item x="149"/>
        <item x="134"/>
        <item x="99"/>
        <item x="95"/>
        <item x="55"/>
        <item x="128"/>
        <item x="103"/>
        <item x="24"/>
        <item x="199"/>
        <item x="62"/>
        <item x="194"/>
        <item x="27"/>
        <item x="53"/>
        <item x="20"/>
        <item x="119"/>
        <item x="105"/>
        <item x="5"/>
        <item x="94"/>
        <item x="33"/>
        <item x="56"/>
        <item x="110"/>
        <item x="71"/>
        <item x="28"/>
        <item x="184"/>
        <item x="101"/>
        <item x="198"/>
        <item x="47"/>
        <item x="63"/>
        <item x="118"/>
        <item x="102"/>
        <item x="117"/>
        <item x="175"/>
        <item x="122"/>
        <item x="68"/>
        <item x="50"/>
        <item x="177"/>
        <item x="31"/>
        <item x="41"/>
        <item x="171"/>
        <item x="65"/>
        <item x="0"/>
        <item x="154"/>
        <item x="133"/>
        <item x="181"/>
        <item x="83"/>
        <item x="7"/>
        <item x="157"/>
        <item x="120"/>
        <item x="106"/>
        <item x="52"/>
        <item x="193"/>
        <item x="164"/>
        <item x="178"/>
        <item x="64"/>
        <item x="1"/>
        <item x="90"/>
        <item x="163"/>
        <item x="78"/>
        <item x="169"/>
        <item x="159"/>
        <item x="81"/>
        <item x="131"/>
        <item x="40"/>
        <item x="88"/>
        <item x="93"/>
        <item x="142"/>
        <item x="121"/>
        <item x="84"/>
        <item x="153"/>
        <item x="96"/>
        <item x="25"/>
        <item x="189"/>
        <item x="48"/>
        <item x="172"/>
        <item x="12"/>
        <item x="112"/>
        <item x="34"/>
        <item x="97"/>
        <item x="130"/>
        <item x="75"/>
        <item x="46"/>
        <item x="51"/>
        <item x="44"/>
        <item x="141"/>
        <item x="58"/>
        <item x="116"/>
        <item x="158"/>
        <item x="76"/>
        <item x="89"/>
        <item x="124"/>
        <item x="104"/>
        <item x="79"/>
        <item x="109"/>
        <item x="167"/>
        <item x="6"/>
        <item x="85"/>
        <item x="11"/>
        <item x="127"/>
        <item x="146"/>
        <item x="59"/>
        <item x="67"/>
        <item x="60"/>
        <item x="37"/>
        <item x="126"/>
        <item x="139"/>
        <item x="87"/>
        <item x="30"/>
        <item x="192"/>
        <item x="195"/>
        <item x="140"/>
        <item x="185"/>
        <item x="15"/>
        <item x="18"/>
        <item x="74"/>
        <item x="10"/>
        <item x="144"/>
        <item x="174"/>
        <item x="160"/>
        <item x="155"/>
        <item x="107"/>
        <item t="default"/>
      </items>
    </pivotField>
    <pivotField compact="0" showAll="0">
      <items count="20">
        <item x="17"/>
        <item x="7"/>
        <item x="1"/>
        <item x="0"/>
        <item x="16"/>
        <item x="5"/>
        <item x="9"/>
        <item x="4"/>
        <item x="13"/>
        <item x="11"/>
        <item x="6"/>
        <item x="3"/>
        <item x="12"/>
        <item x="8"/>
        <item x="10"/>
        <item x="18"/>
        <item x="2"/>
        <item x="14"/>
        <item x="15"/>
        <item t="default"/>
      </items>
    </pivotField>
    <pivotField compact="0" showAll="0">
      <items count="201">
        <item x="148"/>
        <item x="70"/>
        <item x="114"/>
        <item x="187"/>
        <item x="125"/>
        <item x="91"/>
        <item x="57"/>
        <item x="113"/>
        <item x="69"/>
        <item x="133"/>
        <item x="78"/>
        <item x="112"/>
        <item x="9"/>
        <item x="45"/>
        <item x="183"/>
        <item x="199"/>
        <item x="27"/>
        <item x="94"/>
        <item x="118"/>
        <item x="175"/>
        <item x="157"/>
        <item x="52"/>
        <item x="196"/>
        <item x="172"/>
        <item x="29"/>
        <item x="58"/>
        <item x="135"/>
        <item x="17"/>
        <item x="19"/>
        <item x="3"/>
        <item x="171"/>
        <item x="120"/>
        <item x="136"/>
        <item x="1"/>
        <item x="170"/>
        <item x="156"/>
        <item x="77"/>
        <item x="128"/>
        <item x="76"/>
        <item x="119"/>
        <item x="73"/>
        <item x="137"/>
        <item x="0"/>
        <item x="23"/>
        <item x="32"/>
        <item x="151"/>
        <item x="145"/>
        <item x="61"/>
        <item x="90"/>
        <item x="49"/>
        <item x="84"/>
        <item x="129"/>
        <item x="116"/>
        <item x="41"/>
        <item x="72"/>
        <item x="21"/>
        <item x="64"/>
        <item x="95"/>
        <item x="8"/>
        <item x="82"/>
        <item x="163"/>
        <item x="35"/>
        <item x="179"/>
        <item x="13"/>
        <item x="165"/>
        <item x="121"/>
        <item x="130"/>
        <item x="75"/>
        <item x="42"/>
        <item x="50"/>
        <item x="186"/>
        <item x="143"/>
        <item x="7"/>
        <item x="178"/>
        <item x="22"/>
        <item x="159"/>
        <item x="132"/>
        <item x="67"/>
        <item x="190"/>
        <item x="188"/>
        <item x="161"/>
        <item x="30"/>
        <item x="147"/>
        <item x="24"/>
        <item x="150"/>
        <item x="194"/>
        <item x="180"/>
        <item x="83"/>
        <item x="191"/>
        <item x="36"/>
        <item x="105"/>
        <item x="5"/>
        <item x="14"/>
        <item x="86"/>
        <item x="167"/>
        <item x="182"/>
        <item x="101"/>
        <item x="198"/>
        <item x="177"/>
        <item x="96"/>
        <item x="98"/>
        <item x="155"/>
        <item x="51"/>
        <item x="158"/>
        <item x="16"/>
        <item x="109"/>
        <item x="55"/>
        <item x="131"/>
        <item x="197"/>
        <item x="10"/>
        <item x="144"/>
        <item x="33"/>
        <item x="46"/>
        <item x="164"/>
        <item x="162"/>
        <item x="100"/>
        <item x="38"/>
        <item x="123"/>
        <item x="122"/>
        <item x="4"/>
        <item x="108"/>
        <item x="104"/>
        <item x="115"/>
        <item x="20"/>
        <item x="66"/>
        <item x="173"/>
        <item x="56"/>
        <item x="99"/>
        <item x="168"/>
        <item x="39"/>
        <item x="60"/>
        <item x="141"/>
        <item x="68"/>
        <item x="92"/>
        <item x="26"/>
        <item x="154"/>
        <item x="195"/>
        <item x="111"/>
        <item x="166"/>
        <item x="47"/>
        <item x="2"/>
        <item x="54"/>
        <item x="88"/>
        <item x="80"/>
        <item x="189"/>
        <item x="102"/>
        <item x="97"/>
        <item x="127"/>
        <item x="184"/>
        <item x="117"/>
        <item x="44"/>
        <item x="176"/>
        <item x="140"/>
        <item x="138"/>
        <item x="37"/>
        <item x="152"/>
        <item x="65"/>
        <item x="169"/>
        <item x="110"/>
        <item x="103"/>
        <item x="6"/>
        <item x="62"/>
        <item x="149"/>
        <item x="43"/>
        <item x="12"/>
        <item x="34"/>
        <item x="53"/>
        <item x="134"/>
        <item x="63"/>
        <item x="40"/>
        <item x="107"/>
        <item x="31"/>
        <item x="193"/>
        <item x="71"/>
        <item x="28"/>
        <item x="11"/>
        <item x="146"/>
        <item x="181"/>
        <item x="174"/>
        <item x="81"/>
        <item x="160"/>
        <item x="18"/>
        <item x="74"/>
        <item x="89"/>
        <item x="192"/>
        <item x="106"/>
        <item x="15"/>
        <item x="25"/>
        <item x="126"/>
        <item x="93"/>
        <item x="142"/>
        <item x="153"/>
        <item x="48"/>
        <item x="85"/>
        <item x="139"/>
        <item x="124"/>
        <item x="59"/>
        <item x="79"/>
        <item x="185"/>
        <item x="87"/>
        <item t="default"/>
      </items>
    </pivotField>
    <pivotField compact="0" showAll="0">
      <items count="6">
        <item x="1"/>
        <item x="4"/>
        <item x="3"/>
        <item x="2"/>
        <item x="0"/>
        <item t="default"/>
      </items>
    </pivotField>
    <pivotField compact="0" numFmtId="178"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axis="axisRow" compact="0" showAll="0">
      <items count="13">
        <item h="1" x="9"/>
        <item h="1" x="10"/>
        <item x="11"/>
        <item x="0"/>
        <item x="1"/>
        <item x="2"/>
        <item x="3"/>
        <item x="4"/>
        <item x="5"/>
        <item x="6"/>
        <item x="7"/>
        <item x="8"/>
        <item t="default"/>
      </items>
    </pivotField>
    <pivotField compact="0" showAll="0">
      <items count="201">
        <item x="129"/>
        <item x="21"/>
        <item x="188"/>
        <item x="148"/>
        <item x="72"/>
        <item x="137"/>
        <item x="145"/>
        <item x="70"/>
        <item x="57"/>
        <item x="125"/>
        <item x="35"/>
        <item x="14"/>
        <item x="180"/>
        <item x="29"/>
        <item x="19"/>
        <item x="3"/>
        <item x="143"/>
        <item x="115"/>
        <item x="77"/>
        <item x="54"/>
        <item x="49"/>
        <item x="23"/>
        <item x="82"/>
        <item x="134"/>
        <item x="123"/>
        <item x="156"/>
        <item x="182"/>
        <item x="8"/>
        <item x="113"/>
        <item x="128"/>
        <item x="39"/>
        <item x="63"/>
        <item x="102"/>
        <item x="17"/>
        <item x="161"/>
        <item x="100"/>
        <item x="42"/>
        <item x="45"/>
        <item x="33"/>
        <item x="61"/>
        <item x="169"/>
        <item x="173"/>
        <item x="91"/>
        <item x="136"/>
        <item x="38"/>
        <item x="103"/>
        <item x="93"/>
        <item x="168"/>
        <item x="142"/>
        <item x="26"/>
        <item x="68"/>
        <item x="50"/>
        <item x="197"/>
        <item x="32"/>
        <item x="191"/>
        <item x="179"/>
        <item x="55"/>
        <item x="73"/>
        <item x="171"/>
        <item x="75"/>
        <item x="64"/>
        <item x="162"/>
        <item x="114"/>
        <item x="133"/>
        <item x="138"/>
        <item x="132"/>
        <item x="4"/>
        <item x="80"/>
        <item x="13"/>
        <item x="184"/>
        <item x="2"/>
        <item x="152"/>
        <item x="25"/>
        <item x="62"/>
        <item x="22"/>
        <item x="98"/>
        <item x="16"/>
        <item x="15"/>
        <item x="7"/>
        <item x="150"/>
        <item x="43"/>
        <item x="5"/>
        <item x="74"/>
        <item x="86"/>
        <item x="105"/>
        <item x="65"/>
        <item x="186"/>
        <item x="6"/>
        <item x="111"/>
        <item x="147"/>
        <item x="140"/>
        <item x="119"/>
        <item x="149"/>
        <item x="30"/>
        <item x="108"/>
        <item x="94"/>
        <item x="176"/>
        <item x="0"/>
        <item x="189"/>
        <item x="154"/>
        <item x="48"/>
        <item x="66"/>
        <item x="196"/>
        <item x="166"/>
        <item x="85"/>
        <item x="92"/>
        <item x="165"/>
        <item x="155"/>
        <item x="53"/>
        <item x="187"/>
        <item x="118"/>
        <item x="69"/>
        <item x="193"/>
        <item x="175"/>
        <item x="90"/>
        <item x="96"/>
        <item x="9"/>
        <item x="126"/>
        <item x="110"/>
        <item x="112"/>
        <item x="135"/>
        <item x="27"/>
        <item x="120"/>
        <item x="36"/>
        <item x="44"/>
        <item x="95"/>
        <item x="106"/>
        <item x="41"/>
        <item x="24"/>
        <item x="198"/>
        <item x="52"/>
        <item x="172"/>
        <item x="190"/>
        <item x="31"/>
        <item x="56"/>
        <item x="164"/>
        <item x="194"/>
        <item x="28"/>
        <item x="81"/>
        <item x="181"/>
        <item x="83"/>
        <item x="183"/>
        <item x="122"/>
        <item x="151"/>
        <item x="40"/>
        <item x="170"/>
        <item x="139"/>
        <item x="117"/>
        <item x="131"/>
        <item x="178"/>
        <item x="1"/>
        <item x="199"/>
        <item x="76"/>
        <item x="88"/>
        <item x="71"/>
        <item x="163"/>
        <item x="101"/>
        <item x="159"/>
        <item x="58"/>
        <item x="104"/>
        <item x="47"/>
        <item x="99"/>
        <item x="12"/>
        <item x="67"/>
        <item x="11"/>
        <item x="177"/>
        <item x="130"/>
        <item x="46"/>
        <item x="37"/>
        <item x="127"/>
        <item x="116"/>
        <item x="20"/>
        <item x="89"/>
        <item x="18"/>
        <item x="157"/>
        <item x="146"/>
        <item x="141"/>
        <item x="60"/>
        <item x="78"/>
        <item x="124"/>
        <item x="34"/>
        <item x="84"/>
        <item x="167"/>
        <item x="97"/>
        <item x="51"/>
        <item x="109"/>
        <item x="153"/>
        <item x="158"/>
        <item x="79"/>
        <item x="121"/>
        <item x="174"/>
        <item x="195"/>
        <item x="160"/>
        <item x="87"/>
        <item x="10"/>
        <item x="144"/>
        <item x="59"/>
        <item x="192"/>
        <item x="185"/>
        <item x="107"/>
        <item t="default"/>
      </items>
    </pivotField>
  </pivotFields>
  <rowFields count="1">
    <field x="9"/>
  </rowFields>
  <rowItems count="4">
    <i>
      <x v="4"/>
    </i>
    <i>
      <x v="7"/>
    </i>
    <i>
      <x v="11"/>
    </i>
    <i t="grand">
      <x/>
    </i>
  </rowItems>
  <colItems count="1">
    <i/>
  </colItems>
  <dataFields count="1">
    <dataField name="Sum of Sales" fld="4"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10" name="PivotTable5"/>
    <pivotTable tabId="10" name="PivotTable6"/>
    <pivotTable tabId="10" name="PivotTable7"/>
    <pivotTable tabId="10" name="PivotTable8"/>
  </pivotTables>
  <data>
    <tabular pivotCacheId="1">
      <items count="12">
        <i x="1" s="1"/>
        <i x="4" s="1"/>
        <i x="8" s="1"/>
        <i x="9" s="0" nd="1"/>
        <i x="10" s="0" nd="1"/>
        <i x="11" s="1" nd="1"/>
        <i x="0" s="1" nd="1"/>
        <i x="2" s="1" nd="1"/>
        <i x="3" s="1" nd="1"/>
        <i x="5" s="1" nd="1"/>
        <i x="6" s="1" nd="1"/>
        <i x="7" s="1" nd="1"/>
      </items>
    </tabular>
  </data>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10" name="PivotTable6"/>
    <pivotTable tabId="10" name="PivotTable7"/>
    <pivotTable tabId="10" name="PivotTable8"/>
    <pivotTable tabId="10" name="PivotTable5"/>
  </pivotTables>
  <data>
    <tabular pivotCacheId="1">
      <items count="5">
        <i x="4" s="1"/>
        <i x="1" s="0"/>
        <i x="3" s="0"/>
        <i x="2" s="0"/>
        <i x="0" s="0"/>
      </items>
    </tabular>
  </data>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roduct_Category" sourceName="Product_Category">
  <pivotTables>
    <pivotTable tabId="10" name="PivotTable7"/>
    <pivotTable tabId="10" name="PivotTable8"/>
    <pivotTable tabId="10" name="PivotTable5"/>
    <pivotTable tabId="10" name="PivotTable6"/>
  </pivotTables>
  <data>
    <tabular pivotCacheId="1">
      <items count="5">
        <i x="0" s="0"/>
        <i x="1" s="0"/>
        <i x="2" s="0"/>
        <i x="3" s="1"/>
        <i x="4" s="0"/>
      </items>
    </tabular>
  </data>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onth" cache="Slicer_Month" caption="Month" columnCount="12" rowHeight="225425"/>
  <slicer name="Region" cache="Slicer_Region" caption="Region" rowHeight="225425"/>
  <slicer name="Product_Category" cache="Slicer_Product_Category" caption="Product_Category" rowHeight="225425"/>
</slicers>
</file>

<file path=xl/slicers/slicer2.xml><?xml version="1.0" encoding="utf-8"?>
<slicers xmlns="http://schemas.microsoft.com/office/spreadsheetml/2009/9/main" xmlns:mc="http://schemas.openxmlformats.org/markup-compatibility/2006" xmlns:x="http://schemas.openxmlformats.org/spreadsheetml/2006/main" mc:Ignorable="x">
  <slicer name="Month 1" cache="Slicer_Month" caption="Month" columnCount="12" rowHeight="225425"/>
  <slicer name="Region 2" cache="Slicer_Region" caption="Region" rowHeight="225425"/>
  <slicer name="Product_Category 3" cache="Slicer_Product_Category" caption="Product_Category" rowHeight="225425"/>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47"/>
  <sheetViews>
    <sheetView workbookViewId="0">
      <selection activeCell="A2" sqref="A2"/>
    </sheetView>
  </sheetViews>
  <sheetFormatPr defaultColWidth="14.4272727272727" defaultRowHeight="15" customHeight="1"/>
  <cols>
    <col min="1" max="1" width="74.8636363636364" customWidth="1"/>
    <col min="2" max="26" width="8.70909090909091" customWidth="1"/>
  </cols>
  <sheetData>
    <row r="1" ht="14.5" spans="1:26">
      <c r="A1" s="6" t="s">
        <v>0</v>
      </c>
      <c r="B1" s="7"/>
      <c r="C1" s="7"/>
      <c r="D1" s="7"/>
      <c r="E1" s="7"/>
      <c r="F1" s="7"/>
      <c r="G1" s="7"/>
      <c r="H1" s="7"/>
      <c r="I1" s="7"/>
      <c r="J1" s="7"/>
      <c r="K1" s="7"/>
      <c r="L1" s="7"/>
      <c r="M1" s="7"/>
      <c r="N1" s="7"/>
      <c r="O1" s="7"/>
      <c r="P1" s="7"/>
      <c r="Q1" s="7"/>
      <c r="R1" s="7"/>
      <c r="S1" s="7"/>
      <c r="T1" s="7"/>
      <c r="U1" s="7"/>
      <c r="V1" s="7"/>
      <c r="W1" s="7"/>
      <c r="X1" s="7"/>
      <c r="Y1" s="7"/>
      <c r="Z1" s="7"/>
    </row>
    <row r="2" ht="14.5" spans="1:26">
      <c r="A2" s="8" t="s">
        <v>1</v>
      </c>
      <c r="B2" s="7"/>
      <c r="C2" s="7"/>
      <c r="D2" s="7"/>
      <c r="E2" s="7"/>
      <c r="F2" s="7"/>
      <c r="G2" s="7"/>
      <c r="H2" s="7"/>
      <c r="I2" s="7"/>
      <c r="J2" s="7"/>
      <c r="K2" s="7"/>
      <c r="L2" s="7"/>
      <c r="M2" s="7"/>
      <c r="N2" s="7"/>
      <c r="O2" s="7"/>
      <c r="P2" s="7"/>
      <c r="Q2" s="7"/>
      <c r="R2" s="7"/>
      <c r="S2" s="7"/>
      <c r="T2" s="7"/>
      <c r="U2" s="7"/>
      <c r="V2" s="7"/>
      <c r="W2" s="7"/>
      <c r="X2" s="7"/>
      <c r="Y2" s="7"/>
      <c r="Z2" s="7"/>
    </row>
    <row r="3" ht="14.5" spans="1:26">
      <c r="A3" s="7"/>
      <c r="B3" s="7"/>
      <c r="C3" s="7"/>
      <c r="D3" s="7"/>
      <c r="E3" s="7"/>
      <c r="F3" s="7"/>
      <c r="G3" s="7"/>
      <c r="H3" s="7"/>
      <c r="I3" s="7"/>
      <c r="J3" s="7"/>
      <c r="K3" s="7"/>
      <c r="L3" s="7"/>
      <c r="M3" s="7"/>
      <c r="N3" s="7"/>
      <c r="O3" s="7"/>
      <c r="P3" s="7"/>
      <c r="Q3" s="7"/>
      <c r="R3" s="7"/>
      <c r="S3" s="7"/>
      <c r="T3" s="7"/>
      <c r="U3" s="7"/>
      <c r="V3" s="7"/>
      <c r="W3" s="7"/>
      <c r="X3" s="7"/>
      <c r="Y3" s="7"/>
      <c r="Z3" s="7"/>
    </row>
    <row r="4" ht="15.75" customHeight="1" spans="1:26">
      <c r="A4" s="7"/>
      <c r="B4" s="7"/>
      <c r="C4" s="7"/>
      <c r="D4" s="7"/>
      <c r="E4" s="7"/>
      <c r="F4" s="7"/>
      <c r="G4" s="7"/>
      <c r="H4" s="7"/>
      <c r="I4" s="7"/>
      <c r="J4" s="7"/>
      <c r="K4" s="7"/>
      <c r="L4" s="7"/>
      <c r="M4" s="7"/>
      <c r="N4" s="7"/>
      <c r="O4" s="7"/>
      <c r="P4" s="7"/>
      <c r="Q4" s="7"/>
      <c r="R4" s="7"/>
      <c r="S4" s="7"/>
      <c r="T4" s="7"/>
      <c r="U4" s="7"/>
      <c r="V4" s="7"/>
      <c r="W4" s="7"/>
      <c r="X4" s="7"/>
      <c r="Y4" s="7"/>
      <c r="Z4" s="7"/>
    </row>
    <row r="5" ht="15.75" customHeight="1" spans="1:26">
      <c r="A5" s="7"/>
      <c r="B5" s="7"/>
      <c r="C5" s="7"/>
      <c r="D5" s="7"/>
      <c r="E5" s="7"/>
      <c r="F5" s="7"/>
      <c r="G5" s="7"/>
      <c r="H5" s="7"/>
      <c r="I5" s="7"/>
      <c r="J5" s="7"/>
      <c r="K5" s="7"/>
      <c r="L5" s="7"/>
      <c r="M5" s="7"/>
      <c r="N5" s="7"/>
      <c r="O5" s="7"/>
      <c r="P5" s="7"/>
      <c r="Q5" s="7"/>
      <c r="R5" s="7"/>
      <c r="S5" s="7"/>
      <c r="T5" s="7"/>
      <c r="U5" s="7"/>
      <c r="V5" s="7"/>
      <c r="W5" s="7"/>
      <c r="X5" s="7"/>
      <c r="Y5" s="7"/>
      <c r="Z5" s="7"/>
    </row>
    <row r="6" ht="15.75" customHeight="1" spans="1:26">
      <c r="A6" s="7"/>
      <c r="B6" s="7"/>
      <c r="C6" s="7"/>
      <c r="D6" s="7"/>
      <c r="E6" s="7"/>
      <c r="F6" s="7"/>
      <c r="G6" s="7"/>
      <c r="H6" s="7"/>
      <c r="I6" s="7"/>
      <c r="J6" s="7"/>
      <c r="K6" s="7"/>
      <c r="L6" s="7"/>
      <c r="M6" s="7"/>
      <c r="N6" s="7"/>
      <c r="O6" s="7"/>
      <c r="P6" s="7"/>
      <c r="Q6" s="7"/>
      <c r="R6" s="7"/>
      <c r="S6" s="7"/>
      <c r="T6" s="7"/>
      <c r="U6" s="7"/>
      <c r="V6" s="7"/>
      <c r="W6" s="7"/>
      <c r="X6" s="7"/>
      <c r="Y6" s="7"/>
      <c r="Z6" s="7"/>
    </row>
    <row r="7" ht="15.75" customHeight="1" spans="1:26">
      <c r="A7" s="7"/>
      <c r="B7" s="7"/>
      <c r="C7" s="7"/>
      <c r="D7" s="7"/>
      <c r="E7" s="7"/>
      <c r="F7" s="7"/>
      <c r="G7" s="7"/>
      <c r="H7" s="7"/>
      <c r="I7" s="7"/>
      <c r="J7" s="7"/>
      <c r="K7" s="7"/>
      <c r="L7" s="7"/>
      <c r="M7" s="7"/>
      <c r="N7" s="7"/>
      <c r="O7" s="7"/>
      <c r="P7" s="7"/>
      <c r="Q7" s="7"/>
      <c r="R7" s="7"/>
      <c r="S7" s="7"/>
      <c r="T7" s="7"/>
      <c r="U7" s="7"/>
      <c r="V7" s="7"/>
      <c r="W7" s="7"/>
      <c r="X7" s="7"/>
      <c r="Y7" s="7"/>
      <c r="Z7" s="7"/>
    </row>
    <row r="8" ht="15.75" customHeight="1" spans="1:26">
      <c r="A8" s="7"/>
      <c r="B8" s="7"/>
      <c r="C8" s="7"/>
      <c r="D8" s="7"/>
      <c r="E8" s="7"/>
      <c r="F8" s="7"/>
      <c r="G8" s="7"/>
      <c r="H8" s="7"/>
      <c r="I8" s="7"/>
      <c r="J8" s="7"/>
      <c r="K8" s="7"/>
      <c r="L8" s="7"/>
      <c r="M8" s="7"/>
      <c r="N8" s="7"/>
      <c r="O8" s="7"/>
      <c r="P8" s="7"/>
      <c r="Q8" s="7"/>
      <c r="R8" s="7"/>
      <c r="S8" s="7"/>
      <c r="T8" s="7"/>
      <c r="U8" s="7"/>
      <c r="V8" s="7"/>
      <c r="W8" s="7"/>
      <c r="X8" s="7"/>
      <c r="Y8" s="7"/>
      <c r="Z8" s="7"/>
    </row>
    <row r="9" ht="15.75" customHeight="1" spans="1:26">
      <c r="A9" s="7"/>
      <c r="B9" s="7"/>
      <c r="C9" s="7"/>
      <c r="D9" s="7"/>
      <c r="E9" s="7"/>
      <c r="F9" s="7"/>
      <c r="G9" s="7"/>
      <c r="H9" s="7"/>
      <c r="I9" s="7"/>
      <c r="J9" s="7"/>
      <c r="K9" s="7"/>
      <c r="L9" s="7"/>
      <c r="M9" s="7"/>
      <c r="N9" s="7"/>
      <c r="O9" s="7"/>
      <c r="P9" s="7"/>
      <c r="Q9" s="7"/>
      <c r="R9" s="7"/>
      <c r="S9" s="7"/>
      <c r="T9" s="7"/>
      <c r="U9" s="7"/>
      <c r="V9" s="7"/>
      <c r="W9" s="7"/>
      <c r="X9" s="7"/>
      <c r="Y9" s="7"/>
      <c r="Z9" s="7"/>
    </row>
    <row r="10" ht="15.75" customHeight="1" spans="1:26">
      <c r="A10" s="7"/>
      <c r="B10" s="7"/>
      <c r="C10" s="7"/>
      <c r="D10" s="7"/>
      <c r="E10" s="7"/>
      <c r="F10" s="7"/>
      <c r="G10" s="7"/>
      <c r="H10" s="7"/>
      <c r="I10" s="7"/>
      <c r="J10" s="7"/>
      <c r="K10" s="7"/>
      <c r="L10" s="7"/>
      <c r="M10" s="7"/>
      <c r="N10" s="7"/>
      <c r="O10" s="7"/>
      <c r="P10" s="7"/>
      <c r="Q10" s="7"/>
      <c r="R10" s="7"/>
      <c r="S10" s="7"/>
      <c r="T10" s="7"/>
      <c r="U10" s="7"/>
      <c r="V10" s="7"/>
      <c r="W10" s="7"/>
      <c r="X10" s="7"/>
      <c r="Y10" s="7"/>
      <c r="Z10" s="7"/>
    </row>
    <row r="11" ht="15.75" customHeight="1" spans="1:26">
      <c r="A11" s="7"/>
      <c r="B11" s="7"/>
      <c r="C11" s="7"/>
      <c r="D11" s="7"/>
      <c r="E11" s="7"/>
      <c r="F11" s="7"/>
      <c r="G11" s="7"/>
      <c r="H11" s="7"/>
      <c r="I11" s="7"/>
      <c r="J11" s="7"/>
      <c r="K11" s="7"/>
      <c r="L11" s="7"/>
      <c r="M11" s="7"/>
      <c r="N11" s="7"/>
      <c r="O11" s="7"/>
      <c r="P11" s="7"/>
      <c r="Q11" s="7"/>
      <c r="R11" s="7"/>
      <c r="S11" s="7"/>
      <c r="T11" s="7"/>
      <c r="U11" s="7"/>
      <c r="V11" s="7"/>
      <c r="W11" s="7"/>
      <c r="X11" s="7"/>
      <c r="Y11" s="7"/>
      <c r="Z11" s="7"/>
    </row>
    <row r="12" ht="15.75" customHeight="1" spans="1:26">
      <c r="A12" s="7"/>
      <c r="B12" s="7"/>
      <c r="C12" s="7"/>
      <c r="D12" s="7"/>
      <c r="E12" s="7"/>
      <c r="F12" s="7"/>
      <c r="G12" s="7"/>
      <c r="H12" s="7"/>
      <c r="I12" s="7"/>
      <c r="J12" s="7"/>
      <c r="K12" s="7"/>
      <c r="L12" s="7"/>
      <c r="M12" s="7"/>
      <c r="N12" s="7"/>
      <c r="O12" s="7"/>
      <c r="P12" s="7"/>
      <c r="Q12" s="7"/>
      <c r="R12" s="7"/>
      <c r="S12" s="7"/>
      <c r="T12" s="7"/>
      <c r="U12" s="7"/>
      <c r="V12" s="7"/>
      <c r="W12" s="7"/>
      <c r="X12" s="7"/>
      <c r="Y12" s="7"/>
      <c r="Z12" s="7"/>
    </row>
    <row r="13" ht="15.75" customHeight="1" spans="1:26">
      <c r="A13" s="7"/>
      <c r="B13" s="7"/>
      <c r="C13" s="7"/>
      <c r="D13" s="7"/>
      <c r="E13" s="7"/>
      <c r="F13" s="7"/>
      <c r="G13" s="7"/>
      <c r="H13" s="7"/>
      <c r="I13" s="7"/>
      <c r="J13" s="7"/>
      <c r="K13" s="7"/>
      <c r="L13" s="7"/>
      <c r="M13" s="7"/>
      <c r="N13" s="7"/>
      <c r="O13" s="7"/>
      <c r="P13" s="7"/>
      <c r="Q13" s="7"/>
      <c r="R13" s="7"/>
      <c r="S13" s="7"/>
      <c r="T13" s="7"/>
      <c r="U13" s="7"/>
      <c r="V13" s="7"/>
      <c r="W13" s="7"/>
      <c r="X13" s="7"/>
      <c r="Y13" s="7"/>
      <c r="Z13" s="7"/>
    </row>
    <row r="14" ht="15.75" customHeight="1" spans="1:26">
      <c r="A14" s="7"/>
      <c r="B14" s="7"/>
      <c r="C14" s="7"/>
      <c r="D14" s="7"/>
      <c r="E14" s="7"/>
      <c r="F14" s="7"/>
      <c r="G14" s="7"/>
      <c r="H14" s="7"/>
      <c r="I14" s="7"/>
      <c r="J14" s="7"/>
      <c r="K14" s="7"/>
      <c r="L14" s="7"/>
      <c r="M14" s="7"/>
      <c r="N14" s="7"/>
      <c r="O14" s="7"/>
      <c r="P14" s="7"/>
      <c r="Q14" s="7"/>
      <c r="R14" s="7"/>
      <c r="S14" s="7"/>
      <c r="T14" s="7"/>
      <c r="U14" s="7"/>
      <c r="V14" s="7"/>
      <c r="W14" s="7"/>
      <c r="X14" s="7"/>
      <c r="Y14" s="7"/>
      <c r="Z14" s="7"/>
    </row>
    <row r="15" ht="15.75" customHeight="1" spans="1:26">
      <c r="A15" s="7"/>
      <c r="B15" s="7"/>
      <c r="C15" s="7"/>
      <c r="D15" s="7"/>
      <c r="E15" s="7"/>
      <c r="F15" s="7"/>
      <c r="G15" s="7"/>
      <c r="H15" s="7"/>
      <c r="I15" s="7"/>
      <c r="J15" s="7"/>
      <c r="K15" s="7"/>
      <c r="L15" s="7"/>
      <c r="M15" s="7"/>
      <c r="N15" s="7"/>
      <c r="O15" s="7"/>
      <c r="P15" s="7"/>
      <c r="Q15" s="7"/>
      <c r="R15" s="7"/>
      <c r="S15" s="7"/>
      <c r="T15" s="7"/>
      <c r="U15" s="7"/>
      <c r="V15" s="7"/>
      <c r="W15" s="7"/>
      <c r="X15" s="7"/>
      <c r="Y15" s="7"/>
      <c r="Z15" s="7"/>
    </row>
    <row r="16" ht="15.75" customHeight="1" spans="1:26">
      <c r="A16" s="7"/>
      <c r="B16" s="7"/>
      <c r="C16" s="7"/>
      <c r="D16" s="7"/>
      <c r="E16" s="7"/>
      <c r="F16" s="7"/>
      <c r="G16" s="7"/>
      <c r="H16" s="7"/>
      <c r="I16" s="7"/>
      <c r="J16" s="7"/>
      <c r="K16" s="7"/>
      <c r="L16" s="7"/>
      <c r="M16" s="7"/>
      <c r="N16" s="7"/>
      <c r="O16" s="7"/>
      <c r="P16" s="7"/>
      <c r="Q16" s="7"/>
      <c r="R16" s="7"/>
      <c r="S16" s="7"/>
      <c r="T16" s="7"/>
      <c r="U16" s="7"/>
      <c r="V16" s="7"/>
      <c r="W16" s="7"/>
      <c r="X16" s="7"/>
      <c r="Y16" s="7"/>
      <c r="Z16" s="7"/>
    </row>
    <row r="17" ht="15.75" customHeight="1" spans="1:26">
      <c r="A17" s="7"/>
      <c r="B17" s="7"/>
      <c r="C17" s="7"/>
      <c r="D17" s="7"/>
      <c r="E17" s="7"/>
      <c r="F17" s="7"/>
      <c r="G17" s="7"/>
      <c r="H17" s="7"/>
      <c r="I17" s="7"/>
      <c r="J17" s="7"/>
      <c r="K17" s="7"/>
      <c r="L17" s="7"/>
      <c r="M17" s="7"/>
      <c r="N17" s="7"/>
      <c r="O17" s="7"/>
      <c r="P17" s="7"/>
      <c r="Q17" s="7"/>
      <c r="R17" s="7"/>
      <c r="S17" s="7"/>
      <c r="T17" s="7"/>
      <c r="U17" s="7"/>
      <c r="V17" s="7"/>
      <c r="W17" s="7"/>
      <c r="X17" s="7"/>
      <c r="Y17" s="7"/>
      <c r="Z17" s="7"/>
    </row>
    <row r="18" ht="15.75" customHeight="1" spans="1:26">
      <c r="A18" s="7"/>
      <c r="B18" s="7"/>
      <c r="C18" s="7"/>
      <c r="D18" s="7"/>
      <c r="E18" s="7"/>
      <c r="F18" s="7"/>
      <c r="G18" s="7"/>
      <c r="H18" s="7"/>
      <c r="I18" s="7"/>
      <c r="J18" s="7"/>
      <c r="K18" s="7"/>
      <c r="L18" s="7"/>
      <c r="M18" s="7"/>
      <c r="N18" s="7"/>
      <c r="O18" s="7"/>
      <c r="P18" s="7"/>
      <c r="Q18" s="7"/>
      <c r="R18" s="7"/>
      <c r="S18" s="7"/>
      <c r="T18" s="7"/>
      <c r="U18" s="7"/>
      <c r="V18" s="7"/>
      <c r="W18" s="7"/>
      <c r="X18" s="7"/>
      <c r="Y18" s="7"/>
      <c r="Z18" s="7"/>
    </row>
    <row r="19" ht="15.75" customHeight="1" spans="1:26">
      <c r="A19" s="7"/>
      <c r="B19" s="7"/>
      <c r="C19" s="7"/>
      <c r="D19" s="7"/>
      <c r="E19" s="7"/>
      <c r="F19" s="7"/>
      <c r="G19" s="7"/>
      <c r="H19" s="7"/>
      <c r="I19" s="7"/>
      <c r="J19" s="7"/>
      <c r="K19" s="7"/>
      <c r="L19" s="7"/>
      <c r="M19" s="7"/>
      <c r="N19" s="7"/>
      <c r="O19" s="7"/>
      <c r="P19" s="7"/>
      <c r="Q19" s="7"/>
      <c r="R19" s="7"/>
      <c r="S19" s="7"/>
      <c r="T19" s="7"/>
      <c r="U19" s="7"/>
      <c r="V19" s="7"/>
      <c r="W19" s="7"/>
      <c r="X19" s="7"/>
      <c r="Y19" s="7"/>
      <c r="Z19" s="7"/>
    </row>
    <row r="20" ht="15.75" customHeight="1" spans="1:26">
      <c r="A20" s="7"/>
      <c r="B20" s="7"/>
      <c r="C20" s="7"/>
      <c r="D20" s="7"/>
      <c r="E20" s="7"/>
      <c r="F20" s="7"/>
      <c r="G20" s="7"/>
      <c r="H20" s="7"/>
      <c r="I20" s="7"/>
      <c r="J20" s="7"/>
      <c r="K20" s="7"/>
      <c r="L20" s="7"/>
      <c r="M20" s="7"/>
      <c r="N20" s="7"/>
      <c r="O20" s="7"/>
      <c r="P20" s="7"/>
      <c r="Q20" s="7"/>
      <c r="R20" s="7"/>
      <c r="S20" s="7"/>
      <c r="T20" s="7"/>
      <c r="U20" s="7"/>
      <c r="V20" s="7"/>
      <c r="W20" s="7"/>
      <c r="X20" s="7"/>
      <c r="Y20" s="7"/>
      <c r="Z20" s="7"/>
    </row>
    <row r="21" ht="15.75" customHeight="1" spans="1:26">
      <c r="A21" s="7"/>
      <c r="B21" s="7"/>
      <c r="C21" s="7"/>
      <c r="D21" s="7"/>
      <c r="E21" s="7"/>
      <c r="F21" s="7"/>
      <c r="G21" s="7"/>
      <c r="H21" s="7"/>
      <c r="I21" s="7"/>
      <c r="J21" s="7"/>
      <c r="K21" s="7"/>
      <c r="L21" s="7"/>
      <c r="M21" s="7"/>
      <c r="N21" s="7"/>
      <c r="O21" s="7"/>
      <c r="P21" s="7"/>
      <c r="Q21" s="7"/>
      <c r="R21" s="7"/>
      <c r="S21" s="7"/>
      <c r="T21" s="7"/>
      <c r="U21" s="7"/>
      <c r="V21" s="7"/>
      <c r="W21" s="7"/>
      <c r="X21" s="7"/>
      <c r="Y21" s="7"/>
      <c r="Z21" s="7"/>
    </row>
    <row r="22" ht="15.75" customHeight="1" spans="1:26">
      <c r="A22" s="7"/>
      <c r="B22" s="7"/>
      <c r="C22" s="7"/>
      <c r="D22" s="7"/>
      <c r="E22" s="7"/>
      <c r="F22" s="7"/>
      <c r="G22" s="7"/>
      <c r="H22" s="7"/>
      <c r="I22" s="7"/>
      <c r="J22" s="7"/>
      <c r="K22" s="7"/>
      <c r="L22" s="7"/>
      <c r="M22" s="7"/>
      <c r="N22" s="7"/>
      <c r="O22" s="7"/>
      <c r="P22" s="7"/>
      <c r="Q22" s="7"/>
      <c r="R22" s="7"/>
      <c r="S22" s="7"/>
      <c r="T22" s="7"/>
      <c r="U22" s="7"/>
      <c r="V22" s="7"/>
      <c r="W22" s="7"/>
      <c r="X22" s="7"/>
      <c r="Y22" s="7"/>
      <c r="Z22" s="7"/>
    </row>
    <row r="23" ht="15.75" customHeight="1" spans="1:26">
      <c r="A23" s="7"/>
      <c r="B23" s="7"/>
      <c r="C23" s="7"/>
      <c r="D23" s="7"/>
      <c r="E23" s="7"/>
      <c r="F23" s="7"/>
      <c r="G23" s="7"/>
      <c r="H23" s="7"/>
      <c r="I23" s="7"/>
      <c r="J23" s="7"/>
      <c r="K23" s="7"/>
      <c r="L23" s="7"/>
      <c r="M23" s="7"/>
      <c r="N23" s="7"/>
      <c r="O23" s="7"/>
      <c r="P23" s="7"/>
      <c r="Q23" s="7"/>
      <c r="R23" s="7"/>
      <c r="S23" s="7"/>
      <c r="T23" s="7"/>
      <c r="U23" s="7"/>
      <c r="V23" s="7"/>
      <c r="W23" s="7"/>
      <c r="X23" s="7"/>
      <c r="Y23" s="7"/>
      <c r="Z23" s="7"/>
    </row>
    <row r="24" ht="15.75" customHeight="1" spans="1:26">
      <c r="A24" s="7"/>
      <c r="B24" s="7"/>
      <c r="C24" s="7"/>
      <c r="D24" s="7"/>
      <c r="E24" s="7"/>
      <c r="F24" s="7"/>
      <c r="G24" s="7"/>
      <c r="H24" s="7"/>
      <c r="I24" s="7"/>
      <c r="J24" s="7"/>
      <c r="K24" s="7"/>
      <c r="L24" s="7"/>
      <c r="M24" s="7"/>
      <c r="N24" s="7"/>
      <c r="O24" s="7"/>
      <c r="P24" s="7"/>
      <c r="Q24" s="7"/>
      <c r="R24" s="7"/>
      <c r="S24" s="7"/>
      <c r="T24" s="7"/>
      <c r="U24" s="7"/>
      <c r="V24" s="7"/>
      <c r="W24" s="7"/>
      <c r="X24" s="7"/>
      <c r="Y24" s="7"/>
      <c r="Z24" s="7"/>
    </row>
    <row r="25" ht="15.75" customHeight="1" spans="1:26">
      <c r="A25" s="7"/>
      <c r="B25" s="7"/>
      <c r="C25" s="7"/>
      <c r="D25" s="7"/>
      <c r="E25" s="7"/>
      <c r="F25" s="7"/>
      <c r="G25" s="7"/>
      <c r="H25" s="7"/>
      <c r="I25" s="7"/>
      <c r="J25" s="7"/>
      <c r="K25" s="7"/>
      <c r="L25" s="7"/>
      <c r="M25" s="7"/>
      <c r="N25" s="7"/>
      <c r="O25" s="7"/>
      <c r="P25" s="7"/>
      <c r="Q25" s="7"/>
      <c r="R25" s="7"/>
      <c r="S25" s="7"/>
      <c r="T25" s="7"/>
      <c r="U25" s="7"/>
      <c r="V25" s="7"/>
      <c r="W25" s="7"/>
      <c r="X25" s="7"/>
      <c r="Y25" s="7"/>
      <c r="Z25" s="7"/>
    </row>
    <row r="26" ht="15.75" customHeight="1" spans="1:26">
      <c r="A26" s="7"/>
      <c r="B26" s="7"/>
      <c r="C26" s="7"/>
      <c r="D26" s="7"/>
      <c r="E26" s="7"/>
      <c r="F26" s="7"/>
      <c r="G26" s="7"/>
      <c r="H26" s="7"/>
      <c r="I26" s="7"/>
      <c r="J26" s="7"/>
      <c r="K26" s="7"/>
      <c r="L26" s="7"/>
      <c r="M26" s="7"/>
      <c r="N26" s="7"/>
      <c r="O26" s="7"/>
      <c r="P26" s="7"/>
      <c r="Q26" s="7"/>
      <c r="R26" s="7"/>
      <c r="S26" s="7"/>
      <c r="T26" s="7"/>
      <c r="U26" s="7"/>
      <c r="V26" s="7"/>
      <c r="W26" s="7"/>
      <c r="X26" s="7"/>
      <c r="Y26" s="7"/>
      <c r="Z26" s="7"/>
    </row>
    <row r="27" ht="15.75" customHeight="1" spans="1:26">
      <c r="A27" s="7"/>
      <c r="B27" s="7"/>
      <c r="C27" s="7"/>
      <c r="D27" s="7"/>
      <c r="E27" s="7"/>
      <c r="F27" s="7"/>
      <c r="G27" s="7"/>
      <c r="H27" s="7"/>
      <c r="I27" s="7"/>
      <c r="J27" s="7"/>
      <c r="K27" s="7"/>
      <c r="L27" s="7"/>
      <c r="M27" s="7"/>
      <c r="N27" s="7"/>
      <c r="O27" s="7"/>
      <c r="P27" s="7"/>
      <c r="Q27" s="7"/>
      <c r="R27" s="7"/>
      <c r="S27" s="7"/>
      <c r="T27" s="7"/>
      <c r="U27" s="7"/>
      <c r="V27" s="7"/>
      <c r="W27" s="7"/>
      <c r="X27" s="7"/>
      <c r="Y27" s="7"/>
      <c r="Z27" s="7"/>
    </row>
    <row r="28" ht="15.75" customHeight="1" spans="1:26">
      <c r="A28" s="7"/>
      <c r="B28" s="7"/>
      <c r="C28" s="7"/>
      <c r="D28" s="7"/>
      <c r="E28" s="7"/>
      <c r="F28" s="7"/>
      <c r="G28" s="7"/>
      <c r="H28" s="7"/>
      <c r="I28" s="7"/>
      <c r="J28" s="7"/>
      <c r="K28" s="7"/>
      <c r="L28" s="7"/>
      <c r="M28" s="7"/>
      <c r="N28" s="7"/>
      <c r="O28" s="7"/>
      <c r="P28" s="7"/>
      <c r="Q28" s="7"/>
      <c r="R28" s="7"/>
      <c r="S28" s="7"/>
      <c r="T28" s="7"/>
      <c r="U28" s="7"/>
      <c r="V28" s="7"/>
      <c r="W28" s="7"/>
      <c r="X28" s="7"/>
      <c r="Y28" s="7"/>
      <c r="Z28" s="7"/>
    </row>
    <row r="29" ht="15.75" customHeight="1" spans="1:26">
      <c r="A29" s="7"/>
      <c r="B29" s="7"/>
      <c r="C29" s="7"/>
      <c r="D29" s="7"/>
      <c r="E29" s="7"/>
      <c r="F29" s="7"/>
      <c r="G29" s="7"/>
      <c r="H29" s="7"/>
      <c r="I29" s="7"/>
      <c r="J29" s="7"/>
      <c r="K29" s="7"/>
      <c r="L29" s="7"/>
      <c r="M29" s="7"/>
      <c r="N29" s="7"/>
      <c r="O29" s="7"/>
      <c r="P29" s="7"/>
      <c r="Q29" s="7"/>
      <c r="R29" s="7"/>
      <c r="S29" s="7"/>
      <c r="T29" s="7"/>
      <c r="U29" s="7"/>
      <c r="V29" s="7"/>
      <c r="W29" s="7"/>
      <c r="X29" s="7"/>
      <c r="Y29" s="7"/>
      <c r="Z29" s="7"/>
    </row>
    <row r="30" ht="15.75" customHeight="1" spans="1:26">
      <c r="A30" s="7"/>
      <c r="B30" s="7"/>
      <c r="C30" s="7"/>
      <c r="D30" s="7"/>
      <c r="E30" s="7"/>
      <c r="F30" s="7"/>
      <c r="G30" s="7"/>
      <c r="H30" s="7"/>
      <c r="I30" s="7"/>
      <c r="J30" s="7"/>
      <c r="K30" s="7"/>
      <c r="L30" s="7"/>
      <c r="M30" s="7"/>
      <c r="N30" s="7"/>
      <c r="O30" s="7"/>
      <c r="P30" s="7"/>
      <c r="Q30" s="7"/>
      <c r="R30" s="7"/>
      <c r="S30" s="7"/>
      <c r="T30" s="7"/>
      <c r="U30" s="7"/>
      <c r="V30" s="7"/>
      <c r="W30" s="7"/>
      <c r="X30" s="7"/>
      <c r="Y30" s="7"/>
      <c r="Z30" s="7"/>
    </row>
    <row r="31" ht="15.75" customHeight="1" spans="1:26">
      <c r="A31" s="7"/>
      <c r="B31" s="7"/>
      <c r="C31" s="7"/>
      <c r="D31" s="7"/>
      <c r="E31" s="7"/>
      <c r="F31" s="7"/>
      <c r="G31" s="7"/>
      <c r="H31" s="7"/>
      <c r="I31" s="7"/>
      <c r="J31" s="7"/>
      <c r="K31" s="7"/>
      <c r="L31" s="7"/>
      <c r="M31" s="7"/>
      <c r="N31" s="7"/>
      <c r="O31" s="7"/>
      <c r="P31" s="7"/>
      <c r="Q31" s="7"/>
      <c r="R31" s="7"/>
      <c r="S31" s="7"/>
      <c r="T31" s="7"/>
      <c r="U31" s="7"/>
      <c r="V31" s="7"/>
      <c r="W31" s="7"/>
      <c r="X31" s="7"/>
      <c r="Y31" s="7"/>
      <c r="Z31" s="7"/>
    </row>
    <row r="32" ht="15.75" customHeight="1" spans="1:26">
      <c r="A32" s="7"/>
      <c r="B32" s="7"/>
      <c r="C32" s="7"/>
      <c r="D32" s="7"/>
      <c r="E32" s="7"/>
      <c r="F32" s="7"/>
      <c r="G32" s="7"/>
      <c r="H32" s="7"/>
      <c r="I32" s="7"/>
      <c r="J32" s="7"/>
      <c r="K32" s="7"/>
      <c r="L32" s="7"/>
      <c r="M32" s="7"/>
      <c r="N32" s="7"/>
      <c r="O32" s="7"/>
      <c r="P32" s="7"/>
      <c r="Q32" s="7"/>
      <c r="R32" s="7"/>
      <c r="S32" s="7"/>
      <c r="T32" s="7"/>
      <c r="U32" s="7"/>
      <c r="V32" s="7"/>
      <c r="W32" s="7"/>
      <c r="X32" s="7"/>
      <c r="Y32" s="7"/>
      <c r="Z32" s="7"/>
    </row>
    <row r="33" ht="15.75" customHeight="1" spans="1:26">
      <c r="A33" s="7"/>
      <c r="B33" s="7"/>
      <c r="C33" s="7"/>
      <c r="D33" s="7"/>
      <c r="E33" s="7"/>
      <c r="F33" s="7"/>
      <c r="G33" s="7"/>
      <c r="H33" s="7"/>
      <c r="I33" s="7"/>
      <c r="J33" s="7"/>
      <c r="K33" s="7"/>
      <c r="L33" s="7"/>
      <c r="M33" s="7"/>
      <c r="N33" s="7"/>
      <c r="O33" s="7"/>
      <c r="P33" s="7"/>
      <c r="Q33" s="7"/>
      <c r="R33" s="7"/>
      <c r="S33" s="7"/>
      <c r="T33" s="7"/>
      <c r="U33" s="7"/>
      <c r="V33" s="7"/>
      <c r="W33" s="7"/>
      <c r="X33" s="7"/>
      <c r="Y33" s="7"/>
      <c r="Z33" s="7"/>
    </row>
    <row r="34" ht="15.75" customHeight="1" spans="1:26">
      <c r="A34" s="7"/>
      <c r="B34" s="7"/>
      <c r="C34" s="7"/>
      <c r="D34" s="7"/>
      <c r="E34" s="7"/>
      <c r="F34" s="7"/>
      <c r="G34" s="7"/>
      <c r="H34" s="7"/>
      <c r="I34" s="7"/>
      <c r="J34" s="7"/>
      <c r="K34" s="7"/>
      <c r="L34" s="7"/>
      <c r="M34" s="7"/>
      <c r="N34" s="7"/>
      <c r="O34" s="7"/>
      <c r="P34" s="7"/>
      <c r="Q34" s="7"/>
      <c r="R34" s="7"/>
      <c r="S34" s="7"/>
      <c r="T34" s="7"/>
      <c r="U34" s="7"/>
      <c r="V34" s="7"/>
      <c r="W34" s="7"/>
      <c r="X34" s="7"/>
      <c r="Y34" s="7"/>
      <c r="Z34" s="7"/>
    </row>
    <row r="35" ht="15.75" customHeight="1" spans="1:26">
      <c r="A35" s="7"/>
      <c r="B35" s="7"/>
      <c r="C35" s="7"/>
      <c r="D35" s="7"/>
      <c r="E35" s="7"/>
      <c r="F35" s="7"/>
      <c r="G35" s="7"/>
      <c r="H35" s="7"/>
      <c r="I35" s="7"/>
      <c r="J35" s="7"/>
      <c r="K35" s="7"/>
      <c r="L35" s="7"/>
      <c r="M35" s="7"/>
      <c r="N35" s="7"/>
      <c r="O35" s="7"/>
      <c r="P35" s="7"/>
      <c r="Q35" s="7"/>
      <c r="R35" s="7"/>
      <c r="S35" s="7"/>
      <c r="T35" s="7"/>
      <c r="U35" s="7"/>
      <c r="V35" s="7"/>
      <c r="W35" s="7"/>
      <c r="X35" s="7"/>
      <c r="Y35" s="7"/>
      <c r="Z35" s="7"/>
    </row>
    <row r="36" ht="15.75" customHeight="1" spans="1:26">
      <c r="A36" s="7"/>
      <c r="B36" s="7"/>
      <c r="C36" s="7"/>
      <c r="D36" s="7"/>
      <c r="E36" s="7"/>
      <c r="F36" s="7"/>
      <c r="G36" s="7"/>
      <c r="H36" s="7"/>
      <c r="I36" s="7"/>
      <c r="J36" s="7"/>
      <c r="K36" s="7"/>
      <c r="L36" s="7"/>
      <c r="M36" s="7"/>
      <c r="N36" s="7"/>
      <c r="O36" s="7"/>
      <c r="P36" s="7"/>
      <c r="Q36" s="7"/>
      <c r="R36" s="7"/>
      <c r="S36" s="7"/>
      <c r="T36" s="7"/>
      <c r="U36" s="7"/>
      <c r="V36" s="7"/>
      <c r="W36" s="7"/>
      <c r="X36" s="7"/>
      <c r="Y36" s="7"/>
      <c r="Z36" s="7"/>
    </row>
    <row r="37" ht="15.75" customHeight="1" spans="1:26">
      <c r="A37" s="7"/>
      <c r="B37" s="7"/>
      <c r="C37" s="7"/>
      <c r="D37" s="7"/>
      <c r="E37" s="7"/>
      <c r="F37" s="7"/>
      <c r="G37" s="7"/>
      <c r="H37" s="7"/>
      <c r="I37" s="7"/>
      <c r="J37" s="7"/>
      <c r="K37" s="7"/>
      <c r="L37" s="7"/>
      <c r="M37" s="7"/>
      <c r="N37" s="7"/>
      <c r="O37" s="7"/>
      <c r="P37" s="7"/>
      <c r="Q37" s="7"/>
      <c r="R37" s="7"/>
      <c r="S37" s="7"/>
      <c r="T37" s="7"/>
      <c r="U37" s="7"/>
      <c r="V37" s="7"/>
      <c r="W37" s="7"/>
      <c r="X37" s="7"/>
      <c r="Y37" s="7"/>
      <c r="Z37" s="7"/>
    </row>
    <row r="38" ht="15.75" customHeight="1" spans="1:26">
      <c r="A38" s="7"/>
      <c r="B38" s="7"/>
      <c r="C38" s="7"/>
      <c r="D38" s="7"/>
      <c r="E38" s="7"/>
      <c r="F38" s="7"/>
      <c r="G38" s="7"/>
      <c r="H38" s="7"/>
      <c r="I38" s="7"/>
      <c r="J38" s="7"/>
      <c r="K38" s="7"/>
      <c r="L38" s="7"/>
      <c r="M38" s="7"/>
      <c r="N38" s="7"/>
      <c r="O38" s="7"/>
      <c r="P38" s="7"/>
      <c r="Q38" s="7"/>
      <c r="R38" s="7"/>
      <c r="S38" s="7"/>
      <c r="T38" s="7"/>
      <c r="U38" s="7"/>
      <c r="V38" s="7"/>
      <c r="W38" s="7"/>
      <c r="X38" s="7"/>
      <c r="Y38" s="7"/>
      <c r="Z38" s="7"/>
    </row>
    <row r="39" ht="15.75" customHeight="1" spans="1:26">
      <c r="A39" s="7"/>
      <c r="B39" s="7"/>
      <c r="C39" s="7"/>
      <c r="D39" s="7"/>
      <c r="E39" s="7"/>
      <c r="F39" s="7"/>
      <c r="G39" s="7"/>
      <c r="H39" s="7"/>
      <c r="I39" s="7"/>
      <c r="J39" s="7"/>
      <c r="K39" s="7"/>
      <c r="L39" s="7"/>
      <c r="M39" s="7"/>
      <c r="N39" s="7"/>
      <c r="O39" s="7"/>
      <c r="P39" s="7"/>
      <c r="Q39" s="7"/>
      <c r="R39" s="7"/>
      <c r="S39" s="7"/>
      <c r="T39" s="7"/>
      <c r="U39" s="7"/>
      <c r="V39" s="7"/>
      <c r="W39" s="7"/>
      <c r="X39" s="7"/>
      <c r="Y39" s="7"/>
      <c r="Z39" s="7"/>
    </row>
    <row r="40" ht="15.75" customHeight="1" spans="1:26">
      <c r="A40" s="7"/>
      <c r="B40" s="7"/>
      <c r="C40" s="7"/>
      <c r="D40" s="7"/>
      <c r="E40" s="7"/>
      <c r="F40" s="7"/>
      <c r="G40" s="7"/>
      <c r="H40" s="7"/>
      <c r="I40" s="7"/>
      <c r="J40" s="7"/>
      <c r="K40" s="7"/>
      <c r="L40" s="7"/>
      <c r="M40" s="7"/>
      <c r="N40" s="7"/>
      <c r="O40" s="7"/>
      <c r="P40" s="7"/>
      <c r="Q40" s="7"/>
      <c r="R40" s="7"/>
      <c r="S40" s="7"/>
      <c r="T40" s="7"/>
      <c r="U40" s="7"/>
      <c r="V40" s="7"/>
      <c r="W40" s="7"/>
      <c r="X40" s="7"/>
      <c r="Y40" s="7"/>
      <c r="Z40" s="7"/>
    </row>
    <row r="41" ht="15.75" customHeight="1" spans="1:26">
      <c r="A41" s="7"/>
      <c r="B41" s="7"/>
      <c r="C41" s="7"/>
      <c r="D41" s="7"/>
      <c r="E41" s="7"/>
      <c r="F41" s="7"/>
      <c r="G41" s="7"/>
      <c r="H41" s="7"/>
      <c r="I41" s="7"/>
      <c r="J41" s="7"/>
      <c r="K41" s="7"/>
      <c r="L41" s="7"/>
      <c r="M41" s="7"/>
      <c r="N41" s="7"/>
      <c r="O41" s="7"/>
      <c r="P41" s="7"/>
      <c r="Q41" s="7"/>
      <c r="R41" s="7"/>
      <c r="S41" s="7"/>
      <c r="T41" s="7"/>
      <c r="U41" s="7"/>
      <c r="V41" s="7"/>
      <c r="W41" s="7"/>
      <c r="X41" s="7"/>
      <c r="Y41" s="7"/>
      <c r="Z41" s="7"/>
    </row>
    <row r="42" ht="15.75" customHeight="1" spans="1:26">
      <c r="A42" s="7"/>
      <c r="B42" s="7"/>
      <c r="C42" s="7"/>
      <c r="D42" s="7"/>
      <c r="E42" s="7"/>
      <c r="F42" s="7"/>
      <c r="G42" s="7"/>
      <c r="H42" s="7"/>
      <c r="I42" s="7"/>
      <c r="J42" s="7"/>
      <c r="K42" s="7"/>
      <c r="L42" s="7"/>
      <c r="M42" s="7"/>
      <c r="N42" s="7"/>
      <c r="O42" s="7"/>
      <c r="P42" s="7"/>
      <c r="Q42" s="7"/>
      <c r="R42" s="7"/>
      <c r="S42" s="7"/>
      <c r="T42" s="7"/>
      <c r="U42" s="7"/>
      <c r="V42" s="7"/>
      <c r="W42" s="7"/>
      <c r="X42" s="7"/>
      <c r="Y42" s="7"/>
      <c r="Z42" s="7"/>
    </row>
    <row r="43" ht="15.75" customHeight="1" spans="1:26">
      <c r="A43" s="7"/>
      <c r="B43" s="7"/>
      <c r="C43" s="7"/>
      <c r="D43" s="7"/>
      <c r="E43" s="7"/>
      <c r="F43" s="7"/>
      <c r="G43" s="7"/>
      <c r="H43" s="7"/>
      <c r="I43" s="7"/>
      <c r="J43" s="7"/>
      <c r="K43" s="7"/>
      <c r="L43" s="7"/>
      <c r="M43" s="7"/>
      <c r="N43" s="7"/>
      <c r="O43" s="7"/>
      <c r="P43" s="7"/>
      <c r="Q43" s="7"/>
      <c r="R43" s="7"/>
      <c r="S43" s="7"/>
      <c r="T43" s="7"/>
      <c r="U43" s="7"/>
      <c r="V43" s="7"/>
      <c r="W43" s="7"/>
      <c r="X43" s="7"/>
      <c r="Y43" s="7"/>
      <c r="Z43" s="7"/>
    </row>
    <row r="44" ht="15.75" customHeight="1" spans="1:26">
      <c r="A44" s="7"/>
      <c r="B44" s="7"/>
      <c r="C44" s="7"/>
      <c r="D44" s="7"/>
      <c r="E44" s="7"/>
      <c r="F44" s="7"/>
      <c r="G44" s="7"/>
      <c r="H44" s="7"/>
      <c r="I44" s="7"/>
      <c r="J44" s="7"/>
      <c r="K44" s="7"/>
      <c r="L44" s="7"/>
      <c r="M44" s="7"/>
      <c r="N44" s="7"/>
      <c r="O44" s="7"/>
      <c r="P44" s="7"/>
      <c r="Q44" s="7"/>
      <c r="R44" s="7"/>
      <c r="S44" s="7"/>
      <c r="T44" s="7"/>
      <c r="U44" s="7"/>
      <c r="V44" s="7"/>
      <c r="W44" s="7"/>
      <c r="X44" s="7"/>
      <c r="Y44" s="7"/>
      <c r="Z44" s="7"/>
    </row>
    <row r="45" ht="15.75" customHeight="1" spans="1:26">
      <c r="A45" s="7"/>
      <c r="B45" s="7"/>
      <c r="C45" s="7"/>
      <c r="D45" s="7"/>
      <c r="E45" s="7"/>
      <c r="F45" s="7"/>
      <c r="G45" s="7"/>
      <c r="H45" s="7"/>
      <c r="I45" s="7"/>
      <c r="J45" s="7"/>
      <c r="K45" s="7"/>
      <c r="L45" s="7"/>
      <c r="M45" s="7"/>
      <c r="N45" s="7"/>
      <c r="O45" s="7"/>
      <c r="P45" s="7"/>
      <c r="Q45" s="7"/>
      <c r="R45" s="7"/>
      <c r="S45" s="7"/>
      <c r="T45" s="7"/>
      <c r="U45" s="7"/>
      <c r="V45" s="7"/>
      <c r="W45" s="7"/>
      <c r="X45" s="7"/>
      <c r="Y45" s="7"/>
      <c r="Z45" s="7"/>
    </row>
    <row r="46" ht="15.75" customHeight="1" spans="1:26">
      <c r="A46" s="7"/>
      <c r="B46" s="7"/>
      <c r="C46" s="7"/>
      <c r="D46" s="7"/>
      <c r="E46" s="7"/>
      <c r="F46" s="7"/>
      <c r="G46" s="7"/>
      <c r="H46" s="7"/>
      <c r="I46" s="7"/>
      <c r="J46" s="7"/>
      <c r="K46" s="7"/>
      <c r="L46" s="7"/>
      <c r="M46" s="7"/>
      <c r="N46" s="7"/>
      <c r="O46" s="7"/>
      <c r="P46" s="7"/>
      <c r="Q46" s="7"/>
      <c r="R46" s="7"/>
      <c r="S46" s="7"/>
      <c r="T46" s="7"/>
      <c r="U46" s="7"/>
      <c r="V46" s="7"/>
      <c r="W46" s="7"/>
      <c r="X46" s="7"/>
      <c r="Y46" s="7"/>
      <c r="Z46" s="7"/>
    </row>
    <row r="47" ht="15.75" customHeight="1" spans="1:26">
      <c r="A47" s="7"/>
      <c r="B47" s="7"/>
      <c r="C47" s="7"/>
      <c r="D47" s="7"/>
      <c r="E47" s="7"/>
      <c r="F47" s="7"/>
      <c r="G47" s="7"/>
      <c r="H47" s="7"/>
      <c r="I47" s="7"/>
      <c r="J47" s="7"/>
      <c r="K47" s="7"/>
      <c r="L47" s="7"/>
      <c r="M47" s="7"/>
      <c r="N47" s="7"/>
      <c r="O47" s="7"/>
      <c r="P47" s="7"/>
      <c r="Q47" s="7"/>
      <c r="R47" s="7"/>
      <c r="S47" s="7"/>
      <c r="T47" s="7"/>
      <c r="U47" s="7"/>
      <c r="V47" s="7"/>
      <c r="W47" s="7"/>
      <c r="X47" s="7"/>
      <c r="Y47" s="7"/>
      <c r="Z47" s="7"/>
    </row>
    <row r="48" ht="15.75" customHeight="1" spans="1:26">
      <c r="A48" s="7"/>
      <c r="B48" s="7"/>
      <c r="C48" s="7"/>
      <c r="D48" s="7"/>
      <c r="E48" s="7"/>
      <c r="F48" s="7"/>
      <c r="G48" s="7"/>
      <c r="H48" s="7"/>
      <c r="I48" s="7"/>
      <c r="J48" s="7"/>
      <c r="K48" s="7"/>
      <c r="L48" s="7"/>
      <c r="M48" s="7"/>
      <c r="N48" s="7"/>
      <c r="O48" s="7"/>
      <c r="P48" s="7"/>
      <c r="Q48" s="7"/>
      <c r="R48" s="7"/>
      <c r="S48" s="7"/>
      <c r="T48" s="7"/>
      <c r="U48" s="7"/>
      <c r="V48" s="7"/>
      <c r="W48" s="7"/>
      <c r="X48" s="7"/>
      <c r="Y48" s="7"/>
      <c r="Z48" s="7"/>
    </row>
    <row r="49" ht="15.75" customHeight="1" spans="1:26">
      <c r="A49" s="7"/>
      <c r="B49" s="7"/>
      <c r="C49" s="7"/>
      <c r="D49" s="7"/>
      <c r="E49" s="7"/>
      <c r="F49" s="7"/>
      <c r="G49" s="7"/>
      <c r="H49" s="7"/>
      <c r="I49" s="7"/>
      <c r="J49" s="7"/>
      <c r="K49" s="7"/>
      <c r="L49" s="7"/>
      <c r="M49" s="7"/>
      <c r="N49" s="7"/>
      <c r="O49" s="7"/>
      <c r="P49" s="7"/>
      <c r="Q49" s="7"/>
      <c r="R49" s="7"/>
      <c r="S49" s="7"/>
      <c r="T49" s="7"/>
      <c r="U49" s="7"/>
      <c r="V49" s="7"/>
      <c r="W49" s="7"/>
      <c r="X49" s="7"/>
      <c r="Y49" s="7"/>
      <c r="Z49" s="7"/>
    </row>
    <row r="50" ht="15.75" customHeight="1" spans="1:26">
      <c r="A50" s="7"/>
      <c r="B50" s="7"/>
      <c r="C50" s="7"/>
      <c r="D50" s="7"/>
      <c r="E50" s="7"/>
      <c r="F50" s="7"/>
      <c r="G50" s="7"/>
      <c r="H50" s="7"/>
      <c r="I50" s="7"/>
      <c r="J50" s="7"/>
      <c r="K50" s="7"/>
      <c r="L50" s="7"/>
      <c r="M50" s="7"/>
      <c r="N50" s="7"/>
      <c r="O50" s="7"/>
      <c r="P50" s="7"/>
      <c r="Q50" s="7"/>
      <c r="R50" s="7"/>
      <c r="S50" s="7"/>
      <c r="T50" s="7"/>
      <c r="U50" s="7"/>
      <c r="V50" s="7"/>
      <c r="W50" s="7"/>
      <c r="X50" s="7"/>
      <c r="Y50" s="7"/>
      <c r="Z50" s="7"/>
    </row>
    <row r="51" ht="15.75" customHeight="1" spans="1:26">
      <c r="A51" s="7"/>
      <c r="B51" s="7"/>
      <c r="C51" s="7"/>
      <c r="D51" s="7"/>
      <c r="E51" s="7"/>
      <c r="F51" s="7"/>
      <c r="G51" s="7"/>
      <c r="H51" s="7"/>
      <c r="I51" s="7"/>
      <c r="J51" s="7"/>
      <c r="K51" s="7"/>
      <c r="L51" s="7"/>
      <c r="M51" s="7"/>
      <c r="N51" s="7"/>
      <c r="O51" s="7"/>
      <c r="P51" s="7"/>
      <c r="Q51" s="7"/>
      <c r="R51" s="7"/>
      <c r="S51" s="7"/>
      <c r="T51" s="7"/>
      <c r="U51" s="7"/>
      <c r="V51" s="7"/>
      <c r="W51" s="7"/>
      <c r="X51" s="7"/>
      <c r="Y51" s="7"/>
      <c r="Z51" s="7"/>
    </row>
    <row r="52" ht="15.75" customHeight="1" spans="1:26">
      <c r="A52" s="7"/>
      <c r="B52" s="7"/>
      <c r="C52" s="7"/>
      <c r="D52" s="7"/>
      <c r="E52" s="7"/>
      <c r="F52" s="7"/>
      <c r="G52" s="7"/>
      <c r="H52" s="7"/>
      <c r="I52" s="7"/>
      <c r="J52" s="7"/>
      <c r="K52" s="7"/>
      <c r="L52" s="7"/>
      <c r="M52" s="7"/>
      <c r="N52" s="7"/>
      <c r="O52" s="7"/>
      <c r="P52" s="7"/>
      <c r="Q52" s="7"/>
      <c r="R52" s="7"/>
      <c r="S52" s="7"/>
      <c r="T52" s="7"/>
      <c r="U52" s="7"/>
      <c r="V52" s="7"/>
      <c r="W52" s="7"/>
      <c r="X52" s="7"/>
      <c r="Y52" s="7"/>
      <c r="Z52" s="7"/>
    </row>
    <row r="53" ht="15.75" customHeight="1" spans="1:26">
      <c r="A53" s="7"/>
      <c r="B53" s="7"/>
      <c r="C53" s="7"/>
      <c r="D53" s="7"/>
      <c r="E53" s="7"/>
      <c r="F53" s="7"/>
      <c r="G53" s="7"/>
      <c r="H53" s="7"/>
      <c r="I53" s="7"/>
      <c r="J53" s="7"/>
      <c r="K53" s="7"/>
      <c r="L53" s="7"/>
      <c r="M53" s="7"/>
      <c r="N53" s="7"/>
      <c r="O53" s="7"/>
      <c r="P53" s="7"/>
      <c r="Q53" s="7"/>
      <c r="R53" s="7"/>
      <c r="S53" s="7"/>
      <c r="T53" s="7"/>
      <c r="U53" s="7"/>
      <c r="V53" s="7"/>
      <c r="W53" s="7"/>
      <c r="X53" s="7"/>
      <c r="Y53" s="7"/>
      <c r="Z53" s="7"/>
    </row>
    <row r="54" ht="15.75" customHeight="1" spans="1:26">
      <c r="A54" s="7"/>
      <c r="B54" s="7"/>
      <c r="C54" s="7"/>
      <c r="D54" s="7"/>
      <c r="E54" s="7"/>
      <c r="F54" s="7"/>
      <c r="G54" s="7"/>
      <c r="H54" s="7"/>
      <c r="I54" s="7"/>
      <c r="J54" s="7"/>
      <c r="K54" s="7"/>
      <c r="L54" s="7"/>
      <c r="M54" s="7"/>
      <c r="N54" s="7"/>
      <c r="O54" s="7"/>
      <c r="P54" s="7"/>
      <c r="Q54" s="7"/>
      <c r="R54" s="7"/>
      <c r="S54" s="7"/>
      <c r="T54" s="7"/>
      <c r="U54" s="7"/>
      <c r="V54" s="7"/>
      <c r="W54" s="7"/>
      <c r="X54" s="7"/>
      <c r="Y54" s="7"/>
      <c r="Z54" s="7"/>
    </row>
    <row r="55" ht="15.75" customHeight="1" spans="1:26">
      <c r="A55" s="7"/>
      <c r="B55" s="7"/>
      <c r="C55" s="7"/>
      <c r="D55" s="7"/>
      <c r="E55" s="7"/>
      <c r="F55" s="7"/>
      <c r="G55" s="7"/>
      <c r="H55" s="7"/>
      <c r="I55" s="7"/>
      <c r="J55" s="7"/>
      <c r="K55" s="7"/>
      <c r="L55" s="7"/>
      <c r="M55" s="7"/>
      <c r="N55" s="7"/>
      <c r="O55" s="7"/>
      <c r="P55" s="7"/>
      <c r="Q55" s="7"/>
      <c r="R55" s="7"/>
      <c r="S55" s="7"/>
      <c r="T55" s="7"/>
      <c r="U55" s="7"/>
      <c r="V55" s="7"/>
      <c r="W55" s="7"/>
      <c r="X55" s="7"/>
      <c r="Y55" s="7"/>
      <c r="Z55" s="7"/>
    </row>
    <row r="56" ht="15.75" customHeight="1" spans="1:26">
      <c r="A56" s="7"/>
      <c r="B56" s="7"/>
      <c r="C56" s="7"/>
      <c r="D56" s="7"/>
      <c r="E56" s="7"/>
      <c r="F56" s="7"/>
      <c r="G56" s="7"/>
      <c r="H56" s="7"/>
      <c r="I56" s="7"/>
      <c r="J56" s="7"/>
      <c r="K56" s="7"/>
      <c r="L56" s="7"/>
      <c r="M56" s="7"/>
      <c r="N56" s="7"/>
      <c r="O56" s="7"/>
      <c r="P56" s="7"/>
      <c r="Q56" s="7"/>
      <c r="R56" s="7"/>
      <c r="S56" s="7"/>
      <c r="T56" s="7"/>
      <c r="U56" s="7"/>
      <c r="V56" s="7"/>
      <c r="W56" s="7"/>
      <c r="X56" s="7"/>
      <c r="Y56" s="7"/>
      <c r="Z56" s="7"/>
    </row>
    <row r="57" ht="15.75" customHeight="1" spans="1:26">
      <c r="A57" s="7"/>
      <c r="B57" s="7"/>
      <c r="C57" s="7"/>
      <c r="D57" s="7"/>
      <c r="E57" s="7"/>
      <c r="F57" s="7"/>
      <c r="G57" s="7"/>
      <c r="H57" s="7"/>
      <c r="I57" s="7"/>
      <c r="J57" s="7"/>
      <c r="K57" s="7"/>
      <c r="L57" s="7"/>
      <c r="M57" s="7"/>
      <c r="N57" s="7"/>
      <c r="O57" s="7"/>
      <c r="P57" s="7"/>
      <c r="Q57" s="7"/>
      <c r="R57" s="7"/>
      <c r="S57" s="7"/>
      <c r="T57" s="7"/>
      <c r="U57" s="7"/>
      <c r="V57" s="7"/>
      <c r="W57" s="7"/>
      <c r="X57" s="7"/>
      <c r="Y57" s="7"/>
      <c r="Z57" s="7"/>
    </row>
    <row r="58" ht="15.75" customHeight="1" spans="1:26">
      <c r="A58" s="7"/>
      <c r="B58" s="7"/>
      <c r="C58" s="7"/>
      <c r="D58" s="7"/>
      <c r="E58" s="7"/>
      <c r="F58" s="7"/>
      <c r="G58" s="7"/>
      <c r="H58" s="7"/>
      <c r="I58" s="7"/>
      <c r="J58" s="7"/>
      <c r="K58" s="7"/>
      <c r="L58" s="7"/>
      <c r="M58" s="7"/>
      <c r="N58" s="7"/>
      <c r="O58" s="7"/>
      <c r="P58" s="7"/>
      <c r="Q58" s="7"/>
      <c r="R58" s="7"/>
      <c r="S58" s="7"/>
      <c r="T58" s="7"/>
      <c r="U58" s="7"/>
      <c r="V58" s="7"/>
      <c r="W58" s="7"/>
      <c r="X58" s="7"/>
      <c r="Y58" s="7"/>
      <c r="Z58" s="7"/>
    </row>
    <row r="59" ht="15.75" customHeight="1" spans="1:26">
      <c r="A59" s="7"/>
      <c r="B59" s="7"/>
      <c r="C59" s="7"/>
      <c r="D59" s="7"/>
      <c r="E59" s="7"/>
      <c r="F59" s="7"/>
      <c r="G59" s="7"/>
      <c r="H59" s="7"/>
      <c r="I59" s="7"/>
      <c r="J59" s="7"/>
      <c r="K59" s="7"/>
      <c r="L59" s="7"/>
      <c r="M59" s="7"/>
      <c r="N59" s="7"/>
      <c r="O59" s="7"/>
      <c r="P59" s="7"/>
      <c r="Q59" s="7"/>
      <c r="R59" s="7"/>
      <c r="S59" s="7"/>
      <c r="T59" s="7"/>
      <c r="U59" s="7"/>
      <c r="V59" s="7"/>
      <c r="W59" s="7"/>
      <c r="X59" s="7"/>
      <c r="Y59" s="7"/>
      <c r="Z59" s="7"/>
    </row>
    <row r="60" ht="15.75" customHeight="1" spans="1:26">
      <c r="A60" s="7"/>
      <c r="B60" s="7"/>
      <c r="C60" s="7"/>
      <c r="D60" s="7"/>
      <c r="E60" s="7"/>
      <c r="F60" s="7"/>
      <c r="G60" s="7"/>
      <c r="H60" s="7"/>
      <c r="I60" s="7"/>
      <c r="J60" s="7"/>
      <c r="K60" s="7"/>
      <c r="L60" s="7"/>
      <c r="M60" s="7"/>
      <c r="N60" s="7"/>
      <c r="O60" s="7"/>
      <c r="P60" s="7"/>
      <c r="Q60" s="7"/>
      <c r="R60" s="7"/>
      <c r="S60" s="7"/>
      <c r="T60" s="7"/>
      <c r="U60" s="7"/>
      <c r="V60" s="7"/>
      <c r="W60" s="7"/>
      <c r="X60" s="7"/>
      <c r="Y60" s="7"/>
      <c r="Z60" s="7"/>
    </row>
    <row r="61" ht="15.75" customHeight="1" spans="1:26">
      <c r="A61" s="7"/>
      <c r="B61" s="7"/>
      <c r="C61" s="7"/>
      <c r="D61" s="7"/>
      <c r="E61" s="7"/>
      <c r="F61" s="7"/>
      <c r="G61" s="7"/>
      <c r="H61" s="7"/>
      <c r="I61" s="7"/>
      <c r="J61" s="7"/>
      <c r="K61" s="7"/>
      <c r="L61" s="7"/>
      <c r="M61" s="7"/>
      <c r="N61" s="7"/>
      <c r="O61" s="7"/>
      <c r="P61" s="7"/>
      <c r="Q61" s="7"/>
      <c r="R61" s="7"/>
      <c r="S61" s="7"/>
      <c r="T61" s="7"/>
      <c r="U61" s="7"/>
      <c r="V61" s="7"/>
      <c r="W61" s="7"/>
      <c r="X61" s="7"/>
      <c r="Y61" s="7"/>
      <c r="Z61" s="7"/>
    </row>
    <row r="62" ht="15.75" customHeight="1" spans="1:26">
      <c r="A62" s="7"/>
      <c r="B62" s="7"/>
      <c r="C62" s="7"/>
      <c r="D62" s="7"/>
      <c r="E62" s="7"/>
      <c r="F62" s="7"/>
      <c r="G62" s="7"/>
      <c r="H62" s="7"/>
      <c r="I62" s="7"/>
      <c r="J62" s="7"/>
      <c r="K62" s="7"/>
      <c r="L62" s="7"/>
      <c r="M62" s="7"/>
      <c r="N62" s="7"/>
      <c r="O62" s="7"/>
      <c r="P62" s="7"/>
      <c r="Q62" s="7"/>
      <c r="R62" s="7"/>
      <c r="S62" s="7"/>
      <c r="T62" s="7"/>
      <c r="U62" s="7"/>
      <c r="V62" s="7"/>
      <c r="W62" s="7"/>
      <c r="X62" s="7"/>
      <c r="Y62" s="7"/>
      <c r="Z62" s="7"/>
    </row>
    <row r="63" ht="15.75" customHeight="1" spans="1:26">
      <c r="A63" s="7"/>
      <c r="B63" s="7"/>
      <c r="C63" s="7"/>
      <c r="D63" s="7"/>
      <c r="E63" s="7"/>
      <c r="F63" s="7"/>
      <c r="G63" s="7"/>
      <c r="H63" s="7"/>
      <c r="I63" s="7"/>
      <c r="J63" s="7"/>
      <c r="K63" s="7"/>
      <c r="L63" s="7"/>
      <c r="M63" s="7"/>
      <c r="N63" s="7"/>
      <c r="O63" s="7"/>
      <c r="P63" s="7"/>
      <c r="Q63" s="7"/>
      <c r="R63" s="7"/>
      <c r="S63" s="7"/>
      <c r="T63" s="7"/>
      <c r="U63" s="7"/>
      <c r="V63" s="7"/>
      <c r="W63" s="7"/>
      <c r="X63" s="7"/>
      <c r="Y63" s="7"/>
      <c r="Z63" s="7"/>
    </row>
    <row r="64" ht="15.75" customHeight="1" spans="1:26">
      <c r="A64" s="7"/>
      <c r="B64" s="7"/>
      <c r="C64" s="7"/>
      <c r="D64" s="7"/>
      <c r="E64" s="7"/>
      <c r="F64" s="7"/>
      <c r="G64" s="7"/>
      <c r="H64" s="7"/>
      <c r="I64" s="7"/>
      <c r="J64" s="7"/>
      <c r="K64" s="7"/>
      <c r="L64" s="7"/>
      <c r="M64" s="7"/>
      <c r="N64" s="7"/>
      <c r="O64" s="7"/>
      <c r="P64" s="7"/>
      <c r="Q64" s="7"/>
      <c r="R64" s="7"/>
      <c r="S64" s="7"/>
      <c r="T64" s="7"/>
      <c r="U64" s="7"/>
      <c r="V64" s="7"/>
      <c r="W64" s="7"/>
      <c r="X64" s="7"/>
      <c r="Y64" s="7"/>
      <c r="Z64" s="7"/>
    </row>
    <row r="65" ht="15.75" customHeight="1" spans="1:26">
      <c r="A65" s="7"/>
      <c r="B65" s="7"/>
      <c r="C65" s="7"/>
      <c r="D65" s="7"/>
      <c r="E65" s="7"/>
      <c r="F65" s="7"/>
      <c r="G65" s="7"/>
      <c r="H65" s="7"/>
      <c r="I65" s="7"/>
      <c r="J65" s="7"/>
      <c r="K65" s="7"/>
      <c r="L65" s="7"/>
      <c r="M65" s="7"/>
      <c r="N65" s="7"/>
      <c r="O65" s="7"/>
      <c r="P65" s="7"/>
      <c r="Q65" s="7"/>
      <c r="R65" s="7"/>
      <c r="S65" s="7"/>
      <c r="T65" s="7"/>
      <c r="U65" s="7"/>
      <c r="V65" s="7"/>
      <c r="W65" s="7"/>
      <c r="X65" s="7"/>
      <c r="Y65" s="7"/>
      <c r="Z65" s="7"/>
    </row>
    <row r="66" ht="15.75" customHeight="1" spans="1:26">
      <c r="A66" s="7"/>
      <c r="B66" s="7"/>
      <c r="C66" s="7"/>
      <c r="D66" s="7"/>
      <c r="E66" s="7"/>
      <c r="F66" s="7"/>
      <c r="G66" s="7"/>
      <c r="H66" s="7"/>
      <c r="I66" s="7"/>
      <c r="J66" s="7"/>
      <c r="K66" s="7"/>
      <c r="L66" s="7"/>
      <c r="M66" s="7"/>
      <c r="N66" s="7"/>
      <c r="O66" s="7"/>
      <c r="P66" s="7"/>
      <c r="Q66" s="7"/>
      <c r="R66" s="7"/>
      <c r="S66" s="7"/>
      <c r="T66" s="7"/>
      <c r="U66" s="7"/>
      <c r="V66" s="7"/>
      <c r="W66" s="7"/>
      <c r="X66" s="7"/>
      <c r="Y66" s="7"/>
      <c r="Z66" s="7"/>
    </row>
    <row r="67" ht="15.75" customHeight="1" spans="1:26">
      <c r="A67" s="7"/>
      <c r="B67" s="7"/>
      <c r="C67" s="7"/>
      <c r="D67" s="7"/>
      <c r="E67" s="7"/>
      <c r="F67" s="7"/>
      <c r="G67" s="7"/>
      <c r="H67" s="7"/>
      <c r="I67" s="7"/>
      <c r="J67" s="7"/>
      <c r="K67" s="7"/>
      <c r="L67" s="7"/>
      <c r="M67" s="7"/>
      <c r="N67" s="7"/>
      <c r="O67" s="7"/>
      <c r="P67" s="7"/>
      <c r="Q67" s="7"/>
      <c r="R67" s="7"/>
      <c r="S67" s="7"/>
      <c r="T67" s="7"/>
      <c r="U67" s="7"/>
      <c r="V67" s="7"/>
      <c r="W67" s="7"/>
      <c r="X67" s="7"/>
      <c r="Y67" s="7"/>
      <c r="Z67" s="7"/>
    </row>
    <row r="68" ht="15.75" customHeight="1" spans="1:26">
      <c r="A68" s="7"/>
      <c r="B68" s="7"/>
      <c r="C68" s="7"/>
      <c r="D68" s="7"/>
      <c r="E68" s="7"/>
      <c r="F68" s="7"/>
      <c r="G68" s="7"/>
      <c r="H68" s="7"/>
      <c r="I68" s="7"/>
      <c r="J68" s="7"/>
      <c r="K68" s="7"/>
      <c r="L68" s="7"/>
      <c r="M68" s="7"/>
      <c r="N68" s="7"/>
      <c r="O68" s="7"/>
      <c r="P68" s="7"/>
      <c r="Q68" s="7"/>
      <c r="R68" s="7"/>
      <c r="S68" s="7"/>
      <c r="T68" s="7"/>
      <c r="U68" s="7"/>
      <c r="V68" s="7"/>
      <c r="W68" s="7"/>
      <c r="X68" s="7"/>
      <c r="Y68" s="7"/>
      <c r="Z68" s="7"/>
    </row>
    <row r="69" ht="15.75" customHeight="1" spans="1:26">
      <c r="A69" s="7"/>
      <c r="B69" s="7"/>
      <c r="C69" s="7"/>
      <c r="D69" s="7"/>
      <c r="E69" s="7"/>
      <c r="F69" s="7"/>
      <c r="G69" s="7"/>
      <c r="H69" s="7"/>
      <c r="I69" s="7"/>
      <c r="J69" s="7"/>
      <c r="K69" s="7"/>
      <c r="L69" s="7"/>
      <c r="M69" s="7"/>
      <c r="N69" s="7"/>
      <c r="O69" s="7"/>
      <c r="P69" s="7"/>
      <c r="Q69" s="7"/>
      <c r="R69" s="7"/>
      <c r="S69" s="7"/>
      <c r="T69" s="7"/>
      <c r="U69" s="7"/>
      <c r="V69" s="7"/>
      <c r="W69" s="7"/>
      <c r="X69" s="7"/>
      <c r="Y69" s="7"/>
      <c r="Z69" s="7"/>
    </row>
    <row r="70" ht="15.75" customHeight="1" spans="1:26">
      <c r="A70" s="7"/>
      <c r="B70" s="7"/>
      <c r="C70" s="7"/>
      <c r="D70" s="7"/>
      <c r="E70" s="7"/>
      <c r="F70" s="7"/>
      <c r="G70" s="7"/>
      <c r="H70" s="7"/>
      <c r="I70" s="7"/>
      <c r="J70" s="7"/>
      <c r="K70" s="7"/>
      <c r="L70" s="7"/>
      <c r="M70" s="7"/>
      <c r="N70" s="7"/>
      <c r="O70" s="7"/>
      <c r="P70" s="7"/>
      <c r="Q70" s="7"/>
      <c r="R70" s="7"/>
      <c r="S70" s="7"/>
      <c r="T70" s="7"/>
      <c r="U70" s="7"/>
      <c r="V70" s="7"/>
      <c r="W70" s="7"/>
      <c r="X70" s="7"/>
      <c r="Y70" s="7"/>
      <c r="Z70" s="7"/>
    </row>
    <row r="71" ht="15.75" customHeight="1" spans="1:26">
      <c r="A71" s="7"/>
      <c r="B71" s="7"/>
      <c r="C71" s="7"/>
      <c r="D71" s="7"/>
      <c r="E71" s="7"/>
      <c r="F71" s="7"/>
      <c r="G71" s="7"/>
      <c r="H71" s="7"/>
      <c r="I71" s="7"/>
      <c r="J71" s="7"/>
      <c r="K71" s="7"/>
      <c r="L71" s="7"/>
      <c r="M71" s="7"/>
      <c r="N71" s="7"/>
      <c r="O71" s="7"/>
      <c r="P71" s="7"/>
      <c r="Q71" s="7"/>
      <c r="R71" s="7"/>
      <c r="S71" s="7"/>
      <c r="T71" s="7"/>
      <c r="U71" s="7"/>
      <c r="V71" s="7"/>
      <c r="W71" s="7"/>
      <c r="X71" s="7"/>
      <c r="Y71" s="7"/>
      <c r="Z71" s="7"/>
    </row>
    <row r="72" ht="15.75" customHeight="1" spans="1:26">
      <c r="A72" s="7"/>
      <c r="B72" s="7"/>
      <c r="C72" s="7"/>
      <c r="D72" s="7"/>
      <c r="E72" s="7"/>
      <c r="F72" s="7"/>
      <c r="G72" s="7"/>
      <c r="H72" s="7"/>
      <c r="I72" s="7"/>
      <c r="J72" s="7"/>
      <c r="K72" s="7"/>
      <c r="L72" s="7"/>
      <c r="M72" s="7"/>
      <c r="N72" s="7"/>
      <c r="O72" s="7"/>
      <c r="P72" s="7"/>
      <c r="Q72" s="7"/>
      <c r="R72" s="7"/>
      <c r="S72" s="7"/>
      <c r="T72" s="7"/>
      <c r="U72" s="7"/>
      <c r="V72" s="7"/>
      <c r="W72" s="7"/>
      <c r="X72" s="7"/>
      <c r="Y72" s="7"/>
      <c r="Z72" s="7"/>
    </row>
    <row r="73" ht="15.75" customHeight="1" spans="1:26">
      <c r="A73" s="7"/>
      <c r="B73" s="7"/>
      <c r="C73" s="7"/>
      <c r="D73" s="7"/>
      <c r="E73" s="7"/>
      <c r="F73" s="7"/>
      <c r="G73" s="7"/>
      <c r="H73" s="7"/>
      <c r="I73" s="7"/>
      <c r="J73" s="7"/>
      <c r="K73" s="7"/>
      <c r="L73" s="7"/>
      <c r="M73" s="7"/>
      <c r="N73" s="7"/>
      <c r="O73" s="7"/>
      <c r="P73" s="7"/>
      <c r="Q73" s="7"/>
      <c r="R73" s="7"/>
      <c r="S73" s="7"/>
      <c r="T73" s="7"/>
      <c r="U73" s="7"/>
      <c r="V73" s="7"/>
      <c r="W73" s="7"/>
      <c r="X73" s="7"/>
      <c r="Y73" s="7"/>
      <c r="Z73" s="7"/>
    </row>
    <row r="74" ht="15.75" customHeight="1" spans="1:26">
      <c r="A74" s="7"/>
      <c r="B74" s="7"/>
      <c r="C74" s="7"/>
      <c r="D74" s="7"/>
      <c r="E74" s="7"/>
      <c r="F74" s="7"/>
      <c r="G74" s="7"/>
      <c r="H74" s="7"/>
      <c r="I74" s="7"/>
      <c r="J74" s="7"/>
      <c r="K74" s="7"/>
      <c r="L74" s="7"/>
      <c r="M74" s="7"/>
      <c r="N74" s="7"/>
      <c r="O74" s="7"/>
      <c r="P74" s="7"/>
      <c r="Q74" s="7"/>
      <c r="R74" s="7"/>
      <c r="S74" s="7"/>
      <c r="T74" s="7"/>
      <c r="U74" s="7"/>
      <c r="V74" s="7"/>
      <c r="W74" s="7"/>
      <c r="X74" s="7"/>
      <c r="Y74" s="7"/>
      <c r="Z74" s="7"/>
    </row>
    <row r="75" ht="15.75" customHeight="1" spans="1:26">
      <c r="A75" s="7"/>
      <c r="B75" s="7"/>
      <c r="C75" s="7"/>
      <c r="D75" s="7"/>
      <c r="E75" s="7"/>
      <c r="F75" s="7"/>
      <c r="G75" s="7"/>
      <c r="H75" s="7"/>
      <c r="I75" s="7"/>
      <c r="J75" s="7"/>
      <c r="K75" s="7"/>
      <c r="L75" s="7"/>
      <c r="M75" s="7"/>
      <c r="N75" s="7"/>
      <c r="O75" s="7"/>
      <c r="P75" s="7"/>
      <c r="Q75" s="7"/>
      <c r="R75" s="7"/>
      <c r="S75" s="7"/>
      <c r="T75" s="7"/>
      <c r="U75" s="7"/>
      <c r="V75" s="7"/>
      <c r="W75" s="7"/>
      <c r="X75" s="7"/>
      <c r="Y75" s="7"/>
      <c r="Z75" s="7"/>
    </row>
    <row r="76" ht="15.75" customHeight="1" spans="1:26">
      <c r="A76" s="7"/>
      <c r="B76" s="7"/>
      <c r="C76" s="7"/>
      <c r="D76" s="7"/>
      <c r="E76" s="7"/>
      <c r="F76" s="7"/>
      <c r="G76" s="7"/>
      <c r="H76" s="7"/>
      <c r="I76" s="7"/>
      <c r="J76" s="7"/>
      <c r="K76" s="7"/>
      <c r="L76" s="7"/>
      <c r="M76" s="7"/>
      <c r="N76" s="7"/>
      <c r="O76" s="7"/>
      <c r="P76" s="7"/>
      <c r="Q76" s="7"/>
      <c r="R76" s="7"/>
      <c r="S76" s="7"/>
      <c r="T76" s="7"/>
      <c r="U76" s="7"/>
      <c r="V76" s="7"/>
      <c r="W76" s="7"/>
      <c r="X76" s="7"/>
      <c r="Y76" s="7"/>
      <c r="Z76" s="7"/>
    </row>
    <row r="77" ht="15.75" customHeight="1" spans="1:26">
      <c r="A77" s="7"/>
      <c r="B77" s="7"/>
      <c r="C77" s="7"/>
      <c r="D77" s="7"/>
      <c r="E77" s="7"/>
      <c r="F77" s="7"/>
      <c r="G77" s="7"/>
      <c r="H77" s="7"/>
      <c r="I77" s="7"/>
      <c r="J77" s="7"/>
      <c r="K77" s="7"/>
      <c r="L77" s="7"/>
      <c r="M77" s="7"/>
      <c r="N77" s="7"/>
      <c r="O77" s="7"/>
      <c r="P77" s="7"/>
      <c r="Q77" s="7"/>
      <c r="R77" s="7"/>
      <c r="S77" s="7"/>
      <c r="T77" s="7"/>
      <c r="U77" s="7"/>
      <c r="V77" s="7"/>
      <c r="W77" s="7"/>
      <c r="X77" s="7"/>
      <c r="Y77" s="7"/>
      <c r="Z77" s="7"/>
    </row>
    <row r="78" ht="15.75" customHeight="1" spans="1:26">
      <c r="A78" s="7"/>
      <c r="B78" s="7"/>
      <c r="C78" s="7"/>
      <c r="D78" s="7"/>
      <c r="E78" s="7"/>
      <c r="F78" s="7"/>
      <c r="G78" s="7"/>
      <c r="H78" s="7"/>
      <c r="I78" s="7"/>
      <c r="J78" s="7"/>
      <c r="K78" s="7"/>
      <c r="L78" s="7"/>
      <c r="M78" s="7"/>
      <c r="N78" s="7"/>
      <c r="O78" s="7"/>
      <c r="P78" s="7"/>
      <c r="Q78" s="7"/>
      <c r="R78" s="7"/>
      <c r="S78" s="7"/>
      <c r="T78" s="7"/>
      <c r="U78" s="7"/>
      <c r="V78" s="7"/>
      <c r="W78" s="7"/>
      <c r="X78" s="7"/>
      <c r="Y78" s="7"/>
      <c r="Z78" s="7"/>
    </row>
    <row r="79" ht="15.75" customHeight="1" spans="1:26">
      <c r="A79" s="7"/>
      <c r="B79" s="7"/>
      <c r="C79" s="7"/>
      <c r="D79" s="7"/>
      <c r="E79" s="7"/>
      <c r="F79" s="7"/>
      <c r="G79" s="7"/>
      <c r="H79" s="7"/>
      <c r="I79" s="7"/>
      <c r="J79" s="7"/>
      <c r="K79" s="7"/>
      <c r="L79" s="7"/>
      <c r="M79" s="7"/>
      <c r="N79" s="7"/>
      <c r="O79" s="7"/>
      <c r="P79" s="7"/>
      <c r="Q79" s="7"/>
      <c r="R79" s="7"/>
      <c r="S79" s="7"/>
      <c r="T79" s="7"/>
      <c r="U79" s="7"/>
      <c r="V79" s="7"/>
      <c r="W79" s="7"/>
      <c r="X79" s="7"/>
      <c r="Y79" s="7"/>
      <c r="Z79" s="7"/>
    </row>
    <row r="80" ht="15.75" customHeight="1" spans="1:26">
      <c r="A80" s="7"/>
      <c r="B80" s="7"/>
      <c r="C80" s="7"/>
      <c r="D80" s="7"/>
      <c r="E80" s="7"/>
      <c r="F80" s="7"/>
      <c r="G80" s="7"/>
      <c r="H80" s="7"/>
      <c r="I80" s="7"/>
      <c r="J80" s="7"/>
      <c r="K80" s="7"/>
      <c r="L80" s="7"/>
      <c r="M80" s="7"/>
      <c r="N80" s="7"/>
      <c r="O80" s="7"/>
      <c r="P80" s="7"/>
      <c r="Q80" s="7"/>
      <c r="R80" s="7"/>
      <c r="S80" s="7"/>
      <c r="T80" s="7"/>
      <c r="U80" s="7"/>
      <c r="V80" s="7"/>
      <c r="W80" s="7"/>
      <c r="X80" s="7"/>
      <c r="Y80" s="7"/>
      <c r="Z80" s="7"/>
    </row>
    <row r="81" ht="15.75" customHeight="1" spans="1:26">
      <c r="A81" s="7"/>
      <c r="B81" s="7"/>
      <c r="C81" s="7"/>
      <c r="D81" s="7"/>
      <c r="E81" s="7"/>
      <c r="F81" s="7"/>
      <c r="G81" s="7"/>
      <c r="H81" s="7"/>
      <c r="I81" s="7"/>
      <c r="J81" s="7"/>
      <c r="K81" s="7"/>
      <c r="L81" s="7"/>
      <c r="M81" s="7"/>
      <c r="N81" s="7"/>
      <c r="O81" s="7"/>
      <c r="P81" s="7"/>
      <c r="Q81" s="7"/>
      <c r="R81" s="7"/>
      <c r="S81" s="7"/>
      <c r="T81" s="7"/>
      <c r="U81" s="7"/>
      <c r="V81" s="7"/>
      <c r="W81" s="7"/>
      <c r="X81" s="7"/>
      <c r="Y81" s="7"/>
      <c r="Z81" s="7"/>
    </row>
    <row r="82" ht="15.75" customHeight="1" spans="1:26">
      <c r="A82" s="7"/>
      <c r="B82" s="7"/>
      <c r="C82" s="7"/>
      <c r="D82" s="7"/>
      <c r="E82" s="7"/>
      <c r="F82" s="7"/>
      <c r="G82" s="7"/>
      <c r="H82" s="7"/>
      <c r="I82" s="7"/>
      <c r="J82" s="7"/>
      <c r="K82" s="7"/>
      <c r="L82" s="7"/>
      <c r="M82" s="7"/>
      <c r="N82" s="7"/>
      <c r="O82" s="7"/>
      <c r="P82" s="7"/>
      <c r="Q82" s="7"/>
      <c r="R82" s="7"/>
      <c r="S82" s="7"/>
      <c r="T82" s="7"/>
      <c r="U82" s="7"/>
      <c r="V82" s="7"/>
      <c r="W82" s="7"/>
      <c r="X82" s="7"/>
      <c r="Y82" s="7"/>
      <c r="Z82" s="7"/>
    </row>
    <row r="83" ht="15.75" customHeight="1" spans="1:26">
      <c r="A83" s="7"/>
      <c r="B83" s="7"/>
      <c r="C83" s="7"/>
      <c r="D83" s="7"/>
      <c r="E83" s="7"/>
      <c r="F83" s="7"/>
      <c r="G83" s="7"/>
      <c r="H83" s="7"/>
      <c r="I83" s="7"/>
      <c r="J83" s="7"/>
      <c r="K83" s="7"/>
      <c r="L83" s="7"/>
      <c r="M83" s="7"/>
      <c r="N83" s="7"/>
      <c r="O83" s="7"/>
      <c r="P83" s="7"/>
      <c r="Q83" s="7"/>
      <c r="R83" s="7"/>
      <c r="S83" s="7"/>
      <c r="T83" s="7"/>
      <c r="U83" s="7"/>
      <c r="V83" s="7"/>
      <c r="W83" s="7"/>
      <c r="X83" s="7"/>
      <c r="Y83" s="7"/>
      <c r="Z83" s="7"/>
    </row>
    <row r="84" ht="15.75" customHeight="1" spans="1:26">
      <c r="A84" s="7"/>
      <c r="B84" s="7"/>
      <c r="C84" s="7"/>
      <c r="D84" s="7"/>
      <c r="E84" s="7"/>
      <c r="F84" s="7"/>
      <c r="G84" s="7"/>
      <c r="H84" s="7"/>
      <c r="I84" s="7"/>
      <c r="J84" s="7"/>
      <c r="K84" s="7"/>
      <c r="L84" s="7"/>
      <c r="M84" s="7"/>
      <c r="N84" s="7"/>
      <c r="O84" s="7"/>
      <c r="P84" s="7"/>
      <c r="Q84" s="7"/>
      <c r="R84" s="7"/>
      <c r="S84" s="7"/>
      <c r="T84" s="7"/>
      <c r="U84" s="7"/>
      <c r="V84" s="7"/>
      <c r="W84" s="7"/>
      <c r="X84" s="7"/>
      <c r="Y84" s="7"/>
      <c r="Z84" s="7"/>
    </row>
    <row r="85" ht="15.75" customHeight="1" spans="1:26">
      <c r="A85" s="7"/>
      <c r="B85" s="7"/>
      <c r="C85" s="7"/>
      <c r="D85" s="7"/>
      <c r="E85" s="7"/>
      <c r="F85" s="7"/>
      <c r="G85" s="7"/>
      <c r="H85" s="7"/>
      <c r="I85" s="7"/>
      <c r="J85" s="7"/>
      <c r="K85" s="7"/>
      <c r="L85" s="7"/>
      <c r="M85" s="7"/>
      <c r="N85" s="7"/>
      <c r="O85" s="7"/>
      <c r="P85" s="7"/>
      <c r="Q85" s="7"/>
      <c r="R85" s="7"/>
      <c r="S85" s="7"/>
      <c r="T85" s="7"/>
      <c r="U85" s="7"/>
      <c r="V85" s="7"/>
      <c r="W85" s="7"/>
      <c r="X85" s="7"/>
      <c r="Y85" s="7"/>
      <c r="Z85" s="7"/>
    </row>
    <row r="86" ht="15.75" customHeight="1" spans="1:26">
      <c r="A86" s="7"/>
      <c r="B86" s="7"/>
      <c r="C86" s="7"/>
      <c r="D86" s="7"/>
      <c r="E86" s="7"/>
      <c r="F86" s="7"/>
      <c r="G86" s="7"/>
      <c r="H86" s="7"/>
      <c r="I86" s="7"/>
      <c r="J86" s="7"/>
      <c r="K86" s="7"/>
      <c r="L86" s="7"/>
      <c r="M86" s="7"/>
      <c r="N86" s="7"/>
      <c r="O86" s="7"/>
      <c r="P86" s="7"/>
      <c r="Q86" s="7"/>
      <c r="R86" s="7"/>
      <c r="S86" s="7"/>
      <c r="T86" s="7"/>
      <c r="U86" s="7"/>
      <c r="V86" s="7"/>
      <c r="W86" s="7"/>
      <c r="X86" s="7"/>
      <c r="Y86" s="7"/>
      <c r="Z86" s="7"/>
    </row>
    <row r="87" ht="15.75" customHeight="1" spans="1:26">
      <c r="A87" s="7"/>
      <c r="B87" s="7"/>
      <c r="C87" s="7"/>
      <c r="D87" s="7"/>
      <c r="E87" s="7"/>
      <c r="F87" s="7"/>
      <c r="G87" s="7"/>
      <c r="H87" s="7"/>
      <c r="I87" s="7"/>
      <c r="J87" s="7"/>
      <c r="K87" s="7"/>
      <c r="L87" s="7"/>
      <c r="M87" s="7"/>
      <c r="N87" s="7"/>
      <c r="O87" s="7"/>
      <c r="P87" s="7"/>
      <c r="Q87" s="7"/>
      <c r="R87" s="7"/>
      <c r="S87" s="7"/>
      <c r="T87" s="7"/>
      <c r="U87" s="7"/>
      <c r="V87" s="7"/>
      <c r="W87" s="7"/>
      <c r="X87" s="7"/>
      <c r="Y87" s="7"/>
      <c r="Z87" s="7"/>
    </row>
    <row r="88" ht="15.75" customHeight="1" spans="1:26">
      <c r="A88" s="7"/>
      <c r="B88" s="7"/>
      <c r="C88" s="7"/>
      <c r="D88" s="7"/>
      <c r="E88" s="7"/>
      <c r="F88" s="7"/>
      <c r="G88" s="7"/>
      <c r="H88" s="7"/>
      <c r="I88" s="7"/>
      <c r="J88" s="7"/>
      <c r="K88" s="7"/>
      <c r="L88" s="7"/>
      <c r="M88" s="7"/>
      <c r="N88" s="7"/>
      <c r="O88" s="7"/>
      <c r="P88" s="7"/>
      <c r="Q88" s="7"/>
      <c r="R88" s="7"/>
      <c r="S88" s="7"/>
      <c r="T88" s="7"/>
      <c r="U88" s="7"/>
      <c r="V88" s="7"/>
      <c r="W88" s="7"/>
      <c r="X88" s="7"/>
      <c r="Y88" s="7"/>
      <c r="Z88" s="7"/>
    </row>
    <row r="89" ht="15.75" customHeight="1" spans="1:26">
      <c r="A89" s="7"/>
      <c r="B89" s="7"/>
      <c r="C89" s="7"/>
      <c r="D89" s="7"/>
      <c r="E89" s="7"/>
      <c r="F89" s="7"/>
      <c r="G89" s="7"/>
      <c r="H89" s="7"/>
      <c r="I89" s="7"/>
      <c r="J89" s="7"/>
      <c r="K89" s="7"/>
      <c r="L89" s="7"/>
      <c r="M89" s="7"/>
      <c r="N89" s="7"/>
      <c r="O89" s="7"/>
      <c r="P89" s="7"/>
      <c r="Q89" s="7"/>
      <c r="R89" s="7"/>
      <c r="S89" s="7"/>
      <c r="T89" s="7"/>
      <c r="U89" s="7"/>
      <c r="V89" s="7"/>
      <c r="W89" s="7"/>
      <c r="X89" s="7"/>
      <c r="Y89" s="7"/>
      <c r="Z89" s="7"/>
    </row>
    <row r="90" ht="15.75" customHeight="1" spans="1:26">
      <c r="A90" s="7"/>
      <c r="B90" s="7"/>
      <c r="C90" s="7"/>
      <c r="D90" s="7"/>
      <c r="E90" s="7"/>
      <c r="F90" s="7"/>
      <c r="G90" s="7"/>
      <c r="H90" s="7"/>
      <c r="I90" s="7"/>
      <c r="J90" s="7"/>
      <c r="K90" s="7"/>
      <c r="L90" s="7"/>
      <c r="M90" s="7"/>
      <c r="N90" s="7"/>
      <c r="O90" s="7"/>
      <c r="P90" s="7"/>
      <c r="Q90" s="7"/>
      <c r="R90" s="7"/>
      <c r="S90" s="7"/>
      <c r="T90" s="7"/>
      <c r="U90" s="7"/>
      <c r="V90" s="7"/>
      <c r="W90" s="7"/>
      <c r="X90" s="7"/>
      <c r="Y90" s="7"/>
      <c r="Z90" s="7"/>
    </row>
    <row r="91" ht="15.75" customHeight="1" spans="1:26">
      <c r="A91" s="7"/>
      <c r="B91" s="7"/>
      <c r="C91" s="7"/>
      <c r="D91" s="7"/>
      <c r="E91" s="7"/>
      <c r="F91" s="7"/>
      <c r="G91" s="7"/>
      <c r="H91" s="7"/>
      <c r="I91" s="7"/>
      <c r="J91" s="7"/>
      <c r="K91" s="7"/>
      <c r="L91" s="7"/>
      <c r="M91" s="7"/>
      <c r="N91" s="7"/>
      <c r="O91" s="7"/>
      <c r="P91" s="7"/>
      <c r="Q91" s="7"/>
      <c r="R91" s="7"/>
      <c r="S91" s="7"/>
      <c r="T91" s="7"/>
      <c r="U91" s="7"/>
      <c r="V91" s="7"/>
      <c r="W91" s="7"/>
      <c r="X91" s="7"/>
      <c r="Y91" s="7"/>
      <c r="Z91" s="7"/>
    </row>
    <row r="92" ht="15.75" customHeight="1" spans="1:26">
      <c r="A92" s="7"/>
      <c r="B92" s="7"/>
      <c r="C92" s="7"/>
      <c r="D92" s="7"/>
      <c r="E92" s="7"/>
      <c r="F92" s="7"/>
      <c r="G92" s="7"/>
      <c r="H92" s="7"/>
      <c r="I92" s="7"/>
      <c r="J92" s="7"/>
      <c r="K92" s="7"/>
      <c r="L92" s="7"/>
      <c r="M92" s="7"/>
      <c r="N92" s="7"/>
      <c r="O92" s="7"/>
      <c r="P92" s="7"/>
      <c r="Q92" s="7"/>
      <c r="R92" s="7"/>
      <c r="S92" s="7"/>
      <c r="T92" s="7"/>
      <c r="U92" s="7"/>
      <c r="V92" s="7"/>
      <c r="W92" s="7"/>
      <c r="X92" s="7"/>
      <c r="Y92" s="7"/>
      <c r="Z92" s="7"/>
    </row>
    <row r="93" ht="15.75" customHeight="1" spans="1:26">
      <c r="A93" s="7"/>
      <c r="B93" s="7"/>
      <c r="C93" s="7"/>
      <c r="D93" s="7"/>
      <c r="E93" s="7"/>
      <c r="F93" s="7"/>
      <c r="G93" s="7"/>
      <c r="H93" s="7"/>
      <c r="I93" s="7"/>
      <c r="J93" s="7"/>
      <c r="K93" s="7"/>
      <c r="L93" s="7"/>
      <c r="M93" s="7"/>
      <c r="N93" s="7"/>
      <c r="O93" s="7"/>
      <c r="P93" s="7"/>
      <c r="Q93" s="7"/>
      <c r="R93" s="7"/>
      <c r="S93" s="7"/>
      <c r="T93" s="7"/>
      <c r="U93" s="7"/>
      <c r="V93" s="7"/>
      <c r="W93" s="7"/>
      <c r="X93" s="7"/>
      <c r="Y93" s="7"/>
      <c r="Z93" s="7"/>
    </row>
    <row r="94" ht="15.75" customHeight="1" spans="1:26">
      <c r="A94" s="7"/>
      <c r="B94" s="7"/>
      <c r="C94" s="7"/>
      <c r="D94" s="7"/>
      <c r="E94" s="7"/>
      <c r="F94" s="7"/>
      <c r="G94" s="7"/>
      <c r="H94" s="7"/>
      <c r="I94" s="7"/>
      <c r="J94" s="7"/>
      <c r="K94" s="7"/>
      <c r="L94" s="7"/>
      <c r="M94" s="7"/>
      <c r="N94" s="7"/>
      <c r="O94" s="7"/>
      <c r="P94" s="7"/>
      <c r="Q94" s="7"/>
      <c r="R94" s="7"/>
      <c r="S94" s="7"/>
      <c r="T94" s="7"/>
      <c r="U94" s="7"/>
      <c r="V94" s="7"/>
      <c r="W94" s="7"/>
      <c r="X94" s="7"/>
      <c r="Y94" s="7"/>
      <c r="Z94" s="7"/>
    </row>
    <row r="95" ht="15.75" customHeight="1" spans="1:26">
      <c r="A95" s="7"/>
      <c r="B95" s="7"/>
      <c r="C95" s="7"/>
      <c r="D95" s="7"/>
      <c r="E95" s="7"/>
      <c r="F95" s="7"/>
      <c r="G95" s="7"/>
      <c r="H95" s="7"/>
      <c r="I95" s="7"/>
      <c r="J95" s="7"/>
      <c r="K95" s="7"/>
      <c r="L95" s="7"/>
      <c r="M95" s="7"/>
      <c r="N95" s="7"/>
      <c r="O95" s="7"/>
      <c r="P95" s="7"/>
      <c r="Q95" s="7"/>
      <c r="R95" s="7"/>
      <c r="S95" s="7"/>
      <c r="T95" s="7"/>
      <c r="U95" s="7"/>
      <c r="V95" s="7"/>
      <c r="W95" s="7"/>
      <c r="X95" s="7"/>
      <c r="Y95" s="7"/>
      <c r="Z95" s="7"/>
    </row>
    <row r="96" ht="15.75" customHeight="1" spans="1:26">
      <c r="A96" s="7"/>
      <c r="B96" s="7"/>
      <c r="C96" s="7"/>
      <c r="D96" s="7"/>
      <c r="E96" s="7"/>
      <c r="F96" s="7"/>
      <c r="G96" s="7"/>
      <c r="H96" s="7"/>
      <c r="I96" s="7"/>
      <c r="J96" s="7"/>
      <c r="K96" s="7"/>
      <c r="L96" s="7"/>
      <c r="M96" s="7"/>
      <c r="N96" s="7"/>
      <c r="O96" s="7"/>
      <c r="P96" s="7"/>
      <c r="Q96" s="7"/>
      <c r="R96" s="7"/>
      <c r="S96" s="7"/>
      <c r="T96" s="7"/>
      <c r="U96" s="7"/>
      <c r="V96" s="7"/>
      <c r="W96" s="7"/>
      <c r="X96" s="7"/>
      <c r="Y96" s="7"/>
      <c r="Z96" s="7"/>
    </row>
    <row r="97" ht="15.75" customHeight="1" spans="1:26">
      <c r="A97" s="7"/>
      <c r="B97" s="7"/>
      <c r="C97" s="7"/>
      <c r="D97" s="7"/>
      <c r="E97" s="7"/>
      <c r="F97" s="7"/>
      <c r="G97" s="7"/>
      <c r="H97" s="7"/>
      <c r="I97" s="7"/>
      <c r="J97" s="7"/>
      <c r="K97" s="7"/>
      <c r="L97" s="7"/>
      <c r="M97" s="7"/>
      <c r="N97" s="7"/>
      <c r="O97" s="7"/>
      <c r="P97" s="7"/>
      <c r="Q97" s="7"/>
      <c r="R97" s="7"/>
      <c r="S97" s="7"/>
      <c r="T97" s="7"/>
      <c r="U97" s="7"/>
      <c r="V97" s="7"/>
      <c r="W97" s="7"/>
      <c r="X97" s="7"/>
      <c r="Y97" s="7"/>
      <c r="Z97" s="7"/>
    </row>
    <row r="98" ht="15.75" customHeight="1" spans="1:26">
      <c r="A98" s="7"/>
      <c r="B98" s="7"/>
      <c r="C98" s="7"/>
      <c r="D98" s="7"/>
      <c r="E98" s="7"/>
      <c r="F98" s="7"/>
      <c r="G98" s="7"/>
      <c r="H98" s="7"/>
      <c r="I98" s="7"/>
      <c r="J98" s="7"/>
      <c r="K98" s="7"/>
      <c r="L98" s="7"/>
      <c r="M98" s="7"/>
      <c r="N98" s="7"/>
      <c r="O98" s="7"/>
      <c r="P98" s="7"/>
      <c r="Q98" s="7"/>
      <c r="R98" s="7"/>
      <c r="S98" s="7"/>
      <c r="T98" s="7"/>
      <c r="U98" s="7"/>
      <c r="V98" s="7"/>
      <c r="W98" s="7"/>
      <c r="X98" s="7"/>
      <c r="Y98" s="7"/>
      <c r="Z98" s="7"/>
    </row>
    <row r="99" ht="15.75" customHeight="1" spans="1:26">
      <c r="A99" s="7"/>
      <c r="B99" s="7"/>
      <c r="C99" s="7"/>
      <c r="D99" s="7"/>
      <c r="E99" s="7"/>
      <c r="F99" s="7"/>
      <c r="G99" s="7"/>
      <c r="H99" s="7"/>
      <c r="I99" s="7"/>
      <c r="J99" s="7"/>
      <c r="K99" s="7"/>
      <c r="L99" s="7"/>
      <c r="M99" s="7"/>
      <c r="N99" s="7"/>
      <c r="O99" s="7"/>
      <c r="P99" s="7"/>
      <c r="Q99" s="7"/>
      <c r="R99" s="7"/>
      <c r="S99" s="7"/>
      <c r="T99" s="7"/>
      <c r="U99" s="7"/>
      <c r="V99" s="7"/>
      <c r="W99" s="7"/>
      <c r="X99" s="7"/>
      <c r="Y99" s="7"/>
      <c r="Z99" s="7"/>
    </row>
    <row r="100" ht="15.75" customHeight="1" spans="1:2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5.75" customHeight="1" spans="1:2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5.75" customHeight="1" spans="1:2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5.75" customHeight="1" spans="1:2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5.75" customHeight="1" spans="1:2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5.75" customHeight="1" spans="1:2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5.75" customHeight="1" spans="1:2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5.75" customHeight="1" spans="1:2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5.75" customHeight="1" spans="1:2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5.75" customHeight="1" spans="1:2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5.75" customHeight="1" spans="1:2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5.75" customHeight="1" spans="1:2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5.75" customHeight="1" spans="1:2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5.75" customHeight="1" spans="1:2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5.75" customHeight="1" spans="1:2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5.75" customHeight="1" spans="1:2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5.75" customHeight="1" spans="1:2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5.75" customHeight="1" spans="1:2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5.75" customHeight="1" spans="1:2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5.75" customHeight="1" spans="1:2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5.75" customHeight="1" spans="1:2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5.75" customHeight="1" spans="1:2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5.75" customHeight="1" spans="1:2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5.75" customHeight="1" spans="1:2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5.75" customHeight="1" spans="1:2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5.75" customHeight="1" spans="1:2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5.75" customHeight="1" spans="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5.75" customHeight="1" spans="1:2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5.75" customHeight="1" spans="1:2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5.75" customHeight="1" spans="1:2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5.75" customHeight="1" spans="1:2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5.75" customHeight="1" spans="1:2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5.75" customHeight="1" spans="1:2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5.75" customHeight="1" spans="1:2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5.75" customHeight="1" spans="1:2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5.75" customHeight="1" spans="1:2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5.75" customHeight="1" spans="1:2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5.75" customHeight="1" spans="1:2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5.75" customHeight="1" spans="1:2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5.75" customHeight="1" spans="1:2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5.75" customHeight="1" spans="1:2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5.75" customHeight="1" spans="1:2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5.75" customHeight="1" spans="1:2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5.75" customHeight="1" spans="1:2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5.75" customHeight="1" spans="1:2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5.75" customHeight="1" spans="1:2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5.75" customHeight="1" spans="1:2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5.75" customHeight="1" spans="1:2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5.75" customHeight="1" spans="1:2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5.75" customHeight="1" spans="1:2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5.75" customHeight="1" spans="1:2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5.75" customHeight="1" spans="1:2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5.75" customHeight="1" spans="1:2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5.75" customHeight="1" spans="1:2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5.75" customHeight="1" spans="1:2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5.75" customHeight="1" spans="1:2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5.75" customHeight="1" spans="1:2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5.75" customHeight="1" spans="1:2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5.75" customHeight="1" spans="1:2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5.75" customHeight="1" spans="1:2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5.75" customHeight="1" spans="1:2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5.75" customHeight="1" spans="1:2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5.75" customHeight="1" spans="1:2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5.75" customHeight="1" spans="1:2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5.75" customHeight="1" spans="1:2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5.75" customHeight="1" spans="1:2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5.75" customHeight="1" spans="1:2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5.75" customHeight="1" spans="1:2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5.75" customHeight="1" spans="1:2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5.75" customHeight="1" spans="1:2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5.75" customHeight="1" spans="1:2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5.75" customHeight="1" spans="1:2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5.75" customHeight="1" spans="1:2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5.75" customHeight="1" spans="1:2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5.75" customHeight="1" spans="1:2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5.75" customHeight="1" spans="1:2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5.75" customHeight="1" spans="1:2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5.75" customHeight="1" spans="1:2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5.75" customHeight="1" spans="1:2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5.75" customHeight="1" spans="1:2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5.75" customHeight="1" spans="1:2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5.75" customHeight="1" spans="1:2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5.75" customHeight="1" spans="1:2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5.75" customHeight="1" spans="1:2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5.75" customHeight="1" spans="1:2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5.75" customHeight="1" spans="1:2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5.75" customHeight="1" spans="1:2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5.75" customHeight="1" spans="1:2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5.75" customHeight="1" spans="1:2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5.75" customHeight="1" spans="1:2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5.75" customHeight="1" spans="1:2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5.75" customHeight="1" spans="1:2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5.75" customHeight="1" spans="1:2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5.75" customHeight="1" spans="1:2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5.75" customHeight="1" spans="1:2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5.75" customHeight="1" spans="1:2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5.75" customHeight="1" spans="1:2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5.75" customHeight="1" spans="1:2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5.75" customHeight="1" spans="1:2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5.75" customHeight="1" spans="1:2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5.75" customHeight="1" spans="1:2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5.75" customHeight="1" spans="1:26">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5.75" customHeight="1" spans="1:26">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5.75" customHeight="1" spans="1:26">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5.75" customHeight="1" spans="1:26">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5.75" customHeight="1" spans="1:26">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5.75" customHeight="1" spans="1:2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5.75" customHeight="1" spans="1:26">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spans="1:26">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spans="1:26">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spans="1:26">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spans="1:26">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spans="1:26">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spans="1:26">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spans="1:26">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spans="1:26">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spans="1:2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spans="1:26">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spans="1:26">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spans="1:26">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spans="1:26">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spans="1:26">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5.75" customHeight="1" spans="1:26">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5.75" customHeight="1" spans="1:26">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5.75" customHeight="1" spans="1:26">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5.75" customHeight="1" spans="1:26">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5.75" customHeight="1" spans="1: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5.75" customHeight="1" spans="1:26">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5.75" customHeight="1" spans="1:26">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5.75" customHeight="1" spans="1:26">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5.75" customHeight="1" spans="1:26">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5.75" customHeight="1" spans="1:26">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5.75" customHeight="1" spans="1:26">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5.75" customHeight="1" spans="1:26">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5.75" customHeight="1" spans="1:26">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5.75" customHeight="1" spans="1:26">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5.75" customHeight="1" spans="1:2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5.75" customHeight="1" spans="1:26">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5.75" customHeight="1" spans="1:26">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5.75" customHeight="1" spans="1:26">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5.75" customHeight="1" spans="1:26">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5.75" customHeight="1" spans="1:26">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5.75" customHeight="1" spans="1:26">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5.75" customHeight="1" spans="1:26">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5.75" customHeight="1" spans="1:26">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5.75" customHeight="1" spans="1:26">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5.75" customHeight="1" spans="1:2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5.75" customHeight="1" spans="1:26">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5.75" customHeight="1" spans="1:26">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5.75" customHeight="1" spans="1:26">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5.75" customHeight="1" spans="1:26">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5.75" customHeight="1" spans="1:26">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5.75" customHeight="1" spans="1:26">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5.75" customHeight="1" spans="1:26">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5.75" customHeight="1" spans="1:26">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5.75" customHeight="1" spans="1:26">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5.75" customHeight="1" spans="1:2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5.75" customHeight="1" spans="1:26">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5.75" customHeight="1" spans="1:26">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5.75" customHeight="1" spans="1:26">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5.75" customHeight="1" spans="1:26">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5.75" customHeight="1" spans="1:26">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5.75" customHeight="1" spans="1:26">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5.75" customHeight="1" spans="1:26">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5.75" customHeight="1" spans="1:26">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5.75" customHeight="1" spans="1:26">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5.75" customHeight="1" spans="1:2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5.75" customHeight="1" spans="1:26">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5.75" customHeight="1" spans="1:26">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5.75" customHeight="1" spans="1:26">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5.75" customHeight="1" spans="1:26">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5.75" customHeight="1" spans="1:26">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5.75" customHeight="1" spans="1:26">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5.75" customHeight="1" spans="1:26">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5.75" customHeight="1" spans="1:26">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5.75" customHeight="1" spans="1:26">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5.75" customHeight="1" spans="1:2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5.75" customHeight="1" spans="1:26">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5.75" customHeight="1" spans="1:26">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5.75" customHeight="1" spans="1:26">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5.75" customHeight="1" spans="1:26">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5.75" customHeight="1" spans="1:26">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5.75" customHeight="1" spans="1:26">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5.75" customHeight="1" spans="1:26">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5.75" customHeight="1" spans="1:26">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5.75" customHeight="1" spans="1:26">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5.75" customHeight="1" spans="1:2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5.75" customHeight="1" spans="1:26">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5.75" customHeight="1" spans="1:26">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5.75" customHeight="1" spans="1:26">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5.75" customHeight="1" spans="1:26">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5.75" customHeight="1" spans="1:26">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5.75" customHeight="1" spans="1:26">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5.75" customHeight="1" spans="1:26">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5.75" customHeight="1" spans="1:26">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5.75" customHeight="1" spans="1:26">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5.75" customHeight="1" spans="1:2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5.75" customHeight="1" spans="1:26">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5.75" customHeight="1" spans="1:26">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5.75" customHeight="1" spans="1:26">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5.75" customHeight="1" spans="1:26">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5.75" customHeight="1" spans="1:26">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5.75" customHeight="1" spans="1:26">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5.75" customHeight="1" spans="1:26">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5.75" customHeight="1" spans="1:26">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5.75" customHeight="1" spans="1:26">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5.75" customHeight="1" spans="1:2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5.75" customHeight="1" spans="1:26">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5.75" customHeight="1" spans="1:26">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5.75" customHeight="1" spans="1:26">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5.75" customHeight="1" spans="1:26">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5.75" customHeight="1" spans="1:26">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5.75" customHeight="1" spans="1:26">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5.75" customHeight="1" spans="1:26">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5.75" customHeight="1" spans="1:26">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5.75" customHeight="1" spans="1:26">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5.75" customHeight="1" spans="1:2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5.75" customHeight="1" spans="1:26">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5.75" customHeight="1" spans="1:26">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5.75" customHeight="1" spans="1:26">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5.75" customHeight="1" spans="1:26">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5.75" customHeight="1" spans="1:26">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5.75" customHeight="1" spans="1:26">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5.75" customHeight="1" spans="1:26">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5.75" customHeight="1" spans="1:26">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5.75" customHeight="1" spans="1:26">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5.75" customHeight="1" spans="1: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5.75" customHeight="1" spans="1:26">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5.75" customHeight="1" spans="1:26">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5.75" customHeight="1" spans="1:26">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5.75" customHeight="1" spans="1:26">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5.75" customHeight="1" spans="1:26">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5.75" customHeight="1" spans="1:26">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5.75" customHeight="1" spans="1:26">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5.75" customHeight="1" spans="1:26">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5.75" customHeight="1" spans="1:26">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5.75" customHeight="1" spans="1:2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5.75" customHeight="1" spans="1:26">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5.75" customHeight="1" spans="1:26">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5.75" customHeight="1" spans="1:26">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5.75" customHeight="1" spans="1:26">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5.75" customHeight="1" spans="1:26">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5.75" customHeight="1" spans="1:26">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5.75" customHeight="1" spans="1:26">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5.75" customHeight="1" spans="1:26">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5.75" customHeight="1" spans="1:26">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5.75" customHeight="1" spans="1:2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5.75" customHeight="1" spans="1:26">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5.75" customHeight="1" spans="1:26">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5.75" customHeight="1" spans="1:26">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5.75" customHeight="1" spans="1:26">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5.75" customHeight="1" spans="1:26">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5.75" customHeight="1" spans="1:26">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5.75" customHeight="1" spans="1:26">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5.75" customHeight="1" spans="1:26">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5.75" customHeight="1" spans="1:26">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5.75" customHeight="1" spans="1:2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5.75" customHeight="1" spans="1:26">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5.75" customHeight="1" spans="1:26">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5.75" customHeight="1" spans="1:26">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5.75" customHeight="1" spans="1:26">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5.75" customHeight="1" spans="1:26">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5.75" customHeight="1" spans="1:26">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5.75" customHeight="1" spans="1:26">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5.75" customHeight="1" spans="1:26">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5.75" customHeight="1" spans="1:26">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5.75" customHeight="1" spans="1:2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5.75" customHeight="1" spans="1:26">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5.75" customHeight="1" spans="1:26">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5.75" customHeight="1" spans="1:26">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5.75" customHeight="1" spans="1:26">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5.75" customHeight="1" spans="1:26">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5.75" customHeight="1" spans="1:26">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5.75" customHeight="1" spans="1:26">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5.75" customHeight="1" spans="1:26">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5.75" customHeight="1" spans="1:26">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5.75" customHeight="1" spans="1:2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5.75" customHeight="1" spans="1:26">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5.75" customHeight="1" spans="1:26">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5.75" customHeight="1" spans="1:26">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5.75" customHeight="1" spans="1:26">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5.75" customHeight="1" spans="1:26">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5.75" customHeight="1" spans="1:26">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5.75" customHeight="1" spans="1:26">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5.75" customHeight="1" spans="1:26">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5.75" customHeight="1" spans="1:26">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5.75" customHeight="1" spans="1:2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5.75" customHeight="1" spans="1:26">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5.75" customHeight="1" spans="1:26">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5.75" customHeight="1" spans="1:26">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5.75" customHeight="1" spans="1:26">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5.75" customHeight="1" spans="1:26">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5.75" customHeight="1" spans="1:26">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5.75" customHeight="1" spans="1:26">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5.75" customHeight="1" spans="1:26">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5.75" customHeight="1" spans="1:26">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5.75" customHeight="1" spans="1:2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5.75" customHeight="1" spans="1:26">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5.75" customHeight="1" spans="1:26">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5.75" customHeight="1" spans="1:26">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5.75" customHeight="1" spans="1:26">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5.75" customHeight="1" spans="1:26">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5.75" customHeight="1" spans="1:26">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5.75" customHeight="1" spans="1:26">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5.75" customHeight="1" spans="1:26">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5.75" customHeight="1" spans="1:26">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5.75" customHeight="1" spans="1:2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5.75" customHeight="1" spans="1:26">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5.75" customHeight="1" spans="1:26">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5.75" customHeight="1" spans="1:26">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5.75" customHeight="1" spans="1:26">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5.75" customHeight="1" spans="1:26">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5.75" customHeight="1" spans="1:26">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5.75" customHeight="1" spans="1:26">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5.75" customHeight="1" spans="1:26">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5.75" customHeight="1" spans="1:26">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5.75" customHeight="1" spans="1:2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5.75" customHeight="1" spans="1:26">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5.75" customHeight="1" spans="1:26">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5.75" customHeight="1" spans="1:26">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5.75" customHeight="1" spans="1:26">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5.75" customHeight="1" spans="1:26">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5.75" customHeight="1" spans="1:26">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5.75" customHeight="1" spans="1:26">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5.75" customHeight="1" spans="1:26">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5.75" customHeight="1" spans="1:26">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5.75" customHeight="1" spans="1: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5.75" customHeight="1" spans="1:26">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5.75" customHeight="1" spans="1:26">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5.75" customHeight="1" spans="1:26">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5.75" customHeight="1" spans="1:26">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5.75" customHeight="1" spans="1:26">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5.75" customHeight="1" spans="1:26">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5.75" customHeight="1" spans="1:26">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5.75" customHeight="1" spans="1:26">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5.75" customHeight="1" spans="1:26">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5.75" customHeight="1" spans="1:2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5.75" customHeight="1" spans="1:26">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5.75" customHeight="1" spans="1:26">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5.75" customHeight="1" spans="1:26">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5.75" customHeight="1" spans="1:26">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5.75" customHeight="1" spans="1:26">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5.75" customHeight="1" spans="1:26">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5.75" customHeight="1" spans="1:26">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5.75" customHeight="1" spans="1:26">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5.75" customHeight="1" spans="1:26">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5.75" customHeight="1" spans="1:2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5.75" customHeight="1" spans="1:26">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5.75" customHeight="1" spans="1:26">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5.75" customHeight="1" spans="1:26">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5.75" customHeight="1" spans="1:26">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5.75" customHeight="1" spans="1:26">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5.75" customHeight="1" spans="1:26">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5.75" customHeight="1" spans="1:26">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5.75" customHeight="1" spans="1:26">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5.75" customHeight="1" spans="1:26">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5.75" customHeight="1" spans="1:2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5.75" customHeight="1" spans="1:26">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5.75" customHeight="1" spans="1:26">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5.75" customHeight="1" spans="1:26">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5.75" customHeight="1" spans="1:26">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5.75" customHeight="1" spans="1:26">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5.75" customHeight="1" spans="1:26">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5.75" customHeight="1" spans="1:26">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5.75" customHeight="1" spans="1:26">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5.75" customHeight="1" spans="1:26">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5.75" customHeight="1" spans="1:2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5.75" customHeight="1" spans="1:26">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5.75" customHeight="1" spans="1:26">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5.75" customHeight="1" spans="1:26">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5.75" customHeight="1" spans="1:26">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5.75" customHeight="1" spans="1:26">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5.75" customHeight="1" spans="1:26">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5.75" customHeight="1" spans="1:26">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5.75" customHeight="1" spans="1:26">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5.75" customHeight="1" spans="1:26">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5.75" customHeight="1" spans="1:2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5.75" customHeight="1" spans="1:26">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5.75" customHeight="1" spans="1:26">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5.75" customHeight="1" spans="1:26">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5.75" customHeight="1" spans="1:26">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5.75" customHeight="1" spans="1:26">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5.75" customHeight="1" spans="1:26">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5.75" customHeight="1" spans="1:26">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5.75" customHeight="1" spans="1:26">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5.75" customHeight="1" spans="1:26">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5.75" customHeight="1" spans="1:2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5.75" customHeight="1" spans="1:26">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5.75" customHeight="1" spans="1:26">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5.75" customHeight="1" spans="1:26">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5.75" customHeight="1" spans="1:26">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5.75" customHeight="1" spans="1:26">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5.75" customHeight="1" spans="1:26">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5.75" customHeight="1" spans="1:26">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5.75" customHeight="1" spans="1:26">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5.75" customHeight="1" spans="1:26">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5.75" customHeight="1" spans="1:2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5.75" customHeight="1" spans="1:26">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5.75" customHeight="1" spans="1:26">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5.75" customHeight="1" spans="1:26">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5.75" customHeight="1" spans="1:26">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5.75" customHeight="1" spans="1:26">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5.75" customHeight="1" spans="1:26">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5.75" customHeight="1" spans="1:26">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5.75" customHeight="1" spans="1:26">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5.75" customHeight="1" spans="1:26">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5.75" customHeight="1" spans="1:2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5.75" customHeight="1" spans="1:26">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5.75" customHeight="1" spans="1:26">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5.75" customHeight="1" spans="1:26">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5.75" customHeight="1" spans="1:26">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5.75" customHeight="1" spans="1:26">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5.75" customHeight="1" spans="1:26">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5.75" customHeight="1" spans="1:26">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5.75" customHeight="1" spans="1:26">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5.75" customHeight="1" spans="1:26">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5.75" customHeight="1" spans="1:2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5.75" customHeight="1" spans="1:26">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5.75" customHeight="1" spans="1:26">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5.75" customHeight="1" spans="1:26">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5.75" customHeight="1" spans="1:26">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5.75" customHeight="1" spans="1:26">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5.75" customHeight="1" spans="1:26">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5.75" customHeight="1" spans="1:26">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5.75" customHeight="1" spans="1:26">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5.75" customHeight="1" spans="1:26">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5.75" customHeight="1" spans="1: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5.75" customHeight="1" spans="1:26">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5.75" customHeight="1" spans="1:26">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5.75" customHeight="1" spans="1:26">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5.75" customHeight="1" spans="1:26">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5.75" customHeight="1" spans="1:26">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5.75" customHeight="1" spans="1:26">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5.75" customHeight="1" spans="1:26">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5.75" customHeight="1" spans="1:26">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5.75" customHeight="1" spans="1:26">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5.75" customHeight="1" spans="1:2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5.75" customHeight="1" spans="1:26">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5.75" customHeight="1" spans="1:26">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5.75" customHeight="1" spans="1:26">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5.75" customHeight="1" spans="1:26">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5.75" customHeight="1" spans="1:26">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5.75" customHeight="1" spans="1:26">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5.75" customHeight="1" spans="1:26">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5.75" customHeight="1" spans="1:26">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5.75" customHeight="1" spans="1:26">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5.75" customHeight="1" spans="1:2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5.75" customHeight="1" spans="1:26">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5.75" customHeight="1" spans="1:26">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5.75" customHeight="1" spans="1:26">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5.75" customHeight="1" spans="1:26">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5.75" customHeight="1" spans="1:26">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5.75" customHeight="1" spans="1:26">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5.75" customHeight="1" spans="1:26">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5.75" customHeight="1" spans="1:26">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5.75" customHeight="1" spans="1:26">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5.75" customHeight="1" spans="1:2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5.75" customHeight="1" spans="1:26">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5.75" customHeight="1" spans="1:26">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5.75" customHeight="1" spans="1:26">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5.75" customHeight="1" spans="1:26">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5.75" customHeight="1" spans="1:26">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5.75" customHeight="1" spans="1:26">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5.75" customHeight="1" spans="1:26">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5.75" customHeight="1" spans="1:26">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5.75" customHeight="1" spans="1:26">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5.75" customHeight="1" spans="1:2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5.75" customHeight="1" spans="1:26">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5.75" customHeight="1" spans="1:26">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5.75" customHeight="1" spans="1:26">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5.75" customHeight="1" spans="1:26">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5.75" customHeight="1" spans="1:26">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5.75" customHeight="1" spans="1:26">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5.75" customHeight="1" spans="1:26">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5.75" customHeight="1" spans="1:26">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5.75" customHeight="1" spans="1:26">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5.75" customHeight="1" spans="1:2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5.75" customHeight="1" spans="1:26">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5.75" customHeight="1" spans="1:26">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5.75" customHeight="1" spans="1:26">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5.75" customHeight="1" spans="1:26">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5.75" customHeight="1" spans="1:26">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5.75" customHeight="1" spans="1:26">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5.75" customHeight="1" spans="1:26">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5.75" customHeight="1" spans="1:26">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5.75" customHeight="1" spans="1:26">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5.75" customHeight="1" spans="1:2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5.75" customHeight="1" spans="1:26">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5.75" customHeight="1" spans="1:26">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5.75" customHeight="1" spans="1:26">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5.75" customHeight="1" spans="1:26">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5.75" customHeight="1" spans="1:26">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5.75" customHeight="1" spans="1:26">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5.75" customHeight="1" spans="1:26">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5.75" customHeight="1" spans="1:26">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5.75" customHeight="1" spans="1:26">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5.75" customHeight="1" spans="1:2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5.75" customHeight="1" spans="1:26">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5.75" customHeight="1" spans="1:26">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5.75" customHeight="1" spans="1:26">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5.75" customHeight="1" spans="1:26">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5.75" customHeight="1" spans="1:26">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5.75" customHeight="1" spans="1:26">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5.75" customHeight="1" spans="1:26">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5.75" customHeight="1" spans="1:26">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5.75" customHeight="1" spans="1:26">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5.75" customHeight="1" spans="1:2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5.75" customHeight="1" spans="1:26">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5.75" customHeight="1" spans="1:26">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5.75" customHeight="1" spans="1:26">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5.75" customHeight="1" spans="1:26">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5.75" customHeight="1" spans="1:26">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5.75" customHeight="1" spans="1:26">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5.75" customHeight="1" spans="1:26">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5.75" customHeight="1" spans="1:26">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5.75" customHeight="1" spans="1:26">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5.75" customHeight="1" spans="1:2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5.75" customHeight="1" spans="1:26">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5.75" customHeight="1" spans="1:26">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5.75" customHeight="1" spans="1:26">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5.75" customHeight="1" spans="1:26">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5.75" customHeight="1" spans="1:26">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5.75" customHeight="1" spans="1:26">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5.75" customHeight="1" spans="1:26">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5.75" customHeight="1" spans="1:26">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5.75" customHeight="1" spans="1:26">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5.75" customHeight="1" spans="1: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5.75" customHeight="1" spans="1:26">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5.75" customHeight="1" spans="1:26">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5.75" customHeight="1" spans="1:26">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5.75" customHeight="1" spans="1:26">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5.75" customHeight="1" spans="1:26">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5.75" customHeight="1" spans="1:26">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5.75" customHeight="1" spans="1:26">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5.75" customHeight="1" spans="1:26">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5.75" customHeight="1" spans="1:26">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5.75" customHeight="1" spans="1:2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5.75" customHeight="1" spans="1:26">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5.75" customHeight="1" spans="1:26">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5.75" customHeight="1" spans="1:26">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5.75" customHeight="1" spans="1:26">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5.75" customHeight="1" spans="1:26">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5.75" customHeight="1" spans="1:26">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5.75" customHeight="1" spans="1:26">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5.75" customHeight="1" spans="1:26">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5.75" customHeight="1" spans="1:26">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5.75" customHeight="1" spans="1:2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5.75" customHeight="1" spans="1:26">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5.75" customHeight="1" spans="1:26">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5.75" customHeight="1" spans="1:26">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5.75" customHeight="1" spans="1:26">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5.75" customHeight="1" spans="1:26">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5.75" customHeight="1" spans="1:26">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5.75" customHeight="1" spans="1:26">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5.75" customHeight="1" spans="1:26">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5.75" customHeight="1" spans="1:26">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5.75" customHeight="1" spans="1:2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5.75" customHeight="1" spans="1:26">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5.75" customHeight="1" spans="1:26">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5.75" customHeight="1" spans="1:26">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5.75" customHeight="1" spans="1:26">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5.75" customHeight="1" spans="1:26">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5.75" customHeight="1" spans="1:26">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5.75" customHeight="1" spans="1:26">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5.75" customHeight="1" spans="1:26">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5.75" customHeight="1" spans="1:26">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5.75" customHeight="1" spans="1:2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5.75" customHeight="1" spans="1:26">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5.75" customHeight="1" spans="1:26">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5.75" customHeight="1" spans="1:26">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5.75" customHeight="1" spans="1:26">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5.75" customHeight="1" spans="1:26">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5.75" customHeight="1" spans="1:26">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5.75" customHeight="1" spans="1:26">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5.75" customHeight="1" spans="1:26">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5.75" customHeight="1" spans="1:26">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5.75" customHeight="1" spans="1:2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5.75" customHeight="1" spans="1:26">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5.75" customHeight="1" spans="1:26">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5.75" customHeight="1" spans="1:26">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5.75" customHeight="1" spans="1:26">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5.75" customHeight="1" spans="1:26">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5.75" customHeight="1" spans="1:26">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5.75" customHeight="1" spans="1:26">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5.75" customHeight="1" spans="1:26">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5.75" customHeight="1" spans="1:26">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5.75" customHeight="1" spans="1:2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5.75" customHeight="1" spans="1:26">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5.75" customHeight="1" spans="1:26">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5.75" customHeight="1" spans="1:26">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5.75" customHeight="1" spans="1:26">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5.75" customHeight="1" spans="1:26">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5.75" customHeight="1" spans="1:26">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5.75" customHeight="1" spans="1:26">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5.75" customHeight="1" spans="1:26">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5.75" customHeight="1" spans="1:26">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5.75" customHeight="1" spans="1:2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5.75" customHeight="1" spans="1:26">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5.75" customHeight="1" spans="1:26">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5.75" customHeight="1" spans="1:26">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5.75" customHeight="1" spans="1:26">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5.75" customHeight="1" spans="1:26">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5.75" customHeight="1" spans="1:26">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5.75" customHeight="1" spans="1:26">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5.75" customHeight="1" spans="1:26">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5.75" customHeight="1" spans="1:26">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5.75" customHeight="1" spans="1:2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5.75" customHeight="1" spans="1:26">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5.75" customHeight="1" spans="1:26">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5.75" customHeight="1" spans="1:26">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5.75" customHeight="1" spans="1:26">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5.75" customHeight="1" spans="1:26">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5.75" customHeight="1" spans="1:26">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5.75" customHeight="1" spans="1:26">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5.75" customHeight="1" spans="1:26">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5.75" customHeight="1" spans="1:26">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5.75" customHeight="1" spans="1:2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5.75" customHeight="1" spans="1:26">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5.75" customHeight="1" spans="1:26">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5.75" customHeight="1" spans="1:26">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5.75" customHeight="1" spans="1:26">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5.75" customHeight="1" spans="1:26">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5.75" customHeight="1" spans="1:26">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5.75" customHeight="1" spans="1:26">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5.75" customHeight="1" spans="1:26">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5.75" customHeight="1" spans="1:26">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5.75" customHeight="1" spans="1: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5.75" customHeight="1" spans="1:26">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5.75" customHeight="1" spans="1:26">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5.75" customHeight="1" spans="1:26">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5.75" customHeight="1" spans="1:26">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5.75" customHeight="1" spans="1:26">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5.75" customHeight="1" spans="1:26">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5.75" customHeight="1" spans="1:26">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5.75" customHeight="1" spans="1:26">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5.75" customHeight="1" spans="1:26">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5.75" customHeight="1" spans="1:2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5.75" customHeight="1" spans="1:26">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5.75" customHeight="1" spans="1:26">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5.75" customHeight="1" spans="1:26">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5.75" customHeight="1" spans="1:26">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5.75" customHeight="1" spans="1:26">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5.75" customHeight="1" spans="1:26">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5.75" customHeight="1" spans="1:26">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5.75" customHeight="1" spans="1:26">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5.75" customHeight="1" spans="1:26">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5.75" customHeight="1" spans="1:2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5.75" customHeight="1" spans="1:26">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5.75" customHeight="1" spans="1:26">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5.75" customHeight="1" spans="1:26">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5.75" customHeight="1" spans="1:26">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5.75" customHeight="1" spans="1:26">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5.75" customHeight="1" spans="1:26">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5.75" customHeight="1" spans="1:26">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5.75" customHeight="1" spans="1:26">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5.75" customHeight="1" spans="1:26">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5.75" customHeight="1" spans="1:2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5.75" customHeight="1" spans="1:26">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5.75" customHeight="1" spans="1:26">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5.75" customHeight="1" spans="1:26">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5.75" customHeight="1" spans="1:26">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5.75" customHeight="1" spans="1:26">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5.75" customHeight="1" spans="1:26">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5.75" customHeight="1" spans="1:26">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5.75" customHeight="1" spans="1:26">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5.75" customHeight="1" spans="1:26">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5.75" customHeight="1" spans="1:2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5.75" customHeight="1" spans="1:26">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5.75" customHeight="1" spans="1:26">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5.75" customHeight="1" spans="1:26">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5.75" customHeight="1" spans="1:26">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5.75" customHeight="1" spans="1:26">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5.75" customHeight="1" spans="1:26">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5.75" customHeight="1" spans="1:26">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5.75" customHeight="1" spans="1:26">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5.75" customHeight="1" spans="1:26">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5.75" customHeight="1" spans="1:2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5.75" customHeight="1" spans="1:26">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5.75" customHeight="1" spans="1:26">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5.75" customHeight="1" spans="1:26">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5.75" customHeight="1" spans="1:26">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5.75" customHeight="1" spans="1:26">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5.75" customHeight="1" spans="1:26">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5.75" customHeight="1" spans="1:26">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5.75" customHeight="1" spans="1:26">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5.75" customHeight="1" spans="1:26">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5.75" customHeight="1" spans="1:2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5.75" customHeight="1" spans="1:26">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5.75" customHeight="1" spans="1:26">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5.75" customHeight="1" spans="1:26">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5.75" customHeight="1" spans="1:26">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5.75" customHeight="1" spans="1:26">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5.75" customHeight="1" spans="1:26">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5.75" customHeight="1" spans="1:26">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5.75" customHeight="1" spans="1:26">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5.75" customHeight="1" spans="1:26">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5.75" customHeight="1" spans="1:2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5.75" customHeight="1" spans="1:26">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5.75" customHeight="1" spans="1:26">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5.75" customHeight="1" spans="1:26">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5.75" customHeight="1" spans="1:26">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5.75" customHeight="1" spans="1:26">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5.75" customHeight="1" spans="1:26">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5.75" customHeight="1" spans="1:26">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5.75" customHeight="1" spans="1:26">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5.75" customHeight="1" spans="1:26">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5.75" customHeight="1" spans="1:2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5.75" customHeight="1" spans="1:26">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5.75" customHeight="1" spans="1:26">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5.75" customHeight="1" spans="1:26">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5.75" customHeight="1" spans="1:26">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5.75" customHeight="1" spans="1:26">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5.75" customHeight="1" spans="1:26">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5.75" customHeight="1" spans="1:26">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5.75" customHeight="1" spans="1:26">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5.75" customHeight="1" spans="1:26">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5.75" customHeight="1" spans="1:2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5.75" customHeight="1" spans="1:26">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5.75" customHeight="1" spans="1:26">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5.75" customHeight="1" spans="1:26">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5.75" customHeight="1" spans="1:26">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5.75" customHeight="1" spans="1:26">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5.75" customHeight="1" spans="1:26">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5.75" customHeight="1" spans="1:26">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5.75" customHeight="1" spans="1:26">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5.75" customHeight="1" spans="1:26">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5.75" customHeight="1" spans="1: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5.75" customHeight="1" spans="1:26">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5.75" customHeight="1" spans="1:26">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5.75" customHeight="1" spans="1:26">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5.75" customHeight="1" spans="1:26">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5.75" customHeight="1" spans="1:26">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5.75" customHeight="1" spans="1:26">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5.75" customHeight="1" spans="1:26">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5.75" customHeight="1" spans="1:26">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5.75" customHeight="1" spans="1:26">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5.75" customHeight="1" spans="1:2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5.75" customHeight="1" spans="1:26">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5.75" customHeight="1" spans="1:26">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5.75" customHeight="1" spans="1:26">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5.75" customHeight="1" spans="1:26">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5.75" customHeight="1" spans="1:26">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5.75" customHeight="1" spans="1:26">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5.75" customHeight="1" spans="1:26">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5.75" customHeight="1" spans="1:26">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5.75" customHeight="1" spans="1:26">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5.75" customHeight="1" spans="1:2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5.75" customHeight="1" spans="1:26">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5.75" customHeight="1" spans="1:26">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5.75" customHeight="1" spans="1:26">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5.75" customHeight="1" spans="1:26">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5.75" customHeight="1" spans="1:26">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5.75" customHeight="1" spans="1:26">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5.75" customHeight="1" spans="1:26">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5.75" customHeight="1" spans="1:26">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5.75" customHeight="1" spans="1:26">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5.75" customHeight="1" spans="1:2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5.75" customHeight="1" spans="1:26">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5.75" customHeight="1" spans="1:26">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5.75" customHeight="1" spans="1:26">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5.75" customHeight="1" spans="1:26">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5.75" customHeight="1" spans="1:26">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5.75" customHeight="1" spans="1:26">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5.75" customHeight="1" spans="1:26">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5.75" customHeight="1" spans="1:26">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5.75" customHeight="1" spans="1:26">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5.75" customHeight="1" spans="1:2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5.75" customHeight="1" spans="1:26">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5.75" customHeight="1" spans="1:26">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5.75" customHeight="1" spans="1:26">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5.75" customHeight="1" spans="1:26">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5.75" customHeight="1" spans="1:26">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5.75" customHeight="1" spans="1:26">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5.75" customHeight="1" spans="1:26">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5.75" customHeight="1" spans="1:26">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5.75" customHeight="1" spans="1:26">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5.75" customHeight="1" spans="1:2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5.75" customHeight="1" spans="1:26">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5.75" customHeight="1" spans="1:26">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5.75" customHeight="1" spans="1:26">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5.75" customHeight="1" spans="1:26">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5.75" customHeight="1" spans="1:26">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5.75" customHeight="1" spans="1:26">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5.75" customHeight="1" spans="1:26">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5.75" customHeight="1" spans="1:26">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5.75" customHeight="1" spans="1:26">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5.75" customHeight="1" spans="1:2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5.75" customHeight="1" spans="1:26">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5.75" customHeight="1" spans="1:26">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5.75" customHeight="1" spans="1:26">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5.75" customHeight="1" spans="1:26">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5.75" customHeight="1" spans="1:26">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5.75" customHeight="1" spans="1:26">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5.75" customHeight="1" spans="1:26">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5.75" customHeight="1" spans="1:26">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5.75" customHeight="1" spans="1:26">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5.75" customHeight="1" spans="1:2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5.75" customHeight="1" spans="1:26">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5.75" customHeight="1" spans="1:26">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5.75" customHeight="1" spans="1:26">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5.75" customHeight="1" spans="1:26">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5.75" customHeight="1" spans="1:26">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5.75" customHeight="1" spans="1:26">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5.75" customHeight="1" spans="1:26">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5.75" customHeight="1" spans="1:26">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5.75" customHeight="1" spans="1:26">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5.75" customHeight="1" spans="1:2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5.75" customHeight="1" spans="1:26">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5.75" customHeight="1" spans="1:26">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5.75" customHeight="1" spans="1:26">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5.75" customHeight="1" spans="1:26">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5.75" customHeight="1" spans="1:26">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5.75" customHeight="1" spans="1:26">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5.75" customHeight="1" spans="1:26">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5.75" customHeight="1" spans="1:26">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5.75" customHeight="1" spans="1:26">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5.75" customHeight="1" spans="1:2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5.75" customHeight="1" spans="1:26">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5.75" customHeight="1" spans="1:26">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5.75" customHeight="1" spans="1:26">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5.75" customHeight="1" spans="1:26">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5.75" customHeight="1" spans="1:26">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5.75" customHeight="1" spans="1:26">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5.75" customHeight="1" spans="1:26">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5.75" customHeight="1" spans="1:26">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sheetData>
  <pageMargins left="0.75" right="0.75" top="1" bottom="1" header="0" footer="0"/>
  <pageSetup paperSize="1"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B55"/>
  <sheetViews>
    <sheetView workbookViewId="0">
      <selection activeCell="K63" sqref="K63"/>
    </sheetView>
  </sheetViews>
  <sheetFormatPr defaultColWidth="8.72727272727273" defaultRowHeight="14.5" outlineLevelCol="1"/>
  <cols>
    <col min="1" max="1" width="11.6363636363636"/>
    <col min="2" max="3" width="12.9090909090909"/>
  </cols>
  <sheetData>
    <row r="3" spans="1:2">
      <c r="A3" t="s">
        <v>2</v>
      </c>
      <c r="B3" t="s">
        <v>3</v>
      </c>
    </row>
    <row r="4" spans="1:2">
      <c r="A4" t="s">
        <v>4</v>
      </c>
      <c r="B4">
        <v>698.83</v>
      </c>
    </row>
    <row r="5" spans="1:2">
      <c r="A5" t="s">
        <v>5</v>
      </c>
      <c r="B5">
        <v>441.47</v>
      </c>
    </row>
    <row r="6" spans="1:2">
      <c r="A6" t="s">
        <v>6</v>
      </c>
      <c r="B6">
        <v>426.16</v>
      </c>
    </row>
    <row r="7" spans="1:2">
      <c r="A7" t="s">
        <v>7</v>
      </c>
      <c r="B7">
        <v>1566.46</v>
      </c>
    </row>
    <row r="20" spans="1:2">
      <c r="A20" t="s">
        <v>8</v>
      </c>
      <c r="B20" t="s">
        <v>3</v>
      </c>
    </row>
    <row r="21" spans="1:2">
      <c r="A21" t="s">
        <v>9</v>
      </c>
      <c r="B21">
        <v>1566.46</v>
      </c>
    </row>
    <row r="22" spans="1:2">
      <c r="A22" t="s">
        <v>7</v>
      </c>
      <c r="B22">
        <v>1566.46</v>
      </c>
    </row>
    <row r="35" spans="1:2">
      <c r="A35" t="s">
        <v>2</v>
      </c>
      <c r="B35" t="s">
        <v>3</v>
      </c>
    </row>
    <row r="36" spans="1:2">
      <c r="A36" t="s">
        <v>4</v>
      </c>
      <c r="B36">
        <v>698.83</v>
      </c>
    </row>
    <row r="37" spans="1:2">
      <c r="A37" t="s">
        <v>5</v>
      </c>
      <c r="B37">
        <v>441.47</v>
      </c>
    </row>
    <row r="38" spans="1:2">
      <c r="A38" t="s">
        <v>6</v>
      </c>
      <c r="B38">
        <v>426.16</v>
      </c>
    </row>
    <row r="39" spans="1:2">
      <c r="A39" t="s">
        <v>7</v>
      </c>
      <c r="B39">
        <v>1566.46</v>
      </c>
    </row>
    <row r="51" spans="1:2">
      <c r="A51" t="s">
        <v>2</v>
      </c>
      <c r="B51" t="s">
        <v>10</v>
      </c>
    </row>
    <row r="52" spans="1:2">
      <c r="A52" t="s">
        <v>4</v>
      </c>
      <c r="B52">
        <v>2183.15</v>
      </c>
    </row>
    <row r="53" spans="1:2">
      <c r="A53" t="s">
        <v>5</v>
      </c>
      <c r="B53">
        <v>1261.34</v>
      </c>
    </row>
    <row r="54" spans="1:2">
      <c r="A54" t="s">
        <v>6</v>
      </c>
      <c r="B54">
        <v>1432.47</v>
      </c>
    </row>
    <row r="55" spans="1:2">
      <c r="A55" t="s">
        <v>7</v>
      </c>
      <c r="B55">
        <v>4876.96</v>
      </c>
    </row>
  </sheetData>
  <pageMargins left="0.75" right="0.75" top="1" bottom="1" header="0.5" footer="0.5"/>
  <headerFooter/>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000"/>
  <sheetViews>
    <sheetView workbookViewId="0">
      <selection activeCell="I14" sqref="A1:K201"/>
    </sheetView>
  </sheetViews>
  <sheetFormatPr defaultColWidth="14.4272727272727" defaultRowHeight="15" customHeight="1"/>
  <cols>
    <col min="1" max="1" width="12.4272727272727" customWidth="1"/>
    <col min="2" max="2" width="16.5727272727273" customWidth="1"/>
    <col min="3" max="3" width="7.29090909090909" customWidth="1"/>
    <col min="4" max="4" width="16.7090909090909" customWidth="1"/>
    <col min="5" max="5" width="8" customWidth="1"/>
    <col min="6" max="6" width="8.86363636363636" customWidth="1"/>
    <col min="7" max="7" width="17.9090909090909" customWidth="1"/>
    <col min="8" max="8" width="8.70909090909091" customWidth="1"/>
    <col min="9" max="10" width="11.2909090909091" customWidth="1"/>
    <col min="11" max="11" width="7" customWidth="1"/>
    <col min="12" max="28" width="8.70909090909091" customWidth="1"/>
  </cols>
  <sheetData>
    <row r="1" spans="1:28">
      <c r="A1" s="3" t="s">
        <v>11</v>
      </c>
      <c r="B1" s="3" t="s">
        <v>12</v>
      </c>
      <c r="C1" s="3" t="s">
        <v>8</v>
      </c>
      <c r="D1" s="3" t="s">
        <v>13</v>
      </c>
      <c r="E1" s="3" t="s">
        <v>14</v>
      </c>
      <c r="F1" s="3" t="s">
        <v>15</v>
      </c>
      <c r="G1" s="3" t="s">
        <v>16</v>
      </c>
      <c r="H1" s="3" t="s">
        <v>17</v>
      </c>
      <c r="I1" s="3" t="s">
        <v>18</v>
      </c>
      <c r="J1" s="3" t="s">
        <v>2</v>
      </c>
      <c r="K1" s="3" t="s">
        <v>19</v>
      </c>
      <c r="L1" s="4"/>
      <c r="M1" s="4"/>
      <c r="N1" s="4"/>
      <c r="O1" s="4"/>
      <c r="P1" s="4"/>
      <c r="Q1" s="4"/>
      <c r="R1" s="4"/>
      <c r="S1" s="4"/>
      <c r="T1" s="4"/>
      <c r="U1" s="4"/>
      <c r="V1" s="4"/>
      <c r="W1" s="4"/>
      <c r="X1" s="4"/>
      <c r="Y1" s="4"/>
      <c r="Z1" s="4"/>
      <c r="AA1" s="4"/>
      <c r="AB1" s="4"/>
    </row>
    <row r="2" spans="1:11">
      <c r="A2" t="s">
        <v>20</v>
      </c>
      <c r="B2" t="s">
        <v>21</v>
      </c>
      <c r="C2" t="s">
        <v>22</v>
      </c>
      <c r="D2" t="s">
        <v>23</v>
      </c>
      <c r="E2">
        <v>1036.09</v>
      </c>
      <c r="F2">
        <v>4</v>
      </c>
      <c r="G2">
        <f>E2*F2</f>
        <v>4144.36</v>
      </c>
      <c r="H2">
        <v>0.2</v>
      </c>
      <c r="I2" s="5">
        <v>45392</v>
      </c>
      <c r="J2" s="5" t="str">
        <f>TEXT(I2,"mmm")</f>
        <v>Apr</v>
      </c>
      <c r="K2">
        <v>331.55</v>
      </c>
    </row>
    <row r="3" spans="1:11">
      <c r="A3" t="s">
        <v>24</v>
      </c>
      <c r="B3" t="s">
        <v>25</v>
      </c>
      <c r="C3" t="s">
        <v>22</v>
      </c>
      <c r="D3" t="s">
        <v>26</v>
      </c>
      <c r="E3">
        <v>1101.28</v>
      </c>
      <c r="F3">
        <v>3</v>
      </c>
      <c r="G3">
        <f t="shared" ref="G3:G34" si="0">E3*F3</f>
        <v>3303.84</v>
      </c>
      <c r="H3">
        <v>0.2</v>
      </c>
      <c r="I3" s="5">
        <v>45393</v>
      </c>
      <c r="J3" s="5" t="str">
        <f t="shared" ref="J3:J34" si="1">TEXT(I3,"mmm")</f>
        <v>Apr</v>
      </c>
      <c r="K3">
        <v>440.51</v>
      </c>
    </row>
    <row r="4" spans="1:11">
      <c r="A4" t="s">
        <v>27</v>
      </c>
      <c r="B4" t="s">
        <v>28</v>
      </c>
      <c r="C4" t="s">
        <v>29</v>
      </c>
      <c r="D4" t="s">
        <v>23</v>
      </c>
      <c r="E4">
        <v>713.34</v>
      </c>
      <c r="F4">
        <v>17</v>
      </c>
      <c r="G4">
        <f t="shared" si="0"/>
        <v>12126.78</v>
      </c>
      <c r="H4">
        <v>0</v>
      </c>
      <c r="I4" s="5">
        <v>45396</v>
      </c>
      <c r="J4" s="5" t="str">
        <f t="shared" si="1"/>
        <v>Apr</v>
      </c>
      <c r="K4">
        <v>285.34</v>
      </c>
    </row>
    <row r="5" spans="1:11">
      <c r="A5" t="s">
        <v>30</v>
      </c>
      <c r="B5" t="s">
        <v>25</v>
      </c>
      <c r="C5" t="s">
        <v>31</v>
      </c>
      <c r="D5" t="s">
        <v>32</v>
      </c>
      <c r="E5">
        <v>760.93</v>
      </c>
      <c r="F5">
        <v>4</v>
      </c>
      <c r="G5">
        <f t="shared" si="0"/>
        <v>3043.72</v>
      </c>
      <c r="H5">
        <v>0.15</v>
      </c>
      <c r="I5" s="5">
        <v>45396</v>
      </c>
      <c r="J5" s="5" t="str">
        <f t="shared" si="1"/>
        <v>Apr</v>
      </c>
      <c r="K5">
        <v>161.7</v>
      </c>
    </row>
    <row r="6" spans="1:11">
      <c r="A6" t="s">
        <v>33</v>
      </c>
      <c r="B6" t="s">
        <v>34</v>
      </c>
      <c r="C6" t="s">
        <v>35</v>
      </c>
      <c r="D6" t="s">
        <v>23</v>
      </c>
      <c r="E6">
        <v>847</v>
      </c>
      <c r="F6">
        <v>12</v>
      </c>
      <c r="G6">
        <f t="shared" si="0"/>
        <v>10164</v>
      </c>
      <c r="H6">
        <v>0.2</v>
      </c>
      <c r="I6" s="5">
        <v>45397</v>
      </c>
      <c r="J6" s="5" t="str">
        <f t="shared" si="1"/>
        <v>Apr</v>
      </c>
      <c r="K6">
        <v>271.04</v>
      </c>
    </row>
    <row r="7" spans="1:11">
      <c r="A7" t="s">
        <v>36</v>
      </c>
      <c r="B7" t="s">
        <v>37</v>
      </c>
      <c r="C7" t="s">
        <v>35</v>
      </c>
      <c r="D7" t="s">
        <v>38</v>
      </c>
      <c r="E7">
        <v>965.64</v>
      </c>
      <c r="F7">
        <v>8</v>
      </c>
      <c r="G7">
        <f t="shared" si="0"/>
        <v>7725.12</v>
      </c>
      <c r="H7">
        <v>0.1</v>
      </c>
      <c r="I7" s="5">
        <v>45398</v>
      </c>
      <c r="J7" s="5" t="str">
        <f t="shared" si="1"/>
        <v>Apr</v>
      </c>
      <c r="K7">
        <v>304.18</v>
      </c>
    </row>
    <row r="8" spans="1:11">
      <c r="A8" t="s">
        <v>39</v>
      </c>
      <c r="B8" t="s">
        <v>40</v>
      </c>
      <c r="C8" t="s">
        <v>22</v>
      </c>
      <c r="D8" t="s">
        <v>32</v>
      </c>
      <c r="E8">
        <v>1317.53</v>
      </c>
      <c r="F8">
        <v>12</v>
      </c>
      <c r="G8">
        <f t="shared" si="0"/>
        <v>15810.36</v>
      </c>
      <c r="H8">
        <v>0.05</v>
      </c>
      <c r="I8" s="5">
        <v>45398</v>
      </c>
      <c r="J8" s="5" t="str">
        <f t="shared" si="1"/>
        <v>Apr</v>
      </c>
      <c r="K8">
        <v>312.91</v>
      </c>
    </row>
    <row r="9" spans="1:11">
      <c r="A9" t="s">
        <v>41</v>
      </c>
      <c r="B9" t="s">
        <v>42</v>
      </c>
      <c r="C9" t="s">
        <v>29</v>
      </c>
      <c r="D9" t="s">
        <v>38</v>
      </c>
      <c r="E9">
        <v>1074.47</v>
      </c>
      <c r="F9">
        <v>6</v>
      </c>
      <c r="G9">
        <f t="shared" si="0"/>
        <v>6446.82</v>
      </c>
      <c r="H9">
        <v>0.2</v>
      </c>
      <c r="I9" s="5">
        <v>45401</v>
      </c>
      <c r="J9" s="5" t="str">
        <f t="shared" si="1"/>
        <v>Apr</v>
      </c>
      <c r="K9">
        <v>300.85</v>
      </c>
    </row>
    <row r="10" spans="1:11">
      <c r="A10" t="s">
        <v>43</v>
      </c>
      <c r="B10" t="s">
        <v>44</v>
      </c>
      <c r="C10" t="s">
        <v>9</v>
      </c>
      <c r="D10" t="s">
        <v>23</v>
      </c>
      <c r="E10">
        <v>501.54</v>
      </c>
      <c r="F10">
        <v>11</v>
      </c>
      <c r="G10">
        <f t="shared" si="0"/>
        <v>5516.94</v>
      </c>
      <c r="H10">
        <v>0.05</v>
      </c>
      <c r="I10" s="5">
        <v>45401</v>
      </c>
      <c r="J10" s="5" t="str">
        <f t="shared" si="1"/>
        <v>Apr</v>
      </c>
      <c r="K10">
        <v>190.59</v>
      </c>
    </row>
    <row r="11" spans="1:11">
      <c r="A11" t="s">
        <v>45</v>
      </c>
      <c r="B11" t="s">
        <v>46</v>
      </c>
      <c r="C11" t="s">
        <v>9</v>
      </c>
      <c r="D11" t="s">
        <v>26</v>
      </c>
      <c r="E11">
        <v>737.31</v>
      </c>
      <c r="F11">
        <v>2</v>
      </c>
      <c r="G11">
        <f t="shared" si="0"/>
        <v>1474.62</v>
      </c>
      <c r="H11">
        <v>0.05</v>
      </c>
      <c r="I11" s="5">
        <v>45401</v>
      </c>
      <c r="J11" s="5" t="str">
        <f t="shared" si="1"/>
        <v>Apr</v>
      </c>
      <c r="K11">
        <v>350.22</v>
      </c>
    </row>
    <row r="12" spans="1:11">
      <c r="A12" t="s">
        <v>47</v>
      </c>
      <c r="B12" t="s">
        <v>48</v>
      </c>
      <c r="C12" t="s">
        <v>22</v>
      </c>
      <c r="D12" t="s">
        <v>49</v>
      </c>
      <c r="E12">
        <v>1572.82</v>
      </c>
      <c r="F12">
        <v>6</v>
      </c>
      <c r="G12">
        <f t="shared" si="0"/>
        <v>9436.92</v>
      </c>
      <c r="H12">
        <v>0.05</v>
      </c>
      <c r="I12" s="5">
        <v>45402</v>
      </c>
      <c r="J12" s="5" t="str">
        <f t="shared" si="1"/>
        <v>Apr</v>
      </c>
      <c r="K12">
        <v>672.38</v>
      </c>
    </row>
    <row r="13" spans="1:11">
      <c r="A13" t="s">
        <v>47</v>
      </c>
      <c r="B13" t="s">
        <v>46</v>
      </c>
      <c r="C13" t="s">
        <v>9</v>
      </c>
      <c r="D13" t="s">
        <v>23</v>
      </c>
      <c r="E13">
        <v>1343.13</v>
      </c>
      <c r="F13">
        <v>14</v>
      </c>
      <c r="G13">
        <f t="shared" si="0"/>
        <v>18803.82</v>
      </c>
      <c r="H13">
        <v>0.15</v>
      </c>
      <c r="I13" s="5">
        <v>45404</v>
      </c>
      <c r="J13" s="5" t="str">
        <f t="shared" si="1"/>
        <v>Apr</v>
      </c>
      <c r="K13">
        <v>456.66</v>
      </c>
    </row>
    <row r="14" spans="1:11">
      <c r="A14" t="s">
        <v>36</v>
      </c>
      <c r="B14" t="s">
        <v>37</v>
      </c>
      <c r="C14" t="s">
        <v>9</v>
      </c>
      <c r="D14" t="s">
        <v>23</v>
      </c>
      <c r="E14">
        <v>1191.58</v>
      </c>
      <c r="F14">
        <v>14</v>
      </c>
      <c r="G14">
        <f t="shared" si="0"/>
        <v>16682.12</v>
      </c>
      <c r="H14">
        <v>0.05</v>
      </c>
      <c r="I14" s="5">
        <v>45406</v>
      </c>
      <c r="J14" s="5" t="str">
        <f t="shared" si="1"/>
        <v>Apr</v>
      </c>
      <c r="K14">
        <v>452.8</v>
      </c>
    </row>
    <row r="15" spans="1:11">
      <c r="A15" t="s">
        <v>50</v>
      </c>
      <c r="B15" t="s">
        <v>25</v>
      </c>
      <c r="C15" t="s">
        <v>22</v>
      </c>
      <c r="D15" t="s">
        <v>38</v>
      </c>
      <c r="E15">
        <v>822.28</v>
      </c>
      <c r="F15">
        <v>7</v>
      </c>
      <c r="G15">
        <f t="shared" si="0"/>
        <v>5755.96</v>
      </c>
      <c r="H15">
        <v>0.05</v>
      </c>
      <c r="I15" s="5">
        <v>45406</v>
      </c>
      <c r="J15" s="5" t="str">
        <f t="shared" si="1"/>
        <v>Apr</v>
      </c>
      <c r="K15">
        <v>273.41</v>
      </c>
    </row>
    <row r="16" spans="1:11">
      <c r="A16" t="s">
        <v>51</v>
      </c>
      <c r="B16" t="s">
        <v>52</v>
      </c>
      <c r="C16" t="s">
        <v>35</v>
      </c>
      <c r="D16" t="s">
        <v>38</v>
      </c>
      <c r="E16">
        <v>521.67</v>
      </c>
      <c r="F16">
        <v>15</v>
      </c>
      <c r="G16">
        <f t="shared" si="0"/>
        <v>7825.05</v>
      </c>
      <c r="H16">
        <v>0.15</v>
      </c>
      <c r="I16" s="5">
        <v>45409</v>
      </c>
      <c r="J16" s="5" t="str">
        <f t="shared" si="1"/>
        <v>Apr</v>
      </c>
      <c r="K16">
        <v>155.2</v>
      </c>
    </row>
    <row r="17" spans="1:11">
      <c r="A17" t="s">
        <v>30</v>
      </c>
      <c r="B17" t="s">
        <v>53</v>
      </c>
      <c r="C17" t="s">
        <v>31</v>
      </c>
      <c r="D17" t="s">
        <v>32</v>
      </c>
      <c r="E17">
        <v>1502.93</v>
      </c>
      <c r="F17">
        <v>14</v>
      </c>
      <c r="G17">
        <f t="shared" si="0"/>
        <v>21041.02</v>
      </c>
      <c r="H17">
        <v>0.2</v>
      </c>
      <c r="I17" s="5">
        <v>45410</v>
      </c>
      <c r="J17" s="5" t="str">
        <f t="shared" si="1"/>
        <v>Apr</v>
      </c>
      <c r="K17">
        <v>300.59</v>
      </c>
    </row>
    <row r="18" spans="1:11">
      <c r="A18" t="s">
        <v>54</v>
      </c>
      <c r="B18" t="s">
        <v>25</v>
      </c>
      <c r="C18" t="s">
        <v>31</v>
      </c>
      <c r="D18" t="s">
        <v>23</v>
      </c>
      <c r="E18">
        <v>877.58</v>
      </c>
      <c r="F18">
        <v>10</v>
      </c>
      <c r="G18">
        <f t="shared" si="0"/>
        <v>8775.8</v>
      </c>
      <c r="H18">
        <v>0.15</v>
      </c>
      <c r="I18" s="5">
        <v>45411</v>
      </c>
      <c r="J18" s="5" t="str">
        <f t="shared" si="1"/>
        <v>Apr</v>
      </c>
      <c r="K18">
        <v>298.38</v>
      </c>
    </row>
    <row r="19" spans="1:11">
      <c r="A19" t="s">
        <v>39</v>
      </c>
      <c r="B19" t="s">
        <v>55</v>
      </c>
      <c r="C19" t="s">
        <v>22</v>
      </c>
      <c r="D19" t="s">
        <v>23</v>
      </c>
      <c r="E19">
        <v>636.7</v>
      </c>
      <c r="F19">
        <v>4</v>
      </c>
      <c r="G19">
        <f t="shared" si="0"/>
        <v>2546.8</v>
      </c>
      <c r="H19">
        <v>0.2</v>
      </c>
      <c r="I19" s="5">
        <v>45411</v>
      </c>
      <c r="J19" s="5" t="str">
        <f t="shared" si="1"/>
        <v>Apr</v>
      </c>
      <c r="K19">
        <v>203.74</v>
      </c>
    </row>
    <row r="20" spans="1:11">
      <c r="A20" t="s">
        <v>56</v>
      </c>
      <c r="B20" t="s">
        <v>57</v>
      </c>
      <c r="C20" t="s">
        <v>22</v>
      </c>
      <c r="D20" t="s">
        <v>23</v>
      </c>
      <c r="E20">
        <v>1506.14</v>
      </c>
      <c r="F20">
        <v>13</v>
      </c>
      <c r="G20">
        <f t="shared" si="0"/>
        <v>19579.82</v>
      </c>
      <c r="H20">
        <v>0.2</v>
      </c>
      <c r="I20" s="5">
        <v>45412</v>
      </c>
      <c r="J20" s="5" t="str">
        <f t="shared" si="1"/>
        <v>Apr</v>
      </c>
      <c r="K20">
        <v>481.96</v>
      </c>
    </row>
    <row r="21" ht="15.75" customHeight="1" spans="1:11">
      <c r="A21" t="s">
        <v>41</v>
      </c>
      <c r="B21" t="s">
        <v>42</v>
      </c>
      <c r="C21" t="s">
        <v>9</v>
      </c>
      <c r="D21" t="s">
        <v>32</v>
      </c>
      <c r="E21">
        <v>645.02</v>
      </c>
      <c r="F21">
        <v>4</v>
      </c>
      <c r="G21">
        <f t="shared" si="0"/>
        <v>2580.08</v>
      </c>
      <c r="H21">
        <v>0</v>
      </c>
      <c r="I21" s="5">
        <v>45414</v>
      </c>
      <c r="J21" s="5" t="str">
        <f t="shared" si="1"/>
        <v>May</v>
      </c>
      <c r="K21">
        <v>161.26</v>
      </c>
    </row>
    <row r="22" ht="15.75" customHeight="1" spans="1:11">
      <c r="A22" t="s">
        <v>36</v>
      </c>
      <c r="B22" t="s">
        <v>58</v>
      </c>
      <c r="C22" t="s">
        <v>31</v>
      </c>
      <c r="D22" t="s">
        <v>26</v>
      </c>
      <c r="E22">
        <v>953.3</v>
      </c>
      <c r="F22">
        <v>11</v>
      </c>
      <c r="G22">
        <f t="shared" si="0"/>
        <v>10486.3</v>
      </c>
      <c r="H22">
        <v>0</v>
      </c>
      <c r="I22" s="5">
        <v>45415</v>
      </c>
      <c r="J22" s="5" t="str">
        <f t="shared" si="1"/>
        <v>May</v>
      </c>
      <c r="K22">
        <v>476.65</v>
      </c>
    </row>
    <row r="23" ht="15.75" customHeight="1" spans="1:11">
      <c r="A23" t="s">
        <v>59</v>
      </c>
      <c r="B23" t="s">
        <v>25</v>
      </c>
      <c r="C23" t="s">
        <v>35</v>
      </c>
      <c r="D23" t="s">
        <v>32</v>
      </c>
      <c r="E23">
        <v>388.56</v>
      </c>
      <c r="F23">
        <v>14</v>
      </c>
      <c r="G23">
        <f t="shared" si="0"/>
        <v>5439.84</v>
      </c>
      <c r="H23">
        <v>0.15</v>
      </c>
      <c r="I23" s="5">
        <v>45416</v>
      </c>
      <c r="J23" s="5" t="str">
        <f t="shared" si="1"/>
        <v>May</v>
      </c>
      <c r="K23">
        <v>82.57</v>
      </c>
    </row>
    <row r="24" ht="15.75" customHeight="1" spans="1:11">
      <c r="A24" t="s">
        <v>20</v>
      </c>
      <c r="B24" t="s">
        <v>42</v>
      </c>
      <c r="C24" t="s">
        <v>22</v>
      </c>
      <c r="D24" t="s">
        <v>23</v>
      </c>
      <c r="E24">
        <v>743.17</v>
      </c>
      <c r="F24">
        <v>9</v>
      </c>
      <c r="G24">
        <f t="shared" si="0"/>
        <v>6688.53</v>
      </c>
      <c r="H24">
        <v>0</v>
      </c>
      <c r="I24" s="5">
        <v>45416</v>
      </c>
      <c r="J24" s="5" t="str">
        <f t="shared" si="1"/>
        <v>May</v>
      </c>
      <c r="K24">
        <v>297.27</v>
      </c>
    </row>
    <row r="25" ht="15.75" customHeight="1" spans="1:11">
      <c r="A25" t="s">
        <v>50</v>
      </c>
      <c r="B25" t="s">
        <v>42</v>
      </c>
      <c r="C25" t="s">
        <v>9</v>
      </c>
      <c r="D25" t="s">
        <v>32</v>
      </c>
      <c r="E25">
        <v>706.37</v>
      </c>
      <c r="F25">
        <v>6</v>
      </c>
      <c r="G25">
        <f t="shared" si="0"/>
        <v>4238.22</v>
      </c>
      <c r="H25">
        <v>0</v>
      </c>
      <c r="I25" s="5">
        <v>45416</v>
      </c>
      <c r="J25" s="5" t="str">
        <f t="shared" si="1"/>
        <v>May</v>
      </c>
      <c r="K25">
        <v>176.59</v>
      </c>
    </row>
    <row r="26" ht="15.75" customHeight="1" spans="1:11">
      <c r="A26" t="s">
        <v>24</v>
      </c>
      <c r="B26" t="s">
        <v>42</v>
      </c>
      <c r="C26" t="s">
        <v>9</v>
      </c>
      <c r="D26" t="s">
        <v>49</v>
      </c>
      <c r="E26">
        <v>925.31</v>
      </c>
      <c r="F26">
        <v>8</v>
      </c>
      <c r="G26">
        <f t="shared" si="0"/>
        <v>7402.48</v>
      </c>
      <c r="H26">
        <v>0.1</v>
      </c>
      <c r="I26" s="5">
        <v>45418</v>
      </c>
      <c r="J26" s="5" t="str">
        <f t="shared" si="1"/>
        <v>May</v>
      </c>
      <c r="K26">
        <v>374.75</v>
      </c>
    </row>
    <row r="27" ht="15.75" customHeight="1" spans="1:11">
      <c r="A27" t="s">
        <v>45</v>
      </c>
      <c r="B27" t="s">
        <v>60</v>
      </c>
      <c r="C27" t="s">
        <v>31</v>
      </c>
      <c r="D27" t="s">
        <v>32</v>
      </c>
      <c r="E27">
        <v>1173.12</v>
      </c>
      <c r="F27">
        <v>18</v>
      </c>
      <c r="G27">
        <f t="shared" si="0"/>
        <v>21116.16</v>
      </c>
      <c r="H27">
        <v>0</v>
      </c>
      <c r="I27" s="5">
        <v>45418</v>
      </c>
      <c r="J27" s="5" t="str">
        <f t="shared" si="1"/>
        <v>May</v>
      </c>
      <c r="K27">
        <v>293.28</v>
      </c>
    </row>
    <row r="28" ht="15.75" customHeight="1" spans="1:11">
      <c r="A28" t="s">
        <v>33</v>
      </c>
      <c r="B28" t="s">
        <v>61</v>
      </c>
      <c r="C28" t="s">
        <v>35</v>
      </c>
      <c r="D28" t="s">
        <v>38</v>
      </c>
      <c r="E28">
        <v>675.54</v>
      </c>
      <c r="F28">
        <v>17</v>
      </c>
      <c r="G28">
        <f t="shared" si="0"/>
        <v>11484.18</v>
      </c>
      <c r="H28">
        <v>0</v>
      </c>
      <c r="I28" s="5">
        <v>45420</v>
      </c>
      <c r="J28" s="5" t="str">
        <f t="shared" si="1"/>
        <v>May</v>
      </c>
      <c r="K28">
        <v>236.44</v>
      </c>
    </row>
    <row r="29" ht="15.75" customHeight="1" spans="1:11">
      <c r="A29" t="s">
        <v>36</v>
      </c>
      <c r="B29" t="s">
        <v>25</v>
      </c>
      <c r="C29" t="s">
        <v>9</v>
      </c>
      <c r="D29" t="s">
        <v>23</v>
      </c>
      <c r="E29">
        <v>939.09</v>
      </c>
      <c r="F29">
        <v>2</v>
      </c>
      <c r="G29">
        <f t="shared" si="0"/>
        <v>1878.18</v>
      </c>
      <c r="H29">
        <v>0.05</v>
      </c>
      <c r="I29" s="5">
        <v>45422</v>
      </c>
      <c r="J29" s="5" t="str">
        <f t="shared" si="1"/>
        <v>May</v>
      </c>
      <c r="K29">
        <v>356.85</v>
      </c>
    </row>
    <row r="30" ht="15.75" customHeight="1" spans="1:11">
      <c r="A30" t="s">
        <v>62</v>
      </c>
      <c r="B30" t="s">
        <v>63</v>
      </c>
      <c r="C30" t="s">
        <v>29</v>
      </c>
      <c r="D30" t="s">
        <v>49</v>
      </c>
      <c r="E30">
        <v>983.34</v>
      </c>
      <c r="F30">
        <v>19</v>
      </c>
      <c r="G30">
        <f t="shared" si="0"/>
        <v>18683.46</v>
      </c>
      <c r="H30">
        <v>0.1</v>
      </c>
      <c r="I30" s="5">
        <v>45426</v>
      </c>
      <c r="J30" s="5" t="str">
        <f t="shared" si="1"/>
        <v>May</v>
      </c>
      <c r="K30">
        <v>398.25</v>
      </c>
    </row>
    <row r="31" ht="15.75" customHeight="1" spans="1:11">
      <c r="A31" t="s">
        <v>62</v>
      </c>
      <c r="B31" t="s">
        <v>34</v>
      </c>
      <c r="C31" t="s">
        <v>31</v>
      </c>
      <c r="D31" t="s">
        <v>32</v>
      </c>
      <c r="E31">
        <v>801.21</v>
      </c>
      <c r="F31">
        <v>3</v>
      </c>
      <c r="G31">
        <f t="shared" si="0"/>
        <v>2403.63</v>
      </c>
      <c r="H31">
        <v>0.2</v>
      </c>
      <c r="I31" s="5">
        <v>45426</v>
      </c>
      <c r="J31" s="5" t="str">
        <f t="shared" si="1"/>
        <v>May</v>
      </c>
      <c r="K31">
        <v>160.24</v>
      </c>
    </row>
    <row r="32" ht="15.75" customHeight="1" spans="1:11">
      <c r="A32" t="s">
        <v>64</v>
      </c>
      <c r="B32" t="s">
        <v>65</v>
      </c>
      <c r="C32" t="s">
        <v>35</v>
      </c>
      <c r="D32" t="s">
        <v>32</v>
      </c>
      <c r="E32">
        <v>1450.71</v>
      </c>
      <c r="F32">
        <v>5</v>
      </c>
      <c r="G32">
        <f t="shared" si="0"/>
        <v>7253.55</v>
      </c>
      <c r="H32">
        <v>0.1</v>
      </c>
      <c r="I32" s="5">
        <v>45427</v>
      </c>
      <c r="J32" s="5" t="str">
        <f t="shared" si="1"/>
        <v>May</v>
      </c>
      <c r="K32">
        <v>326.41</v>
      </c>
    </row>
    <row r="33" ht="15.75" customHeight="1" spans="1:11">
      <c r="A33" t="s">
        <v>59</v>
      </c>
      <c r="B33" t="s">
        <v>66</v>
      </c>
      <c r="C33" t="s">
        <v>9</v>
      </c>
      <c r="D33" t="s">
        <v>23</v>
      </c>
      <c r="E33">
        <v>1023.21</v>
      </c>
      <c r="F33">
        <v>18</v>
      </c>
      <c r="G33">
        <f t="shared" si="0"/>
        <v>18417.78</v>
      </c>
      <c r="H33">
        <v>0.05</v>
      </c>
      <c r="I33" s="5">
        <v>45428</v>
      </c>
      <c r="J33" s="5" t="str">
        <f t="shared" si="1"/>
        <v>May</v>
      </c>
      <c r="K33">
        <v>388.82</v>
      </c>
    </row>
    <row r="34" ht="15.75" customHeight="1" spans="1:11">
      <c r="A34" t="s">
        <v>39</v>
      </c>
      <c r="B34" t="s">
        <v>57</v>
      </c>
      <c r="C34" t="s">
        <v>22</v>
      </c>
      <c r="D34" t="s">
        <v>38</v>
      </c>
      <c r="E34">
        <v>853.72</v>
      </c>
      <c r="F34">
        <v>5</v>
      </c>
      <c r="G34">
        <f t="shared" si="0"/>
        <v>4268.6</v>
      </c>
      <c r="H34">
        <v>0.15</v>
      </c>
      <c r="I34" s="5">
        <v>45428</v>
      </c>
      <c r="J34" s="5" t="str">
        <f t="shared" si="1"/>
        <v>May</v>
      </c>
      <c r="K34">
        <v>253.98</v>
      </c>
    </row>
    <row r="35" ht="15.75" customHeight="1" spans="1:11">
      <c r="A35" t="s">
        <v>67</v>
      </c>
      <c r="B35" t="s">
        <v>53</v>
      </c>
      <c r="C35" t="s">
        <v>31</v>
      </c>
      <c r="D35" t="s">
        <v>32</v>
      </c>
      <c r="E35">
        <v>967.89</v>
      </c>
      <c r="F35">
        <v>10</v>
      </c>
      <c r="G35">
        <f t="shared" ref="G35:G66" si="2">E35*F35</f>
        <v>9678.9</v>
      </c>
      <c r="H35">
        <v>0.1</v>
      </c>
      <c r="I35" s="5">
        <v>45429</v>
      </c>
      <c r="J35" s="5" t="str">
        <f t="shared" ref="J35:J66" si="3">TEXT(I35,"mmm")</f>
        <v>May</v>
      </c>
      <c r="K35">
        <v>217.78</v>
      </c>
    </row>
    <row r="36" ht="15.75" customHeight="1" spans="1:11">
      <c r="A36" t="s">
        <v>68</v>
      </c>
      <c r="B36" t="s">
        <v>63</v>
      </c>
      <c r="C36" t="s">
        <v>35</v>
      </c>
      <c r="D36" t="s">
        <v>49</v>
      </c>
      <c r="E36">
        <v>1200.9</v>
      </c>
      <c r="F36">
        <v>14</v>
      </c>
      <c r="G36">
        <f t="shared" si="2"/>
        <v>16812.6</v>
      </c>
      <c r="H36">
        <v>0.05</v>
      </c>
      <c r="I36" s="5">
        <v>45429</v>
      </c>
      <c r="J36" s="5" t="str">
        <f t="shared" si="3"/>
        <v>May</v>
      </c>
      <c r="K36">
        <v>513.38</v>
      </c>
    </row>
    <row r="37" ht="15.75" customHeight="1" spans="1:11">
      <c r="A37" t="s">
        <v>24</v>
      </c>
      <c r="B37" t="s">
        <v>37</v>
      </c>
      <c r="C37" t="s">
        <v>22</v>
      </c>
      <c r="D37" t="s">
        <v>23</v>
      </c>
      <c r="E37">
        <v>472.38</v>
      </c>
      <c r="F37">
        <v>12</v>
      </c>
      <c r="G37">
        <f t="shared" si="2"/>
        <v>5668.56</v>
      </c>
      <c r="H37">
        <v>0.2</v>
      </c>
      <c r="I37" s="5">
        <v>45429</v>
      </c>
      <c r="J37" s="5" t="str">
        <f t="shared" si="3"/>
        <v>May</v>
      </c>
      <c r="K37">
        <v>151.16</v>
      </c>
    </row>
    <row r="38" ht="15.75" customHeight="1" spans="1:11">
      <c r="A38" t="s">
        <v>20</v>
      </c>
      <c r="B38" t="s">
        <v>65</v>
      </c>
      <c r="C38" t="s">
        <v>29</v>
      </c>
      <c r="D38" t="s">
        <v>49</v>
      </c>
      <c r="E38">
        <v>840.92</v>
      </c>
      <c r="F38">
        <v>9</v>
      </c>
      <c r="G38">
        <f t="shared" si="2"/>
        <v>7568.28</v>
      </c>
      <c r="H38">
        <v>0.05</v>
      </c>
      <c r="I38" s="5">
        <v>45429</v>
      </c>
      <c r="J38" s="5" t="str">
        <f t="shared" si="3"/>
        <v>May</v>
      </c>
      <c r="K38">
        <v>359.49</v>
      </c>
    </row>
    <row r="39" ht="15.75" customHeight="1" spans="1:11">
      <c r="A39" t="s">
        <v>62</v>
      </c>
      <c r="B39" t="s">
        <v>58</v>
      </c>
      <c r="C39" t="s">
        <v>9</v>
      </c>
      <c r="D39" t="s">
        <v>38</v>
      </c>
      <c r="E39">
        <v>1410.06</v>
      </c>
      <c r="F39">
        <v>11</v>
      </c>
      <c r="G39">
        <f t="shared" si="2"/>
        <v>15510.66</v>
      </c>
      <c r="H39">
        <v>0.05</v>
      </c>
      <c r="I39" s="5">
        <v>45434</v>
      </c>
      <c r="J39" s="5" t="str">
        <f t="shared" si="3"/>
        <v>May</v>
      </c>
      <c r="K39">
        <v>468.84</v>
      </c>
    </row>
    <row r="40" ht="15.75" customHeight="1" spans="1:11">
      <c r="A40" t="s">
        <v>54</v>
      </c>
      <c r="B40" t="s">
        <v>69</v>
      </c>
      <c r="C40" t="s">
        <v>9</v>
      </c>
      <c r="D40" t="s">
        <v>38</v>
      </c>
      <c r="E40">
        <v>773.09</v>
      </c>
      <c r="F40">
        <v>13</v>
      </c>
      <c r="G40">
        <f t="shared" si="2"/>
        <v>10050.17</v>
      </c>
      <c r="H40">
        <v>0.15</v>
      </c>
      <c r="I40" s="5">
        <v>45434</v>
      </c>
      <c r="J40" s="5" t="str">
        <f t="shared" si="3"/>
        <v>May</v>
      </c>
      <c r="K40">
        <v>229.99</v>
      </c>
    </row>
    <row r="41" ht="15.75" customHeight="1" spans="1:11">
      <c r="A41" t="s">
        <v>70</v>
      </c>
      <c r="B41" t="s">
        <v>71</v>
      </c>
      <c r="C41" t="s">
        <v>29</v>
      </c>
      <c r="D41" t="s">
        <v>23</v>
      </c>
      <c r="E41">
        <v>580.43</v>
      </c>
      <c r="F41">
        <v>19</v>
      </c>
      <c r="G41">
        <f t="shared" si="2"/>
        <v>11028.17</v>
      </c>
      <c r="H41">
        <v>0.15</v>
      </c>
      <c r="I41" s="5">
        <v>45435</v>
      </c>
      <c r="J41" s="5" t="str">
        <f t="shared" si="3"/>
        <v>May</v>
      </c>
      <c r="K41">
        <v>197.35</v>
      </c>
    </row>
    <row r="42" ht="15.75" customHeight="1" spans="1:11">
      <c r="A42" t="s">
        <v>30</v>
      </c>
      <c r="B42" t="s">
        <v>52</v>
      </c>
      <c r="C42" t="s">
        <v>31</v>
      </c>
      <c r="D42" t="s">
        <v>23</v>
      </c>
      <c r="E42">
        <v>1151.21</v>
      </c>
      <c r="F42">
        <v>15</v>
      </c>
      <c r="G42">
        <f t="shared" si="2"/>
        <v>17268.15</v>
      </c>
      <c r="H42">
        <v>0.1</v>
      </c>
      <c r="I42" s="5">
        <v>45445</v>
      </c>
      <c r="J42" s="5" t="str">
        <f t="shared" si="3"/>
        <v>Jun</v>
      </c>
      <c r="K42">
        <v>414.44</v>
      </c>
    </row>
    <row r="43" ht="15.75" customHeight="1" spans="1:11">
      <c r="A43" t="s">
        <v>62</v>
      </c>
      <c r="B43" t="s">
        <v>34</v>
      </c>
      <c r="C43" t="s">
        <v>9</v>
      </c>
      <c r="D43" t="s">
        <v>49</v>
      </c>
      <c r="E43">
        <v>1025.98</v>
      </c>
      <c r="F43">
        <v>5</v>
      </c>
      <c r="G43">
        <f t="shared" si="2"/>
        <v>5129.9</v>
      </c>
      <c r="H43">
        <v>0.2</v>
      </c>
      <c r="I43" s="5">
        <v>45447</v>
      </c>
      <c r="J43" s="5" t="str">
        <f t="shared" si="3"/>
        <v>Jun</v>
      </c>
      <c r="K43">
        <v>369.35</v>
      </c>
    </row>
    <row r="44" ht="15.75" customHeight="1" spans="1:11">
      <c r="A44" t="s">
        <v>50</v>
      </c>
      <c r="B44" t="s">
        <v>66</v>
      </c>
      <c r="C44" t="s">
        <v>29</v>
      </c>
      <c r="D44" t="s">
        <v>49</v>
      </c>
      <c r="E44">
        <v>556.42</v>
      </c>
      <c r="F44">
        <v>11</v>
      </c>
      <c r="G44">
        <f t="shared" si="2"/>
        <v>6120.62</v>
      </c>
      <c r="H44">
        <v>0.15</v>
      </c>
      <c r="I44" s="5">
        <v>45447</v>
      </c>
      <c r="J44" s="5" t="str">
        <f t="shared" si="3"/>
        <v>Jun</v>
      </c>
      <c r="K44">
        <v>212.83</v>
      </c>
    </row>
    <row r="45" ht="15.75" customHeight="1" spans="1:11">
      <c r="A45" t="s">
        <v>67</v>
      </c>
      <c r="B45" t="s">
        <v>34</v>
      </c>
      <c r="C45" t="s">
        <v>9</v>
      </c>
      <c r="D45" t="s">
        <v>23</v>
      </c>
      <c r="E45">
        <v>840.85</v>
      </c>
      <c r="F45">
        <v>19</v>
      </c>
      <c r="G45">
        <f t="shared" si="2"/>
        <v>15976.15</v>
      </c>
      <c r="H45">
        <v>0.1</v>
      </c>
      <c r="I45" s="5">
        <v>45448</v>
      </c>
      <c r="J45" s="5" t="str">
        <f t="shared" si="3"/>
        <v>Jun</v>
      </c>
      <c r="K45">
        <v>302.71</v>
      </c>
    </row>
    <row r="46" ht="15.75" customHeight="1" spans="1:11">
      <c r="A46" t="s">
        <v>41</v>
      </c>
      <c r="B46" t="s">
        <v>71</v>
      </c>
      <c r="C46" t="s">
        <v>35</v>
      </c>
      <c r="D46" t="s">
        <v>38</v>
      </c>
      <c r="E46">
        <v>1227.25</v>
      </c>
      <c r="F46">
        <v>12</v>
      </c>
      <c r="G46">
        <f t="shared" si="2"/>
        <v>14727</v>
      </c>
      <c r="H46">
        <v>0.15</v>
      </c>
      <c r="I46" s="5">
        <v>45448</v>
      </c>
      <c r="J46" s="5" t="str">
        <f t="shared" si="3"/>
        <v>Jun</v>
      </c>
      <c r="K46">
        <v>365.11</v>
      </c>
    </row>
    <row r="47" ht="15.75" customHeight="1" spans="1:11">
      <c r="A47" t="s">
        <v>27</v>
      </c>
      <c r="B47" t="s">
        <v>72</v>
      </c>
      <c r="C47" t="s">
        <v>9</v>
      </c>
      <c r="D47" t="s">
        <v>32</v>
      </c>
      <c r="E47">
        <v>856.7</v>
      </c>
      <c r="F47">
        <v>2</v>
      </c>
      <c r="G47">
        <f t="shared" si="2"/>
        <v>1713.4</v>
      </c>
      <c r="H47">
        <v>0</v>
      </c>
      <c r="I47" s="5">
        <v>45449</v>
      </c>
      <c r="J47" s="5" t="str">
        <f t="shared" si="3"/>
        <v>Jun</v>
      </c>
      <c r="K47">
        <v>214.18</v>
      </c>
    </row>
    <row r="48" ht="15.75" customHeight="1" spans="1:11">
      <c r="A48" t="s">
        <v>64</v>
      </c>
      <c r="B48" t="s">
        <v>66</v>
      </c>
      <c r="C48" t="s">
        <v>9</v>
      </c>
      <c r="D48" t="s">
        <v>49</v>
      </c>
      <c r="E48">
        <v>1225.42</v>
      </c>
      <c r="F48">
        <v>8</v>
      </c>
      <c r="G48">
        <f t="shared" si="2"/>
        <v>9803.36</v>
      </c>
      <c r="H48">
        <v>0.15</v>
      </c>
      <c r="I48" s="5">
        <v>45449</v>
      </c>
      <c r="J48" s="5" t="str">
        <f t="shared" si="3"/>
        <v>Jun</v>
      </c>
      <c r="K48">
        <v>468.72</v>
      </c>
    </row>
    <row r="49" ht="15.75" customHeight="1" spans="1:11">
      <c r="A49" t="s">
        <v>73</v>
      </c>
      <c r="B49" t="s">
        <v>42</v>
      </c>
      <c r="C49" t="s">
        <v>35</v>
      </c>
      <c r="D49" t="s">
        <v>49</v>
      </c>
      <c r="E49">
        <v>1001.57</v>
      </c>
      <c r="F49">
        <v>12</v>
      </c>
      <c r="G49">
        <f t="shared" si="2"/>
        <v>12018.84</v>
      </c>
      <c r="H49">
        <v>0</v>
      </c>
      <c r="I49" s="5">
        <v>45450</v>
      </c>
      <c r="J49" s="5" t="str">
        <f t="shared" si="3"/>
        <v>Jun</v>
      </c>
      <c r="K49">
        <v>450.71</v>
      </c>
    </row>
    <row r="50" ht="15.75" customHeight="1" spans="1:11">
      <c r="A50" t="s">
        <v>67</v>
      </c>
      <c r="B50" t="s">
        <v>37</v>
      </c>
      <c r="C50" t="s">
        <v>29</v>
      </c>
      <c r="D50" t="s">
        <v>38</v>
      </c>
      <c r="E50">
        <v>1186.85</v>
      </c>
      <c r="F50">
        <v>19</v>
      </c>
      <c r="G50">
        <f t="shared" si="2"/>
        <v>22550.15</v>
      </c>
      <c r="H50">
        <v>0.2</v>
      </c>
      <c r="I50" s="5">
        <v>45451</v>
      </c>
      <c r="J50" s="5" t="str">
        <f t="shared" si="3"/>
        <v>Jun</v>
      </c>
      <c r="K50">
        <v>332.32</v>
      </c>
    </row>
    <row r="51" ht="15.75" customHeight="1" spans="1:11">
      <c r="A51" t="s">
        <v>54</v>
      </c>
      <c r="B51" t="s">
        <v>61</v>
      </c>
      <c r="C51" t="s">
        <v>31</v>
      </c>
      <c r="D51" t="s">
        <v>32</v>
      </c>
      <c r="E51">
        <v>775.45</v>
      </c>
      <c r="F51">
        <v>6</v>
      </c>
      <c r="G51">
        <f t="shared" si="2"/>
        <v>4652.7</v>
      </c>
      <c r="H51">
        <v>0.1</v>
      </c>
      <c r="I51" s="5">
        <v>45457</v>
      </c>
      <c r="J51" s="5" t="str">
        <f t="shared" si="3"/>
        <v>Jun</v>
      </c>
      <c r="K51">
        <v>174.48</v>
      </c>
    </row>
    <row r="52" ht="15.75" customHeight="1" spans="1:11">
      <c r="A52" t="s">
        <v>36</v>
      </c>
      <c r="B52" t="s">
        <v>44</v>
      </c>
      <c r="C52" t="s">
        <v>31</v>
      </c>
      <c r="D52" t="s">
        <v>32</v>
      </c>
      <c r="E52">
        <v>1021.47</v>
      </c>
      <c r="F52">
        <v>6</v>
      </c>
      <c r="G52">
        <f t="shared" si="2"/>
        <v>6128.82</v>
      </c>
      <c r="H52">
        <v>0.05</v>
      </c>
      <c r="I52" s="5">
        <v>45461</v>
      </c>
      <c r="J52" s="5" t="str">
        <f t="shared" si="3"/>
        <v>Jun</v>
      </c>
      <c r="K52">
        <v>242.6</v>
      </c>
    </row>
    <row r="53" ht="15.75" customHeight="1" spans="1:11">
      <c r="A53" t="s">
        <v>68</v>
      </c>
      <c r="B53" t="s">
        <v>34</v>
      </c>
      <c r="C53" t="s">
        <v>31</v>
      </c>
      <c r="D53" t="s">
        <v>26</v>
      </c>
      <c r="E53">
        <v>1226.62</v>
      </c>
      <c r="F53">
        <v>7</v>
      </c>
      <c r="G53">
        <f t="shared" si="2"/>
        <v>8586.34</v>
      </c>
      <c r="H53">
        <v>0.1</v>
      </c>
      <c r="I53" s="5">
        <v>45463</v>
      </c>
      <c r="J53" s="5" t="str">
        <f t="shared" si="3"/>
        <v>Jun</v>
      </c>
      <c r="K53">
        <v>551.98</v>
      </c>
    </row>
    <row r="54" ht="15.75" customHeight="1" spans="1:11">
      <c r="A54" t="s">
        <v>33</v>
      </c>
      <c r="B54" t="s">
        <v>74</v>
      </c>
      <c r="C54" t="s">
        <v>31</v>
      </c>
      <c r="D54" t="s">
        <v>38</v>
      </c>
      <c r="E54">
        <v>1086.93</v>
      </c>
      <c r="F54">
        <v>2</v>
      </c>
      <c r="G54">
        <f t="shared" si="2"/>
        <v>2173.86</v>
      </c>
      <c r="H54">
        <v>0</v>
      </c>
      <c r="I54" s="5">
        <v>45464</v>
      </c>
      <c r="J54" s="5" t="str">
        <f t="shared" si="3"/>
        <v>Jun</v>
      </c>
      <c r="K54">
        <v>380.43</v>
      </c>
    </row>
    <row r="55" ht="15.75" customHeight="1" spans="1:11">
      <c r="A55" t="s">
        <v>75</v>
      </c>
      <c r="B55" t="s">
        <v>58</v>
      </c>
      <c r="C55" t="s">
        <v>22</v>
      </c>
      <c r="D55" t="s">
        <v>23</v>
      </c>
      <c r="E55">
        <v>942.9</v>
      </c>
      <c r="F55">
        <v>18</v>
      </c>
      <c r="G55">
        <f t="shared" si="2"/>
        <v>16972.2</v>
      </c>
      <c r="H55">
        <v>0.1</v>
      </c>
      <c r="I55" s="5">
        <v>45466</v>
      </c>
      <c r="J55" s="5" t="str">
        <f t="shared" si="3"/>
        <v>Jun</v>
      </c>
      <c r="K55">
        <v>339.44</v>
      </c>
    </row>
    <row r="56" ht="15.75" customHeight="1" spans="1:11">
      <c r="A56" t="s">
        <v>43</v>
      </c>
      <c r="B56" t="s">
        <v>48</v>
      </c>
      <c r="C56" t="s">
        <v>35</v>
      </c>
      <c r="D56" t="s">
        <v>32</v>
      </c>
      <c r="E56">
        <v>818.8</v>
      </c>
      <c r="F56">
        <v>15</v>
      </c>
      <c r="G56">
        <f t="shared" si="2"/>
        <v>12282</v>
      </c>
      <c r="H56">
        <v>0.15</v>
      </c>
      <c r="I56" s="5">
        <v>45468</v>
      </c>
      <c r="J56" s="5" t="str">
        <f t="shared" si="3"/>
        <v>Jun</v>
      </c>
      <c r="K56">
        <v>173.99</v>
      </c>
    </row>
    <row r="57" ht="15.75" customHeight="1" spans="1:11">
      <c r="A57" t="s">
        <v>30</v>
      </c>
      <c r="B57" t="s">
        <v>25</v>
      </c>
      <c r="C57" t="s">
        <v>31</v>
      </c>
      <c r="D57" t="s">
        <v>38</v>
      </c>
      <c r="E57">
        <v>919.04</v>
      </c>
      <c r="F57">
        <v>10</v>
      </c>
      <c r="G57">
        <f t="shared" si="2"/>
        <v>9190.4</v>
      </c>
      <c r="H57">
        <v>0.2</v>
      </c>
      <c r="I57" s="5">
        <v>45468</v>
      </c>
      <c r="J57" s="5" t="str">
        <f t="shared" si="3"/>
        <v>Jun</v>
      </c>
      <c r="K57">
        <v>257.33</v>
      </c>
    </row>
    <row r="58" ht="15.75" customHeight="1" spans="1:11">
      <c r="A58" t="s">
        <v>33</v>
      </c>
      <c r="B58" t="s">
        <v>76</v>
      </c>
      <c r="C58" t="s">
        <v>9</v>
      </c>
      <c r="D58" t="s">
        <v>23</v>
      </c>
      <c r="E58">
        <v>973.26</v>
      </c>
      <c r="F58">
        <v>11</v>
      </c>
      <c r="G58">
        <f t="shared" si="2"/>
        <v>10705.86</v>
      </c>
      <c r="H58">
        <v>0</v>
      </c>
      <c r="I58" s="5">
        <v>45470</v>
      </c>
      <c r="J58" s="5" t="str">
        <f t="shared" si="3"/>
        <v>Jun</v>
      </c>
      <c r="K58">
        <v>389.3</v>
      </c>
    </row>
    <row r="59" ht="15.75" customHeight="1" spans="1:11">
      <c r="A59" t="s">
        <v>51</v>
      </c>
      <c r="B59" t="s">
        <v>74</v>
      </c>
      <c r="C59" t="s">
        <v>35</v>
      </c>
      <c r="D59" t="s">
        <v>32</v>
      </c>
      <c r="E59">
        <v>741.61</v>
      </c>
      <c r="F59">
        <v>1</v>
      </c>
      <c r="G59">
        <f t="shared" si="2"/>
        <v>741.61</v>
      </c>
      <c r="H59">
        <v>0.2</v>
      </c>
      <c r="I59" s="5">
        <v>45471</v>
      </c>
      <c r="J59" s="5" t="str">
        <f t="shared" si="3"/>
        <v>Jun</v>
      </c>
      <c r="K59">
        <v>148.32</v>
      </c>
    </row>
    <row r="60" ht="15.75" customHeight="1" spans="1:11">
      <c r="A60" t="s">
        <v>77</v>
      </c>
      <c r="B60" t="s">
        <v>48</v>
      </c>
      <c r="C60" t="s">
        <v>35</v>
      </c>
      <c r="D60" t="s">
        <v>23</v>
      </c>
      <c r="E60">
        <v>1248.82</v>
      </c>
      <c r="F60">
        <v>2</v>
      </c>
      <c r="G60">
        <f t="shared" si="2"/>
        <v>2497.64</v>
      </c>
      <c r="H60">
        <v>0.1</v>
      </c>
      <c r="I60" s="5">
        <v>45473</v>
      </c>
      <c r="J60" s="5" t="str">
        <f t="shared" si="3"/>
        <v>Jun</v>
      </c>
      <c r="K60">
        <v>449.58</v>
      </c>
    </row>
    <row r="61" ht="15.75" customHeight="1" spans="1:11">
      <c r="A61" t="s">
        <v>24</v>
      </c>
      <c r="B61" t="s">
        <v>69</v>
      </c>
      <c r="C61" t="s">
        <v>22</v>
      </c>
      <c r="D61" t="s">
        <v>26</v>
      </c>
      <c r="E61">
        <v>1360.36</v>
      </c>
      <c r="F61">
        <v>17</v>
      </c>
      <c r="G61">
        <f t="shared" si="2"/>
        <v>23126.12</v>
      </c>
      <c r="H61">
        <v>0</v>
      </c>
      <c r="I61" s="5">
        <v>45473</v>
      </c>
      <c r="J61" s="5" t="str">
        <f t="shared" si="3"/>
        <v>Jun</v>
      </c>
      <c r="K61">
        <v>680.18</v>
      </c>
    </row>
    <row r="62" ht="15.75" customHeight="1" spans="1:11">
      <c r="A62" t="s">
        <v>67</v>
      </c>
      <c r="B62" t="s">
        <v>42</v>
      </c>
      <c r="C62" t="s">
        <v>29</v>
      </c>
      <c r="D62" t="s">
        <v>23</v>
      </c>
      <c r="E62">
        <v>1383.3</v>
      </c>
      <c r="F62">
        <v>8</v>
      </c>
      <c r="G62">
        <f t="shared" si="2"/>
        <v>11066.4</v>
      </c>
      <c r="H62">
        <v>0.1</v>
      </c>
      <c r="I62" s="5">
        <v>45478</v>
      </c>
      <c r="J62" s="5" t="str">
        <f t="shared" si="3"/>
        <v>Jul</v>
      </c>
      <c r="K62">
        <v>497.99</v>
      </c>
    </row>
    <row r="63" ht="15.75" customHeight="1" spans="1:11">
      <c r="A63" t="s">
        <v>45</v>
      </c>
      <c r="B63" t="s">
        <v>65</v>
      </c>
      <c r="C63" t="s">
        <v>9</v>
      </c>
      <c r="D63" t="s">
        <v>49</v>
      </c>
      <c r="E63">
        <v>488.99</v>
      </c>
      <c r="F63">
        <v>9</v>
      </c>
      <c r="G63">
        <f t="shared" si="2"/>
        <v>4400.91</v>
      </c>
      <c r="H63">
        <v>0</v>
      </c>
      <c r="I63" s="5">
        <v>45479</v>
      </c>
      <c r="J63" s="5" t="str">
        <f t="shared" si="3"/>
        <v>Jul</v>
      </c>
      <c r="K63">
        <v>220.05</v>
      </c>
    </row>
    <row r="64" ht="15.75" customHeight="1" spans="1:11">
      <c r="A64" t="s">
        <v>41</v>
      </c>
      <c r="B64" t="s">
        <v>42</v>
      </c>
      <c r="C64" t="s">
        <v>29</v>
      </c>
      <c r="D64" t="s">
        <v>38</v>
      </c>
      <c r="E64">
        <v>933.71</v>
      </c>
      <c r="F64">
        <v>17</v>
      </c>
      <c r="G64">
        <f t="shared" si="2"/>
        <v>15873.07</v>
      </c>
      <c r="H64">
        <v>0.1</v>
      </c>
      <c r="I64" s="5">
        <v>45481</v>
      </c>
      <c r="J64" s="5" t="str">
        <f t="shared" si="3"/>
        <v>Jul</v>
      </c>
      <c r="K64">
        <v>294.12</v>
      </c>
    </row>
    <row r="65" ht="15.75" customHeight="1" spans="1:11">
      <c r="A65" t="s">
        <v>77</v>
      </c>
      <c r="B65" t="s">
        <v>21</v>
      </c>
      <c r="C65" t="s">
        <v>22</v>
      </c>
      <c r="D65" t="s">
        <v>32</v>
      </c>
      <c r="E65">
        <v>1005.53</v>
      </c>
      <c r="F65">
        <v>17</v>
      </c>
      <c r="G65">
        <f t="shared" si="2"/>
        <v>17094.01</v>
      </c>
      <c r="H65">
        <v>0.2</v>
      </c>
      <c r="I65" s="5">
        <v>45481</v>
      </c>
      <c r="J65" s="5" t="str">
        <f t="shared" si="3"/>
        <v>Jul</v>
      </c>
      <c r="K65">
        <v>201.11</v>
      </c>
    </row>
    <row r="66" ht="15.75" customHeight="1" spans="1:11">
      <c r="A66" t="s">
        <v>51</v>
      </c>
      <c r="B66" t="s">
        <v>71</v>
      </c>
      <c r="C66" t="s">
        <v>31</v>
      </c>
      <c r="D66" t="s">
        <v>32</v>
      </c>
      <c r="E66">
        <v>1100.1</v>
      </c>
      <c r="F66">
        <v>5</v>
      </c>
      <c r="G66">
        <f t="shared" si="2"/>
        <v>5500.5</v>
      </c>
      <c r="H66">
        <v>0.05</v>
      </c>
      <c r="I66" s="5">
        <v>45482</v>
      </c>
      <c r="J66" s="5" t="str">
        <f t="shared" si="3"/>
        <v>Jul</v>
      </c>
      <c r="K66">
        <v>261.27</v>
      </c>
    </row>
    <row r="67" ht="15.75" customHeight="1" spans="1:11">
      <c r="A67" t="s">
        <v>77</v>
      </c>
      <c r="B67" t="s">
        <v>34</v>
      </c>
      <c r="C67" t="s">
        <v>35</v>
      </c>
      <c r="D67" t="s">
        <v>38</v>
      </c>
      <c r="E67">
        <v>1034.7</v>
      </c>
      <c r="F67">
        <v>15</v>
      </c>
      <c r="G67">
        <f t="shared" ref="G67:G98" si="4">E67*F67</f>
        <v>15520.5</v>
      </c>
      <c r="H67">
        <v>0.15</v>
      </c>
      <c r="I67" s="5">
        <v>45487</v>
      </c>
      <c r="J67" s="5" t="str">
        <f t="shared" ref="J67:J98" si="5">TEXT(I67,"mmm")</f>
        <v>Jul</v>
      </c>
      <c r="K67">
        <v>307.82</v>
      </c>
    </row>
    <row r="68" ht="15.75" customHeight="1" spans="1:11">
      <c r="A68" t="s">
        <v>75</v>
      </c>
      <c r="B68" t="s">
        <v>42</v>
      </c>
      <c r="C68" t="s">
        <v>31</v>
      </c>
      <c r="D68" t="s">
        <v>23</v>
      </c>
      <c r="E68">
        <v>876.44</v>
      </c>
      <c r="F68">
        <v>12</v>
      </c>
      <c r="G68">
        <f t="shared" si="4"/>
        <v>10517.28</v>
      </c>
      <c r="H68">
        <v>0.05</v>
      </c>
      <c r="I68" s="5">
        <v>45488</v>
      </c>
      <c r="J68" s="5" t="str">
        <f t="shared" si="5"/>
        <v>Jul</v>
      </c>
      <c r="K68">
        <v>333.05</v>
      </c>
    </row>
    <row r="69" ht="15.75" customHeight="1" spans="1:11">
      <c r="A69" t="s">
        <v>78</v>
      </c>
      <c r="B69" t="s">
        <v>65</v>
      </c>
      <c r="C69" t="s">
        <v>22</v>
      </c>
      <c r="D69" t="s">
        <v>38</v>
      </c>
      <c r="E69">
        <v>1371.34</v>
      </c>
      <c r="F69">
        <v>5</v>
      </c>
      <c r="G69">
        <f t="shared" si="4"/>
        <v>6856.7</v>
      </c>
      <c r="H69">
        <v>0.05</v>
      </c>
      <c r="I69" s="5">
        <v>45488</v>
      </c>
      <c r="J69" s="5" t="str">
        <f t="shared" si="5"/>
        <v>Jul</v>
      </c>
      <c r="K69">
        <v>455.97</v>
      </c>
    </row>
    <row r="70" ht="15.75" customHeight="1" spans="1:11">
      <c r="A70" t="s">
        <v>67</v>
      </c>
      <c r="B70" t="s">
        <v>57</v>
      </c>
      <c r="C70" t="s">
        <v>35</v>
      </c>
      <c r="D70" t="s">
        <v>32</v>
      </c>
      <c r="E70">
        <v>1020.26</v>
      </c>
      <c r="F70">
        <v>11</v>
      </c>
      <c r="G70">
        <f t="shared" si="4"/>
        <v>11222.86</v>
      </c>
      <c r="H70">
        <v>0.05</v>
      </c>
      <c r="I70" s="5">
        <v>45494</v>
      </c>
      <c r="J70" s="5" t="str">
        <f t="shared" si="5"/>
        <v>Jul</v>
      </c>
      <c r="K70">
        <v>242.31</v>
      </c>
    </row>
    <row r="71" ht="15.75" customHeight="1" spans="1:11">
      <c r="A71" t="s">
        <v>54</v>
      </c>
      <c r="B71" t="s">
        <v>21</v>
      </c>
      <c r="C71" t="s">
        <v>9</v>
      </c>
      <c r="D71" t="s">
        <v>49</v>
      </c>
      <c r="E71">
        <v>804.81</v>
      </c>
      <c r="F71">
        <v>1</v>
      </c>
      <c r="G71">
        <f t="shared" si="4"/>
        <v>804.81</v>
      </c>
      <c r="H71">
        <v>0.05</v>
      </c>
      <c r="I71" s="5">
        <v>45502</v>
      </c>
      <c r="J71" s="5" t="str">
        <f t="shared" si="5"/>
        <v>Jul</v>
      </c>
      <c r="K71">
        <v>344.06</v>
      </c>
    </row>
    <row r="72" ht="15.75" customHeight="1" spans="1:11">
      <c r="A72" t="s">
        <v>33</v>
      </c>
      <c r="B72" t="s">
        <v>65</v>
      </c>
      <c r="C72" t="s">
        <v>9</v>
      </c>
      <c r="D72" t="s">
        <v>32</v>
      </c>
      <c r="E72">
        <v>608.66</v>
      </c>
      <c r="F72">
        <v>1</v>
      </c>
      <c r="G72">
        <f t="shared" si="4"/>
        <v>608.66</v>
      </c>
      <c r="H72">
        <v>0.05</v>
      </c>
      <c r="I72" s="5">
        <v>45503</v>
      </c>
      <c r="J72" s="5" t="str">
        <f t="shared" si="5"/>
        <v>Jul</v>
      </c>
      <c r="K72">
        <v>144.56</v>
      </c>
    </row>
    <row r="73" ht="15.75" customHeight="1" spans="1:11">
      <c r="A73" t="s">
        <v>78</v>
      </c>
      <c r="B73" t="s">
        <v>79</v>
      </c>
      <c r="C73" t="s">
        <v>31</v>
      </c>
      <c r="D73" t="s">
        <v>49</v>
      </c>
      <c r="E73">
        <v>981.2</v>
      </c>
      <c r="F73">
        <v>19</v>
      </c>
      <c r="G73">
        <f t="shared" si="4"/>
        <v>18642.8</v>
      </c>
      <c r="H73">
        <v>0</v>
      </c>
      <c r="I73" s="5">
        <v>45504</v>
      </c>
      <c r="J73" s="5" t="str">
        <f t="shared" si="5"/>
        <v>Jul</v>
      </c>
      <c r="K73">
        <v>441.54</v>
      </c>
    </row>
    <row r="74" ht="15.75" customHeight="1" spans="1:11">
      <c r="A74" t="s">
        <v>80</v>
      </c>
      <c r="B74" t="s">
        <v>65</v>
      </c>
      <c r="C74" t="s">
        <v>29</v>
      </c>
      <c r="D74" t="s">
        <v>32</v>
      </c>
      <c r="E74">
        <v>539.77</v>
      </c>
      <c r="F74">
        <v>10</v>
      </c>
      <c r="G74">
        <f t="shared" si="4"/>
        <v>5397.7</v>
      </c>
      <c r="H74">
        <v>0.15</v>
      </c>
      <c r="I74" s="5">
        <v>45509</v>
      </c>
      <c r="J74" s="5" t="str">
        <f t="shared" si="5"/>
        <v>Aug</v>
      </c>
      <c r="K74">
        <v>114.7</v>
      </c>
    </row>
    <row r="75" ht="15.75" customHeight="1" spans="1:11">
      <c r="A75" t="s">
        <v>24</v>
      </c>
      <c r="B75" t="s">
        <v>81</v>
      </c>
      <c r="C75" t="s">
        <v>31</v>
      </c>
      <c r="D75" t="s">
        <v>23</v>
      </c>
      <c r="E75">
        <v>804.45</v>
      </c>
      <c r="F75">
        <v>5</v>
      </c>
      <c r="G75">
        <f t="shared" si="4"/>
        <v>4022.25</v>
      </c>
      <c r="H75">
        <v>0.2</v>
      </c>
      <c r="I75" s="5">
        <v>45509</v>
      </c>
      <c r="J75" s="5" t="str">
        <f t="shared" si="5"/>
        <v>Aug</v>
      </c>
      <c r="K75">
        <v>257.42</v>
      </c>
    </row>
    <row r="76" ht="15.75" customHeight="1" spans="1:11">
      <c r="A76" t="s">
        <v>80</v>
      </c>
      <c r="B76" t="s">
        <v>48</v>
      </c>
      <c r="C76" t="s">
        <v>22</v>
      </c>
      <c r="D76" t="s">
        <v>32</v>
      </c>
      <c r="E76">
        <v>1526.6</v>
      </c>
      <c r="F76">
        <v>13</v>
      </c>
      <c r="G76">
        <f t="shared" si="4"/>
        <v>19845.8</v>
      </c>
      <c r="H76">
        <v>0.2</v>
      </c>
      <c r="I76" s="5">
        <v>45512</v>
      </c>
      <c r="J76" s="5" t="str">
        <f t="shared" si="5"/>
        <v>Aug</v>
      </c>
      <c r="K76">
        <v>305.32</v>
      </c>
    </row>
    <row r="77" ht="15.75" customHeight="1" spans="1:11">
      <c r="A77" t="s">
        <v>24</v>
      </c>
      <c r="B77" t="s">
        <v>40</v>
      </c>
      <c r="C77" t="s">
        <v>22</v>
      </c>
      <c r="D77" t="s">
        <v>32</v>
      </c>
      <c r="E77">
        <v>1215.26</v>
      </c>
      <c r="F77">
        <v>5</v>
      </c>
      <c r="G77">
        <f t="shared" si="4"/>
        <v>6076.3</v>
      </c>
      <c r="H77">
        <v>0.15</v>
      </c>
      <c r="I77" s="5">
        <v>45513</v>
      </c>
      <c r="J77" s="5" t="str">
        <f t="shared" si="5"/>
        <v>Aug</v>
      </c>
      <c r="K77">
        <v>258.24</v>
      </c>
    </row>
    <row r="78" ht="15.75" customHeight="1" spans="1:11">
      <c r="A78" t="s">
        <v>30</v>
      </c>
      <c r="B78" t="s">
        <v>63</v>
      </c>
      <c r="C78" t="s">
        <v>9</v>
      </c>
      <c r="D78" t="s">
        <v>38</v>
      </c>
      <c r="E78">
        <v>1261.34</v>
      </c>
      <c r="F78">
        <v>3</v>
      </c>
      <c r="G78">
        <f t="shared" si="4"/>
        <v>3784.02</v>
      </c>
      <c r="H78">
        <v>0</v>
      </c>
      <c r="I78" s="5">
        <v>45519</v>
      </c>
      <c r="J78" s="5" t="str">
        <f t="shared" si="5"/>
        <v>Aug</v>
      </c>
      <c r="K78">
        <v>441.47</v>
      </c>
    </row>
    <row r="79" ht="15.75" customHeight="1" spans="1:11">
      <c r="A79" t="s">
        <v>82</v>
      </c>
      <c r="B79" t="s">
        <v>55</v>
      </c>
      <c r="C79" t="s">
        <v>35</v>
      </c>
      <c r="D79" t="s">
        <v>38</v>
      </c>
      <c r="E79">
        <v>518.07</v>
      </c>
      <c r="F79">
        <v>7</v>
      </c>
      <c r="G79">
        <f t="shared" si="4"/>
        <v>3626.49</v>
      </c>
      <c r="H79">
        <v>0.05</v>
      </c>
      <c r="I79" s="5">
        <v>45522</v>
      </c>
      <c r="J79" s="5" t="str">
        <f t="shared" si="5"/>
        <v>Aug</v>
      </c>
      <c r="K79">
        <v>172.26</v>
      </c>
    </row>
    <row r="80" ht="15.75" customHeight="1" spans="1:11">
      <c r="A80" t="s">
        <v>41</v>
      </c>
      <c r="B80" t="s">
        <v>40</v>
      </c>
      <c r="C80" t="s">
        <v>22</v>
      </c>
      <c r="D80" t="s">
        <v>49</v>
      </c>
      <c r="E80">
        <v>1111.34</v>
      </c>
      <c r="F80">
        <v>1</v>
      </c>
      <c r="G80">
        <f t="shared" si="4"/>
        <v>1111.34</v>
      </c>
      <c r="H80">
        <v>0</v>
      </c>
      <c r="I80" s="5">
        <v>45523</v>
      </c>
      <c r="J80" s="5" t="str">
        <f t="shared" si="5"/>
        <v>Aug</v>
      </c>
      <c r="K80">
        <v>500.1</v>
      </c>
    </row>
    <row r="81" ht="15.75" customHeight="1" spans="1:11">
      <c r="A81" t="s">
        <v>33</v>
      </c>
      <c r="B81" t="s">
        <v>42</v>
      </c>
      <c r="C81" t="s">
        <v>29</v>
      </c>
      <c r="D81" t="s">
        <v>26</v>
      </c>
      <c r="E81">
        <v>1291.47</v>
      </c>
      <c r="F81">
        <v>18</v>
      </c>
      <c r="G81">
        <f t="shared" si="4"/>
        <v>23246.46</v>
      </c>
      <c r="H81">
        <v>0.1</v>
      </c>
      <c r="I81" s="5">
        <v>45526</v>
      </c>
      <c r="J81" s="5" t="str">
        <f t="shared" si="5"/>
        <v>Aug</v>
      </c>
      <c r="K81">
        <v>581.16</v>
      </c>
    </row>
    <row r="82" ht="15.75" customHeight="1" spans="1:11">
      <c r="A82" t="s">
        <v>36</v>
      </c>
      <c r="B82" t="s">
        <v>65</v>
      </c>
      <c r="C82" t="s">
        <v>35</v>
      </c>
      <c r="D82" t="s">
        <v>23</v>
      </c>
      <c r="E82">
        <v>679.71</v>
      </c>
      <c r="F82">
        <v>19</v>
      </c>
      <c r="G82">
        <f t="shared" si="4"/>
        <v>12914.49</v>
      </c>
      <c r="H82">
        <v>0</v>
      </c>
      <c r="I82" s="5">
        <v>45534</v>
      </c>
      <c r="J82" s="5" t="str">
        <f t="shared" si="5"/>
        <v>Aug</v>
      </c>
      <c r="K82">
        <v>271.88</v>
      </c>
    </row>
    <row r="83" ht="15.75" customHeight="1" spans="1:11">
      <c r="A83" t="s">
        <v>78</v>
      </c>
      <c r="B83" t="s">
        <v>44</v>
      </c>
      <c r="C83" t="s">
        <v>29</v>
      </c>
      <c r="D83" t="s">
        <v>38</v>
      </c>
      <c r="E83">
        <v>1143.69</v>
      </c>
      <c r="F83">
        <v>17</v>
      </c>
      <c r="G83">
        <f t="shared" si="4"/>
        <v>19442.73</v>
      </c>
      <c r="H83">
        <v>0</v>
      </c>
      <c r="I83" s="5">
        <v>45534</v>
      </c>
      <c r="J83" s="5" t="str">
        <f t="shared" si="5"/>
        <v>Aug</v>
      </c>
      <c r="K83">
        <v>400.29</v>
      </c>
    </row>
    <row r="84" ht="15.75" customHeight="1" spans="1:11">
      <c r="A84" t="s">
        <v>62</v>
      </c>
      <c r="B84" t="s">
        <v>60</v>
      </c>
      <c r="C84" t="s">
        <v>9</v>
      </c>
      <c r="D84" t="s">
        <v>32</v>
      </c>
      <c r="E84">
        <v>790.08</v>
      </c>
      <c r="F84">
        <v>7</v>
      </c>
      <c r="G84">
        <f t="shared" si="4"/>
        <v>5530.56</v>
      </c>
      <c r="H84">
        <v>0.1</v>
      </c>
      <c r="I84" s="5">
        <v>45536</v>
      </c>
      <c r="J84" s="5" t="str">
        <f t="shared" si="5"/>
        <v>Sep</v>
      </c>
      <c r="K84">
        <v>177.77</v>
      </c>
    </row>
    <row r="85" ht="15.75" customHeight="1" spans="1:11">
      <c r="A85" t="s">
        <v>30</v>
      </c>
      <c r="B85" t="s">
        <v>58</v>
      </c>
      <c r="C85" t="s">
        <v>9</v>
      </c>
      <c r="D85" t="s">
        <v>23</v>
      </c>
      <c r="E85">
        <v>1070.68</v>
      </c>
      <c r="F85">
        <v>7</v>
      </c>
      <c r="G85">
        <f t="shared" si="4"/>
        <v>7494.76</v>
      </c>
      <c r="H85">
        <v>0.05</v>
      </c>
      <c r="I85" s="5">
        <v>45536</v>
      </c>
      <c r="J85" s="5" t="str">
        <f t="shared" si="5"/>
        <v>Sep</v>
      </c>
      <c r="K85">
        <v>406.86</v>
      </c>
    </row>
    <row r="86" ht="15.75" customHeight="1" spans="1:11">
      <c r="A86" t="s">
        <v>68</v>
      </c>
      <c r="B86" t="s">
        <v>46</v>
      </c>
      <c r="C86" t="s">
        <v>22</v>
      </c>
      <c r="D86" t="s">
        <v>26</v>
      </c>
      <c r="E86">
        <v>1168.89</v>
      </c>
      <c r="F86">
        <v>4</v>
      </c>
      <c r="G86">
        <f t="shared" si="4"/>
        <v>4675.56</v>
      </c>
      <c r="H86">
        <v>0.1</v>
      </c>
      <c r="I86" s="5">
        <v>45544</v>
      </c>
      <c r="J86" s="5" t="str">
        <f t="shared" si="5"/>
        <v>Sep</v>
      </c>
      <c r="K86">
        <v>526</v>
      </c>
    </row>
    <row r="87" ht="15.75" customHeight="1" spans="1:11">
      <c r="A87" t="s">
        <v>77</v>
      </c>
      <c r="B87" t="s">
        <v>21</v>
      </c>
      <c r="C87" t="s">
        <v>31</v>
      </c>
      <c r="D87" t="s">
        <v>32</v>
      </c>
      <c r="E87">
        <v>1335.87</v>
      </c>
      <c r="F87">
        <v>17</v>
      </c>
      <c r="G87">
        <f t="shared" si="4"/>
        <v>22709.79</v>
      </c>
      <c r="H87">
        <v>0</v>
      </c>
      <c r="I87" s="5">
        <v>45544</v>
      </c>
      <c r="J87" s="5" t="str">
        <f t="shared" si="5"/>
        <v>Sep</v>
      </c>
      <c r="K87">
        <v>333.97</v>
      </c>
    </row>
    <row r="88" ht="15.75" customHeight="1" spans="1:11">
      <c r="A88" t="s">
        <v>50</v>
      </c>
      <c r="B88" t="s">
        <v>65</v>
      </c>
      <c r="C88" t="s">
        <v>29</v>
      </c>
      <c r="D88" t="s">
        <v>38</v>
      </c>
      <c r="E88">
        <v>873.7</v>
      </c>
      <c r="F88">
        <v>9</v>
      </c>
      <c r="G88">
        <f t="shared" si="4"/>
        <v>7863.3</v>
      </c>
      <c r="H88">
        <v>0</v>
      </c>
      <c r="I88" s="5">
        <v>45546</v>
      </c>
      <c r="J88" s="5" t="str">
        <f t="shared" si="5"/>
        <v>Sep</v>
      </c>
      <c r="K88">
        <v>305.8</v>
      </c>
    </row>
    <row r="89" ht="15.75" customHeight="1" spans="1:11">
      <c r="A89" t="s">
        <v>82</v>
      </c>
      <c r="B89" t="s">
        <v>74</v>
      </c>
      <c r="C89" t="s">
        <v>22</v>
      </c>
      <c r="D89" t="s">
        <v>49</v>
      </c>
      <c r="E89">
        <v>1443.98</v>
      </c>
      <c r="F89">
        <v>19</v>
      </c>
      <c r="G89">
        <f t="shared" si="4"/>
        <v>27435.62</v>
      </c>
      <c r="H89">
        <v>0</v>
      </c>
      <c r="I89" s="5">
        <v>45547</v>
      </c>
      <c r="J89" s="5" t="str">
        <f t="shared" si="5"/>
        <v>Sep</v>
      </c>
      <c r="K89">
        <v>649.79</v>
      </c>
    </row>
    <row r="90" ht="15.75" customHeight="1" spans="1:11">
      <c r="A90" t="s">
        <v>50</v>
      </c>
      <c r="B90" t="s">
        <v>34</v>
      </c>
      <c r="C90" t="s">
        <v>29</v>
      </c>
      <c r="D90" t="s">
        <v>49</v>
      </c>
      <c r="E90">
        <v>1154.33</v>
      </c>
      <c r="F90">
        <v>11</v>
      </c>
      <c r="G90">
        <f t="shared" si="4"/>
        <v>12697.63</v>
      </c>
      <c r="H90">
        <v>0.15</v>
      </c>
      <c r="I90" s="5">
        <v>45549</v>
      </c>
      <c r="J90" s="5" t="str">
        <f t="shared" si="5"/>
        <v>Sep</v>
      </c>
      <c r="K90">
        <v>441.53</v>
      </c>
    </row>
    <row r="91" ht="15.75" customHeight="1" spans="1:11">
      <c r="A91" t="s">
        <v>59</v>
      </c>
      <c r="B91" t="s">
        <v>60</v>
      </c>
      <c r="C91" t="s">
        <v>31</v>
      </c>
      <c r="D91" t="s">
        <v>23</v>
      </c>
      <c r="E91">
        <v>1264.49</v>
      </c>
      <c r="F91">
        <v>16</v>
      </c>
      <c r="G91">
        <f t="shared" si="4"/>
        <v>20231.84</v>
      </c>
      <c r="H91">
        <v>0.05</v>
      </c>
      <c r="I91" s="5">
        <v>45549</v>
      </c>
      <c r="J91" s="5" t="str">
        <f t="shared" si="5"/>
        <v>Sep</v>
      </c>
      <c r="K91">
        <v>480.51</v>
      </c>
    </row>
    <row r="92" ht="15.75" customHeight="1" spans="1:11">
      <c r="A92" t="s">
        <v>36</v>
      </c>
      <c r="B92" t="s">
        <v>76</v>
      </c>
      <c r="C92" t="s">
        <v>22</v>
      </c>
      <c r="D92" t="s">
        <v>38</v>
      </c>
      <c r="E92">
        <v>1101.55</v>
      </c>
      <c r="F92">
        <v>4</v>
      </c>
      <c r="G92">
        <f t="shared" si="4"/>
        <v>4406.2</v>
      </c>
      <c r="H92">
        <v>0.1</v>
      </c>
      <c r="I92" s="5">
        <v>45551</v>
      </c>
      <c r="J92" s="5" t="str">
        <f t="shared" si="5"/>
        <v>Sep</v>
      </c>
      <c r="K92">
        <v>346.99</v>
      </c>
    </row>
    <row r="93" ht="15.75" customHeight="1" spans="1:11">
      <c r="A93" t="s">
        <v>83</v>
      </c>
      <c r="B93" t="s">
        <v>25</v>
      </c>
      <c r="C93" t="s">
        <v>31</v>
      </c>
      <c r="D93" t="s">
        <v>38</v>
      </c>
      <c r="E93">
        <v>727.73</v>
      </c>
      <c r="F93">
        <v>1</v>
      </c>
      <c r="G93">
        <f t="shared" si="4"/>
        <v>727.73</v>
      </c>
      <c r="H93">
        <v>0.1</v>
      </c>
      <c r="I93" s="5">
        <v>45552</v>
      </c>
      <c r="J93" s="5" t="str">
        <f t="shared" si="5"/>
        <v>Sep</v>
      </c>
      <c r="K93">
        <v>229.23</v>
      </c>
    </row>
    <row r="94" ht="15.75" customHeight="1" spans="1:11">
      <c r="A94" t="s">
        <v>84</v>
      </c>
      <c r="B94" t="s">
        <v>48</v>
      </c>
      <c r="C94" t="s">
        <v>29</v>
      </c>
      <c r="D94" t="s">
        <v>49</v>
      </c>
      <c r="E94">
        <v>875.41</v>
      </c>
      <c r="F94">
        <v>13</v>
      </c>
      <c r="G94">
        <f t="shared" si="4"/>
        <v>11380.33</v>
      </c>
      <c r="H94">
        <v>0.15</v>
      </c>
      <c r="I94" s="5">
        <v>45552</v>
      </c>
      <c r="J94" s="5" t="str">
        <f t="shared" si="5"/>
        <v>Sep</v>
      </c>
      <c r="K94">
        <v>334.84</v>
      </c>
    </row>
    <row r="95" ht="15.75" customHeight="1" spans="1:11">
      <c r="A95" t="s">
        <v>77</v>
      </c>
      <c r="B95" t="s">
        <v>34</v>
      </c>
      <c r="C95" t="s">
        <v>22</v>
      </c>
      <c r="D95" t="s">
        <v>32</v>
      </c>
      <c r="E95">
        <v>1158.94</v>
      </c>
      <c r="F95">
        <v>19</v>
      </c>
      <c r="G95">
        <f t="shared" si="4"/>
        <v>22019.86</v>
      </c>
      <c r="H95">
        <v>0.2</v>
      </c>
      <c r="I95" s="5">
        <v>45553</v>
      </c>
      <c r="J95" s="5" t="str">
        <f t="shared" si="5"/>
        <v>Sep</v>
      </c>
      <c r="K95">
        <v>231.79</v>
      </c>
    </row>
    <row r="96" ht="15.75" customHeight="1" spans="1:11">
      <c r="A96" t="s">
        <v>85</v>
      </c>
      <c r="B96" t="s">
        <v>57</v>
      </c>
      <c r="C96" t="s">
        <v>31</v>
      </c>
      <c r="D96" t="s">
        <v>23</v>
      </c>
      <c r="E96">
        <v>966.3</v>
      </c>
      <c r="F96">
        <v>2</v>
      </c>
      <c r="G96">
        <f t="shared" si="4"/>
        <v>1932.6</v>
      </c>
      <c r="H96">
        <v>0.15</v>
      </c>
      <c r="I96" s="5">
        <v>45557</v>
      </c>
      <c r="J96" s="5" t="str">
        <f t="shared" si="5"/>
        <v>Sep</v>
      </c>
      <c r="K96">
        <v>328.54</v>
      </c>
    </row>
    <row r="97" ht="15.75" customHeight="1" spans="1:11">
      <c r="A97" t="s">
        <v>78</v>
      </c>
      <c r="B97" t="s">
        <v>28</v>
      </c>
      <c r="C97" t="s">
        <v>31</v>
      </c>
      <c r="D97" t="s">
        <v>23</v>
      </c>
      <c r="E97">
        <v>917.48</v>
      </c>
      <c r="F97">
        <v>6</v>
      </c>
      <c r="G97">
        <f t="shared" si="4"/>
        <v>5504.88</v>
      </c>
      <c r="H97">
        <v>0</v>
      </c>
      <c r="I97" s="5">
        <v>45558</v>
      </c>
      <c r="J97" s="5" t="str">
        <f t="shared" si="5"/>
        <v>Sep</v>
      </c>
      <c r="K97">
        <v>366.99</v>
      </c>
    </row>
    <row r="98" ht="15.75" customHeight="1" spans="1:11">
      <c r="A98" t="s">
        <v>51</v>
      </c>
      <c r="B98" t="s">
        <v>71</v>
      </c>
      <c r="C98" t="s">
        <v>22</v>
      </c>
      <c r="D98" t="s">
        <v>38</v>
      </c>
      <c r="E98">
        <v>1172.97</v>
      </c>
      <c r="F98">
        <v>7</v>
      </c>
      <c r="G98">
        <f t="shared" si="4"/>
        <v>8210.79</v>
      </c>
      <c r="H98">
        <v>0.15</v>
      </c>
      <c r="I98" s="5">
        <v>45559</v>
      </c>
      <c r="J98" s="5" t="str">
        <f t="shared" si="5"/>
        <v>Sep</v>
      </c>
      <c r="K98">
        <v>348.96</v>
      </c>
    </row>
    <row r="99" ht="15.75" customHeight="1" spans="1:11">
      <c r="A99" t="s">
        <v>67</v>
      </c>
      <c r="B99" t="s">
        <v>34</v>
      </c>
      <c r="C99" t="s">
        <v>35</v>
      </c>
      <c r="D99" t="s">
        <v>26</v>
      </c>
      <c r="E99">
        <v>1205.82</v>
      </c>
      <c r="F99">
        <v>11</v>
      </c>
      <c r="G99">
        <f t="shared" ref="G99:G130" si="6">E99*F99</f>
        <v>13264.02</v>
      </c>
      <c r="H99">
        <v>0.1</v>
      </c>
      <c r="I99" s="5">
        <v>45559</v>
      </c>
      <c r="J99" s="5" t="str">
        <f t="shared" ref="J99:J130" si="7">TEXT(I99,"mmm")</f>
        <v>Sep</v>
      </c>
      <c r="K99">
        <v>542.62</v>
      </c>
    </row>
    <row r="100" ht="15.75" customHeight="1" spans="1:11">
      <c r="A100" t="s">
        <v>27</v>
      </c>
      <c r="B100" t="s">
        <v>74</v>
      </c>
      <c r="C100" t="s">
        <v>22</v>
      </c>
      <c r="D100" t="s">
        <v>49</v>
      </c>
      <c r="E100">
        <v>826.93</v>
      </c>
      <c r="F100">
        <v>10</v>
      </c>
      <c r="G100">
        <f t="shared" si="6"/>
        <v>8269.3</v>
      </c>
      <c r="H100">
        <v>0.2</v>
      </c>
      <c r="I100" s="5">
        <v>45564</v>
      </c>
      <c r="J100" s="5" t="str">
        <f t="shared" si="7"/>
        <v>Sep</v>
      </c>
      <c r="K100">
        <v>297.69</v>
      </c>
    </row>
    <row r="101" ht="15.75" customHeight="1" spans="1:11">
      <c r="A101" t="s">
        <v>77</v>
      </c>
      <c r="B101" t="s">
        <v>34</v>
      </c>
      <c r="C101" t="s">
        <v>9</v>
      </c>
      <c r="D101" t="s">
        <v>26</v>
      </c>
      <c r="E101">
        <v>902.19</v>
      </c>
      <c r="F101">
        <v>12</v>
      </c>
      <c r="G101">
        <f t="shared" si="6"/>
        <v>10826.28</v>
      </c>
      <c r="H101">
        <v>0</v>
      </c>
      <c r="I101" s="5">
        <v>45564</v>
      </c>
      <c r="J101" s="5" t="str">
        <f t="shared" si="7"/>
        <v>Sep</v>
      </c>
      <c r="K101">
        <v>451.1</v>
      </c>
    </row>
    <row r="102" ht="15.75" customHeight="1" spans="1:11">
      <c r="A102" t="s">
        <v>84</v>
      </c>
      <c r="B102" t="s">
        <v>48</v>
      </c>
      <c r="C102" t="s">
        <v>35</v>
      </c>
      <c r="D102" t="s">
        <v>23</v>
      </c>
      <c r="E102">
        <v>585.97</v>
      </c>
      <c r="F102">
        <v>17</v>
      </c>
      <c r="G102">
        <f t="shared" si="6"/>
        <v>9961.49</v>
      </c>
      <c r="H102">
        <v>0.1</v>
      </c>
      <c r="I102" s="5">
        <v>45565</v>
      </c>
      <c r="J102" s="5" t="str">
        <f t="shared" si="7"/>
        <v>Sep</v>
      </c>
      <c r="K102">
        <v>210.95</v>
      </c>
    </row>
    <row r="103" ht="15.75" customHeight="1" spans="1:11">
      <c r="A103" t="s">
        <v>70</v>
      </c>
      <c r="B103" t="s">
        <v>37</v>
      </c>
      <c r="C103" t="s">
        <v>35</v>
      </c>
      <c r="D103" t="s">
        <v>26</v>
      </c>
      <c r="E103">
        <v>990.19</v>
      </c>
      <c r="F103">
        <v>8</v>
      </c>
      <c r="G103">
        <f t="shared" si="6"/>
        <v>7921.52</v>
      </c>
      <c r="H103">
        <v>0.1</v>
      </c>
      <c r="I103" s="5">
        <v>45565</v>
      </c>
      <c r="J103" s="5" t="str">
        <f t="shared" si="7"/>
        <v>Sep</v>
      </c>
      <c r="K103">
        <v>445.59</v>
      </c>
    </row>
    <row r="104" ht="15.75" customHeight="1" spans="1:11">
      <c r="A104" t="s">
        <v>54</v>
      </c>
      <c r="B104" t="s">
        <v>66</v>
      </c>
      <c r="C104" t="s">
        <v>9</v>
      </c>
      <c r="D104" t="s">
        <v>32</v>
      </c>
      <c r="E104">
        <v>1014.09</v>
      </c>
      <c r="F104">
        <v>13</v>
      </c>
      <c r="G104">
        <f t="shared" si="6"/>
        <v>13183.17</v>
      </c>
      <c r="H104">
        <v>0.2</v>
      </c>
      <c r="I104" s="5">
        <v>45567</v>
      </c>
      <c r="J104" s="5" t="str">
        <f t="shared" si="7"/>
        <v>Oct</v>
      </c>
      <c r="K104">
        <v>202.82</v>
      </c>
    </row>
    <row r="105" ht="15.75" customHeight="1" spans="1:11">
      <c r="A105" t="s">
        <v>24</v>
      </c>
      <c r="B105" t="s">
        <v>58</v>
      </c>
      <c r="C105" t="s">
        <v>35</v>
      </c>
      <c r="D105" t="s">
        <v>32</v>
      </c>
      <c r="E105">
        <v>925.29</v>
      </c>
      <c r="F105">
        <v>17</v>
      </c>
      <c r="G105">
        <f t="shared" si="6"/>
        <v>15729.93</v>
      </c>
      <c r="H105">
        <v>0</v>
      </c>
      <c r="I105" s="5">
        <v>45570</v>
      </c>
      <c r="J105" s="5" t="str">
        <f t="shared" si="7"/>
        <v>Oct</v>
      </c>
      <c r="K105">
        <v>231.32</v>
      </c>
    </row>
    <row r="106" ht="15.75" customHeight="1" spans="1:11">
      <c r="A106" t="s">
        <v>64</v>
      </c>
      <c r="B106" t="s">
        <v>57</v>
      </c>
      <c r="C106" t="s">
        <v>29</v>
      </c>
      <c r="D106" t="s">
        <v>38</v>
      </c>
      <c r="E106">
        <v>1286.54</v>
      </c>
      <c r="F106">
        <v>8</v>
      </c>
      <c r="G106">
        <f t="shared" si="6"/>
        <v>10292.32</v>
      </c>
      <c r="H106">
        <v>0</v>
      </c>
      <c r="I106" s="5">
        <v>45575</v>
      </c>
      <c r="J106" s="5" t="str">
        <f t="shared" si="7"/>
        <v>Oct</v>
      </c>
      <c r="K106">
        <v>450.29</v>
      </c>
    </row>
    <row r="107" ht="15.75" customHeight="1" spans="1:11">
      <c r="A107" t="s">
        <v>47</v>
      </c>
      <c r="B107" t="s">
        <v>74</v>
      </c>
      <c r="C107" t="s">
        <v>31</v>
      </c>
      <c r="D107" t="s">
        <v>23</v>
      </c>
      <c r="E107">
        <v>961.62</v>
      </c>
      <c r="F107">
        <v>8</v>
      </c>
      <c r="G107">
        <f t="shared" si="6"/>
        <v>7692.96</v>
      </c>
      <c r="H107">
        <v>0.2</v>
      </c>
      <c r="I107" s="5">
        <v>45577</v>
      </c>
      <c r="J107" s="5" t="str">
        <f t="shared" si="7"/>
        <v>Oct</v>
      </c>
      <c r="K107">
        <v>307.72</v>
      </c>
    </row>
    <row r="108" ht="15.75" customHeight="1" spans="1:11">
      <c r="A108" t="s">
        <v>54</v>
      </c>
      <c r="B108" t="s">
        <v>34</v>
      </c>
      <c r="C108" t="s">
        <v>29</v>
      </c>
      <c r="D108" t="s">
        <v>23</v>
      </c>
      <c r="E108">
        <v>1081.14</v>
      </c>
      <c r="F108">
        <v>19</v>
      </c>
      <c r="G108">
        <f t="shared" si="6"/>
        <v>20541.66</v>
      </c>
      <c r="H108">
        <v>0.15</v>
      </c>
      <c r="I108" s="5">
        <v>45577</v>
      </c>
      <c r="J108" s="5" t="str">
        <f t="shared" si="7"/>
        <v>Oct</v>
      </c>
      <c r="K108">
        <v>367.59</v>
      </c>
    </row>
    <row r="109" ht="15.75" customHeight="1" spans="1:11">
      <c r="A109" t="s">
        <v>68</v>
      </c>
      <c r="B109" t="s">
        <v>34</v>
      </c>
      <c r="C109" t="s">
        <v>22</v>
      </c>
      <c r="D109" t="s">
        <v>26</v>
      </c>
      <c r="E109">
        <v>1923.66</v>
      </c>
      <c r="F109">
        <v>9</v>
      </c>
      <c r="G109">
        <f t="shared" si="6"/>
        <v>17312.94</v>
      </c>
      <c r="H109">
        <v>0.2</v>
      </c>
      <c r="I109" s="5">
        <v>45580</v>
      </c>
      <c r="J109" s="5" t="str">
        <f t="shared" si="7"/>
        <v>Oct</v>
      </c>
      <c r="K109">
        <v>769.46</v>
      </c>
    </row>
    <row r="110" ht="15.75" customHeight="1" spans="1:11">
      <c r="A110" t="s">
        <v>64</v>
      </c>
      <c r="B110" t="s">
        <v>76</v>
      </c>
      <c r="C110" t="s">
        <v>9</v>
      </c>
      <c r="D110" t="s">
        <v>26</v>
      </c>
      <c r="E110">
        <v>728.71</v>
      </c>
      <c r="F110">
        <v>14</v>
      </c>
      <c r="G110">
        <f t="shared" si="6"/>
        <v>10201.94</v>
      </c>
      <c r="H110">
        <v>0.1</v>
      </c>
      <c r="I110" s="5">
        <v>45581</v>
      </c>
      <c r="J110" s="5" t="str">
        <f t="shared" si="7"/>
        <v>Oct</v>
      </c>
      <c r="K110">
        <v>327.92</v>
      </c>
    </row>
    <row r="111" ht="15.75" customHeight="1" spans="1:11">
      <c r="A111" t="s">
        <v>20</v>
      </c>
      <c r="B111" t="s">
        <v>44</v>
      </c>
      <c r="C111" t="s">
        <v>9</v>
      </c>
      <c r="D111" t="s">
        <v>26</v>
      </c>
      <c r="E111">
        <v>1301.89</v>
      </c>
      <c r="F111">
        <v>7</v>
      </c>
      <c r="G111">
        <f t="shared" si="6"/>
        <v>9113.23</v>
      </c>
      <c r="H111">
        <v>0.15</v>
      </c>
      <c r="I111" s="5">
        <v>45581</v>
      </c>
      <c r="J111" s="5" t="str">
        <f t="shared" si="7"/>
        <v>Oct</v>
      </c>
      <c r="K111">
        <v>553.3</v>
      </c>
    </row>
    <row r="112" ht="15.75" customHeight="1" spans="1:11">
      <c r="A112" t="s">
        <v>80</v>
      </c>
      <c r="B112" t="s">
        <v>76</v>
      </c>
      <c r="C112" t="s">
        <v>29</v>
      </c>
      <c r="D112" t="s">
        <v>23</v>
      </c>
      <c r="E112">
        <v>980.18</v>
      </c>
      <c r="F112">
        <v>16</v>
      </c>
      <c r="G112">
        <f t="shared" si="6"/>
        <v>15682.88</v>
      </c>
      <c r="H112">
        <v>0.1</v>
      </c>
      <c r="I112" s="5">
        <v>45582</v>
      </c>
      <c r="J112" s="5" t="str">
        <f t="shared" si="7"/>
        <v>Oct</v>
      </c>
      <c r="K112">
        <v>352.86</v>
      </c>
    </row>
    <row r="113" ht="15.75" customHeight="1" spans="1:11">
      <c r="A113" t="s">
        <v>84</v>
      </c>
      <c r="B113" t="s">
        <v>34</v>
      </c>
      <c r="C113" t="s">
        <v>22</v>
      </c>
      <c r="D113" t="s">
        <v>26</v>
      </c>
      <c r="E113">
        <v>697.57</v>
      </c>
      <c r="F113">
        <v>17</v>
      </c>
      <c r="G113">
        <f t="shared" si="6"/>
        <v>11858.69</v>
      </c>
      <c r="H113">
        <v>0.1</v>
      </c>
      <c r="I113" s="5">
        <v>45584</v>
      </c>
      <c r="J113" s="5" t="str">
        <f t="shared" si="7"/>
        <v>Oct</v>
      </c>
      <c r="K113">
        <v>313.91</v>
      </c>
    </row>
    <row r="114" ht="15.75" customHeight="1" spans="1:11">
      <c r="A114" t="s">
        <v>56</v>
      </c>
      <c r="B114" t="s">
        <v>81</v>
      </c>
      <c r="C114" t="s">
        <v>22</v>
      </c>
      <c r="D114" t="s">
        <v>38</v>
      </c>
      <c r="E114">
        <v>1193.61</v>
      </c>
      <c r="F114">
        <v>1</v>
      </c>
      <c r="G114">
        <f t="shared" si="6"/>
        <v>1193.61</v>
      </c>
      <c r="H114">
        <v>0.15</v>
      </c>
      <c r="I114" s="5">
        <v>45584</v>
      </c>
      <c r="J114" s="5" t="str">
        <f t="shared" si="7"/>
        <v>Oct</v>
      </c>
      <c r="K114">
        <v>355.1</v>
      </c>
    </row>
    <row r="115" ht="15.75" customHeight="1" spans="1:11">
      <c r="A115" t="s">
        <v>43</v>
      </c>
      <c r="B115" t="s">
        <v>48</v>
      </c>
      <c r="C115" t="s">
        <v>31</v>
      </c>
      <c r="D115" t="s">
        <v>32</v>
      </c>
      <c r="E115">
        <v>771.02</v>
      </c>
      <c r="F115">
        <v>1</v>
      </c>
      <c r="G115">
        <f t="shared" si="6"/>
        <v>771.02</v>
      </c>
      <c r="H115">
        <v>0</v>
      </c>
      <c r="I115" s="5">
        <v>45585</v>
      </c>
      <c r="J115" s="5" t="str">
        <f t="shared" si="7"/>
        <v>Oct</v>
      </c>
      <c r="K115">
        <v>192.76</v>
      </c>
    </row>
    <row r="116" ht="15.75" customHeight="1" spans="1:11">
      <c r="A116" t="s">
        <v>77</v>
      </c>
      <c r="B116" t="s">
        <v>79</v>
      </c>
      <c r="C116" t="s">
        <v>35</v>
      </c>
      <c r="D116" t="s">
        <v>26</v>
      </c>
      <c r="E116">
        <v>661.09</v>
      </c>
      <c r="F116">
        <v>1</v>
      </c>
      <c r="G116">
        <f t="shared" si="6"/>
        <v>661.09</v>
      </c>
      <c r="H116">
        <v>0.2</v>
      </c>
      <c r="I116" s="5">
        <v>45593</v>
      </c>
      <c r="J116" s="5" t="str">
        <f t="shared" si="7"/>
        <v>Oct</v>
      </c>
      <c r="K116">
        <v>264.44</v>
      </c>
    </row>
    <row r="117" ht="15.75" customHeight="1" spans="1:11">
      <c r="A117" t="s">
        <v>24</v>
      </c>
      <c r="B117" t="s">
        <v>65</v>
      </c>
      <c r="C117" t="s">
        <v>22</v>
      </c>
      <c r="D117" t="s">
        <v>32</v>
      </c>
      <c r="E117">
        <v>688.83</v>
      </c>
      <c r="F117">
        <v>15</v>
      </c>
      <c r="G117">
        <f t="shared" si="6"/>
        <v>10332.45</v>
      </c>
      <c r="H117">
        <v>0</v>
      </c>
      <c r="I117" s="5">
        <v>45595</v>
      </c>
      <c r="J117" s="5" t="str">
        <f t="shared" si="7"/>
        <v>Oct</v>
      </c>
      <c r="K117">
        <v>172.21</v>
      </c>
    </row>
    <row r="118" ht="15.75" customHeight="1" spans="1:11">
      <c r="A118" t="s">
        <v>83</v>
      </c>
      <c r="B118" t="s">
        <v>40</v>
      </c>
      <c r="C118" t="s">
        <v>9</v>
      </c>
      <c r="D118" t="s">
        <v>23</v>
      </c>
      <c r="E118">
        <v>1249.1</v>
      </c>
      <c r="F118">
        <v>4</v>
      </c>
      <c r="G118">
        <f t="shared" si="6"/>
        <v>4996.4</v>
      </c>
      <c r="H118">
        <v>0.05</v>
      </c>
      <c r="I118" s="5">
        <v>45597</v>
      </c>
      <c r="J118" s="5" t="str">
        <f t="shared" si="7"/>
        <v>Nov</v>
      </c>
      <c r="K118">
        <v>474.66</v>
      </c>
    </row>
    <row r="119" ht="15.75" customHeight="1" spans="1:11">
      <c r="A119" t="s">
        <v>54</v>
      </c>
      <c r="B119" t="s">
        <v>34</v>
      </c>
      <c r="C119" t="s">
        <v>29</v>
      </c>
      <c r="D119" t="s">
        <v>49</v>
      </c>
      <c r="E119">
        <v>1014.22</v>
      </c>
      <c r="F119">
        <v>14</v>
      </c>
      <c r="G119">
        <f t="shared" si="6"/>
        <v>14199.08</v>
      </c>
      <c r="H119">
        <v>0.05</v>
      </c>
      <c r="I119" s="5">
        <v>45599</v>
      </c>
      <c r="J119" s="5" t="str">
        <f t="shared" si="7"/>
        <v>Nov</v>
      </c>
      <c r="K119">
        <v>433.58</v>
      </c>
    </row>
    <row r="120" ht="15.75" customHeight="1" spans="1:11">
      <c r="A120" t="s">
        <v>64</v>
      </c>
      <c r="B120" t="s">
        <v>58</v>
      </c>
      <c r="C120" t="s">
        <v>29</v>
      </c>
      <c r="D120" t="s">
        <v>23</v>
      </c>
      <c r="E120">
        <v>1010.58</v>
      </c>
      <c r="F120">
        <v>2</v>
      </c>
      <c r="G120">
        <f t="shared" si="6"/>
        <v>2021.16</v>
      </c>
      <c r="H120">
        <v>0.15</v>
      </c>
      <c r="I120" s="5">
        <v>45605</v>
      </c>
      <c r="J120" s="5" t="str">
        <f t="shared" si="7"/>
        <v>Nov</v>
      </c>
      <c r="K120">
        <v>343.6</v>
      </c>
    </row>
    <row r="121" ht="15.75" customHeight="1" spans="1:11">
      <c r="A121" t="s">
        <v>41</v>
      </c>
      <c r="B121" t="s">
        <v>69</v>
      </c>
      <c r="C121" t="s">
        <v>35</v>
      </c>
      <c r="D121" t="s">
        <v>38</v>
      </c>
      <c r="E121">
        <v>957.29</v>
      </c>
      <c r="F121">
        <v>4</v>
      </c>
      <c r="G121">
        <f t="shared" si="6"/>
        <v>3829.16</v>
      </c>
      <c r="H121">
        <v>0.05</v>
      </c>
      <c r="I121" s="5">
        <v>45605</v>
      </c>
      <c r="J121" s="5" t="str">
        <f t="shared" si="7"/>
        <v>Nov</v>
      </c>
      <c r="K121">
        <v>318.3</v>
      </c>
    </row>
    <row r="122" ht="15.75" customHeight="1" spans="1:11">
      <c r="A122" t="s">
        <v>39</v>
      </c>
      <c r="B122" t="s">
        <v>55</v>
      </c>
      <c r="C122" t="s">
        <v>35</v>
      </c>
      <c r="D122" t="s">
        <v>38</v>
      </c>
      <c r="E122">
        <v>1077.92</v>
      </c>
      <c r="F122">
        <v>3</v>
      </c>
      <c r="G122">
        <f t="shared" si="6"/>
        <v>3233.76</v>
      </c>
      <c r="H122">
        <v>0.05</v>
      </c>
      <c r="I122" s="5">
        <v>45608</v>
      </c>
      <c r="J122" s="5" t="str">
        <f t="shared" si="7"/>
        <v>Nov</v>
      </c>
      <c r="K122">
        <v>358.41</v>
      </c>
    </row>
    <row r="123" ht="15.75" customHeight="1" spans="1:11">
      <c r="A123" t="s">
        <v>62</v>
      </c>
      <c r="B123" t="s">
        <v>60</v>
      </c>
      <c r="C123" t="s">
        <v>31</v>
      </c>
      <c r="D123" t="s">
        <v>26</v>
      </c>
      <c r="E123">
        <v>1163.01</v>
      </c>
      <c r="F123">
        <v>5</v>
      </c>
      <c r="G123">
        <f t="shared" si="6"/>
        <v>5815.05</v>
      </c>
      <c r="H123">
        <v>0</v>
      </c>
      <c r="I123" s="5">
        <v>45611</v>
      </c>
      <c r="J123" s="5" t="str">
        <f t="shared" si="7"/>
        <v>Nov</v>
      </c>
      <c r="K123">
        <v>581.5</v>
      </c>
    </row>
    <row r="124" ht="15.75" customHeight="1" spans="1:11">
      <c r="A124" t="s">
        <v>64</v>
      </c>
      <c r="B124" t="s">
        <v>55</v>
      </c>
      <c r="C124" t="s">
        <v>29</v>
      </c>
      <c r="D124" t="s">
        <v>49</v>
      </c>
      <c r="E124">
        <v>1014.56</v>
      </c>
      <c r="F124">
        <v>10</v>
      </c>
      <c r="G124">
        <f t="shared" si="6"/>
        <v>10145.6</v>
      </c>
      <c r="H124">
        <v>0.1</v>
      </c>
      <c r="I124" s="5">
        <v>45612</v>
      </c>
      <c r="J124" s="5" t="str">
        <f t="shared" si="7"/>
        <v>Nov</v>
      </c>
      <c r="K124">
        <v>410.9</v>
      </c>
    </row>
    <row r="125" ht="15.75" customHeight="1" spans="1:11">
      <c r="A125" t="s">
        <v>20</v>
      </c>
      <c r="B125" t="s">
        <v>28</v>
      </c>
      <c r="C125" t="s">
        <v>31</v>
      </c>
      <c r="D125" t="s">
        <v>32</v>
      </c>
      <c r="E125">
        <v>718.04</v>
      </c>
      <c r="F125">
        <v>14</v>
      </c>
      <c r="G125">
        <f t="shared" si="6"/>
        <v>10052.56</v>
      </c>
      <c r="H125">
        <v>0</v>
      </c>
      <c r="I125" s="5">
        <v>45613</v>
      </c>
      <c r="J125" s="5" t="str">
        <f t="shared" si="7"/>
        <v>Nov</v>
      </c>
      <c r="K125">
        <v>179.51</v>
      </c>
    </row>
    <row r="126" ht="15.75" customHeight="1" spans="1:11">
      <c r="A126" t="s">
        <v>82</v>
      </c>
      <c r="B126" t="s">
        <v>28</v>
      </c>
      <c r="C126" t="s">
        <v>9</v>
      </c>
      <c r="D126" t="s">
        <v>26</v>
      </c>
      <c r="E126">
        <v>1277.85</v>
      </c>
      <c r="F126">
        <v>18</v>
      </c>
      <c r="G126">
        <f t="shared" si="6"/>
        <v>23001.3</v>
      </c>
      <c r="H126">
        <v>0.2</v>
      </c>
      <c r="I126" s="5">
        <v>45613</v>
      </c>
      <c r="J126" s="5" t="str">
        <f t="shared" si="7"/>
        <v>Nov</v>
      </c>
      <c r="K126">
        <v>511.14</v>
      </c>
    </row>
    <row r="127" ht="15.75" customHeight="1" spans="1:11">
      <c r="A127" t="s">
        <v>80</v>
      </c>
      <c r="B127" t="s">
        <v>34</v>
      </c>
      <c r="C127" t="s">
        <v>35</v>
      </c>
      <c r="D127" t="s">
        <v>32</v>
      </c>
      <c r="E127">
        <v>706.73</v>
      </c>
      <c r="F127">
        <v>1</v>
      </c>
      <c r="G127">
        <f t="shared" si="6"/>
        <v>706.73</v>
      </c>
      <c r="H127">
        <v>0.15</v>
      </c>
      <c r="I127" s="5">
        <v>45613</v>
      </c>
      <c r="J127" s="5" t="str">
        <f t="shared" si="7"/>
        <v>Nov</v>
      </c>
      <c r="K127">
        <v>150.18</v>
      </c>
    </row>
    <row r="128" ht="15.75" customHeight="1" spans="1:11">
      <c r="A128" t="s">
        <v>75</v>
      </c>
      <c r="B128" t="s">
        <v>60</v>
      </c>
      <c r="C128" t="s">
        <v>29</v>
      </c>
      <c r="D128" t="s">
        <v>32</v>
      </c>
      <c r="E128">
        <v>1410.59</v>
      </c>
      <c r="F128">
        <v>15</v>
      </c>
      <c r="G128">
        <f t="shared" si="6"/>
        <v>21158.85</v>
      </c>
      <c r="H128">
        <v>0</v>
      </c>
      <c r="I128" s="5">
        <v>45615</v>
      </c>
      <c r="J128" s="5" t="str">
        <f t="shared" si="7"/>
        <v>Nov</v>
      </c>
      <c r="K128">
        <v>352.65</v>
      </c>
    </row>
    <row r="129" ht="15.75" customHeight="1" spans="1:11">
      <c r="A129" t="s">
        <v>43</v>
      </c>
      <c r="B129" t="s">
        <v>71</v>
      </c>
      <c r="C129" t="s">
        <v>31</v>
      </c>
      <c r="D129" t="s">
        <v>38</v>
      </c>
      <c r="E129">
        <v>1350.33</v>
      </c>
      <c r="F129">
        <v>10</v>
      </c>
      <c r="G129">
        <f t="shared" si="6"/>
        <v>13503.3</v>
      </c>
      <c r="H129">
        <v>0</v>
      </c>
      <c r="I129" s="5">
        <v>45615</v>
      </c>
      <c r="J129" s="5" t="str">
        <f t="shared" si="7"/>
        <v>Nov</v>
      </c>
      <c r="K129">
        <v>472.62</v>
      </c>
    </row>
    <row r="130" ht="15.75" customHeight="1" spans="1:11">
      <c r="A130" t="s">
        <v>51</v>
      </c>
      <c r="B130" t="s">
        <v>55</v>
      </c>
      <c r="C130" t="s">
        <v>29</v>
      </c>
      <c r="D130" t="s">
        <v>32</v>
      </c>
      <c r="E130">
        <v>919.18</v>
      </c>
      <c r="F130">
        <v>4</v>
      </c>
      <c r="G130">
        <f t="shared" si="6"/>
        <v>3676.72</v>
      </c>
      <c r="H130">
        <v>0.15</v>
      </c>
      <c r="I130" s="5">
        <v>45615</v>
      </c>
      <c r="J130" s="5" t="str">
        <f t="shared" si="7"/>
        <v>Nov</v>
      </c>
      <c r="K130">
        <v>195.33</v>
      </c>
    </row>
    <row r="131" ht="15.75" customHeight="1" spans="1:11">
      <c r="A131" t="s">
        <v>84</v>
      </c>
      <c r="B131" t="s">
        <v>34</v>
      </c>
      <c r="C131" t="s">
        <v>22</v>
      </c>
      <c r="D131" t="s">
        <v>32</v>
      </c>
      <c r="E131">
        <v>258.51</v>
      </c>
      <c r="F131">
        <v>19</v>
      </c>
      <c r="G131">
        <f t="shared" ref="G131:G162" si="8">E131*F131</f>
        <v>4911.69</v>
      </c>
      <c r="H131">
        <v>0</v>
      </c>
      <c r="I131" s="5">
        <v>45616</v>
      </c>
      <c r="J131" s="5" t="str">
        <f t="shared" ref="J131:J162" si="9">TEXT(I131,"mmm")</f>
        <v>Nov</v>
      </c>
      <c r="K131">
        <v>64.63</v>
      </c>
    </row>
    <row r="132" ht="15.75" customHeight="1" spans="1:11">
      <c r="A132" t="s">
        <v>73</v>
      </c>
      <c r="B132" t="s">
        <v>71</v>
      </c>
      <c r="C132" t="s">
        <v>29</v>
      </c>
      <c r="D132" t="s">
        <v>23</v>
      </c>
      <c r="E132">
        <v>1213.48</v>
      </c>
      <c r="F132">
        <v>5</v>
      </c>
      <c r="G132">
        <f t="shared" si="8"/>
        <v>6067.4</v>
      </c>
      <c r="H132">
        <v>0.05</v>
      </c>
      <c r="I132" s="5">
        <v>45616</v>
      </c>
      <c r="J132" s="5" t="str">
        <f t="shared" si="9"/>
        <v>Nov</v>
      </c>
      <c r="K132">
        <v>461.12</v>
      </c>
    </row>
    <row r="133" ht="15.75" customHeight="1" spans="1:11">
      <c r="A133" t="s">
        <v>67</v>
      </c>
      <c r="B133" t="s">
        <v>48</v>
      </c>
      <c r="C133" t="s">
        <v>9</v>
      </c>
      <c r="D133" t="s">
        <v>23</v>
      </c>
      <c r="E133">
        <v>1150.28</v>
      </c>
      <c r="F133">
        <v>8</v>
      </c>
      <c r="G133">
        <f t="shared" si="8"/>
        <v>9202.24</v>
      </c>
      <c r="H133">
        <v>0.05</v>
      </c>
      <c r="I133" s="5">
        <v>45622</v>
      </c>
      <c r="J133" s="5" t="str">
        <f t="shared" si="9"/>
        <v>Nov</v>
      </c>
      <c r="K133">
        <v>437.11</v>
      </c>
    </row>
    <row r="134" ht="15.75" customHeight="1" spans="1:11">
      <c r="A134" t="s">
        <v>47</v>
      </c>
      <c r="B134" t="s">
        <v>81</v>
      </c>
      <c r="C134" t="s">
        <v>31</v>
      </c>
      <c r="D134" t="s">
        <v>38</v>
      </c>
      <c r="E134">
        <v>853.86</v>
      </c>
      <c r="F134">
        <v>8</v>
      </c>
      <c r="G134">
        <f t="shared" si="8"/>
        <v>6830.88</v>
      </c>
      <c r="H134">
        <v>0.1</v>
      </c>
      <c r="I134" s="5">
        <v>45622</v>
      </c>
      <c r="J134" s="5" t="str">
        <f t="shared" si="9"/>
        <v>Nov</v>
      </c>
      <c r="K134">
        <v>268.97</v>
      </c>
    </row>
    <row r="135" ht="15.75" customHeight="1" spans="1:11">
      <c r="A135" t="s">
        <v>85</v>
      </c>
      <c r="B135" t="s">
        <v>55</v>
      </c>
      <c r="C135" t="s">
        <v>31</v>
      </c>
      <c r="D135" t="s">
        <v>32</v>
      </c>
      <c r="E135">
        <v>1061.04</v>
      </c>
      <c r="F135">
        <v>1</v>
      </c>
      <c r="G135">
        <f t="shared" si="8"/>
        <v>1061.04</v>
      </c>
      <c r="H135">
        <v>0</v>
      </c>
      <c r="I135" s="5">
        <v>45624</v>
      </c>
      <c r="J135" s="5" t="str">
        <f t="shared" si="9"/>
        <v>Nov</v>
      </c>
      <c r="K135">
        <v>265.26</v>
      </c>
    </row>
    <row r="136" ht="15.75" customHeight="1" spans="1:11">
      <c r="A136" t="s">
        <v>39</v>
      </c>
      <c r="B136" t="s">
        <v>53</v>
      </c>
      <c r="C136" t="s">
        <v>22</v>
      </c>
      <c r="D136" t="s">
        <v>32</v>
      </c>
      <c r="E136">
        <v>894.55</v>
      </c>
      <c r="F136">
        <v>19</v>
      </c>
      <c r="G136">
        <f t="shared" si="8"/>
        <v>16996.45</v>
      </c>
      <c r="H136">
        <v>0.2</v>
      </c>
      <c r="I136" s="5">
        <v>45625</v>
      </c>
      <c r="J136" s="5" t="str">
        <f t="shared" si="9"/>
        <v>Nov</v>
      </c>
      <c r="K136">
        <v>178.91</v>
      </c>
    </row>
    <row r="137" ht="15.75" customHeight="1" spans="1:11">
      <c r="A137" t="s">
        <v>36</v>
      </c>
      <c r="B137" t="s">
        <v>48</v>
      </c>
      <c r="C137" t="s">
        <v>35</v>
      </c>
      <c r="D137" t="s">
        <v>49</v>
      </c>
      <c r="E137">
        <v>833.91</v>
      </c>
      <c r="F137">
        <v>3</v>
      </c>
      <c r="G137">
        <f t="shared" si="8"/>
        <v>2501.73</v>
      </c>
      <c r="H137">
        <v>0.05</v>
      </c>
      <c r="I137" s="5">
        <v>45626</v>
      </c>
      <c r="J137" s="5" t="str">
        <f t="shared" si="9"/>
        <v>Nov</v>
      </c>
      <c r="K137">
        <v>356.5</v>
      </c>
    </row>
    <row r="138" ht="15.75" customHeight="1" spans="1:11">
      <c r="A138" t="s">
        <v>68</v>
      </c>
      <c r="B138" t="s">
        <v>81</v>
      </c>
      <c r="C138" t="s">
        <v>22</v>
      </c>
      <c r="D138" t="s">
        <v>38</v>
      </c>
      <c r="E138">
        <v>820.19</v>
      </c>
      <c r="F138">
        <v>4</v>
      </c>
      <c r="G138">
        <f t="shared" si="8"/>
        <v>3280.76</v>
      </c>
      <c r="H138">
        <v>0.2</v>
      </c>
      <c r="I138" s="5">
        <v>45630</v>
      </c>
      <c r="J138" s="5" t="str">
        <f t="shared" si="9"/>
        <v>Dec</v>
      </c>
      <c r="K138">
        <v>229.65</v>
      </c>
    </row>
    <row r="139" ht="15.75" customHeight="1" spans="1:11">
      <c r="A139" t="s">
        <v>68</v>
      </c>
      <c r="B139" t="s">
        <v>48</v>
      </c>
      <c r="C139" t="s">
        <v>9</v>
      </c>
      <c r="D139" t="s">
        <v>32</v>
      </c>
      <c r="E139">
        <v>511.74</v>
      </c>
      <c r="F139">
        <v>8</v>
      </c>
      <c r="G139">
        <f t="shared" si="8"/>
        <v>4093.92</v>
      </c>
      <c r="H139">
        <v>0.05</v>
      </c>
      <c r="I139" s="5">
        <v>45631</v>
      </c>
      <c r="J139" s="5" t="str">
        <f t="shared" si="9"/>
        <v>Dec</v>
      </c>
      <c r="K139">
        <v>121.54</v>
      </c>
    </row>
    <row r="140" ht="15.75" customHeight="1" spans="1:11">
      <c r="A140" t="s">
        <v>75</v>
      </c>
      <c r="B140" t="s">
        <v>71</v>
      </c>
      <c r="C140" t="s">
        <v>31</v>
      </c>
      <c r="D140" t="s">
        <v>38</v>
      </c>
      <c r="E140">
        <v>806.03</v>
      </c>
      <c r="F140">
        <v>19</v>
      </c>
      <c r="G140">
        <f t="shared" si="8"/>
        <v>15314.57</v>
      </c>
      <c r="H140">
        <v>0.05</v>
      </c>
      <c r="I140" s="5">
        <v>45638</v>
      </c>
      <c r="J140" s="5" t="str">
        <f t="shared" si="9"/>
        <v>Dec</v>
      </c>
      <c r="K140">
        <v>268</v>
      </c>
    </row>
    <row r="141" ht="15.75" customHeight="1" spans="1:11">
      <c r="A141" t="s">
        <v>39</v>
      </c>
      <c r="B141" t="s">
        <v>37</v>
      </c>
      <c r="C141" t="s">
        <v>9</v>
      </c>
      <c r="D141" t="s">
        <v>38</v>
      </c>
      <c r="E141">
        <v>1432.47</v>
      </c>
      <c r="F141">
        <v>16</v>
      </c>
      <c r="G141">
        <f t="shared" si="8"/>
        <v>22919.52</v>
      </c>
      <c r="H141">
        <v>0.15</v>
      </c>
      <c r="I141" s="5">
        <v>45640</v>
      </c>
      <c r="J141" s="5" t="str">
        <f t="shared" si="9"/>
        <v>Dec</v>
      </c>
      <c r="K141">
        <v>426.16</v>
      </c>
    </row>
    <row r="142" ht="15.75" customHeight="1" spans="1:11">
      <c r="A142" t="s">
        <v>84</v>
      </c>
      <c r="B142" t="s">
        <v>40</v>
      </c>
      <c r="C142" t="s">
        <v>9</v>
      </c>
      <c r="D142" t="s">
        <v>32</v>
      </c>
      <c r="E142">
        <v>1488.58</v>
      </c>
      <c r="F142">
        <v>10</v>
      </c>
      <c r="G142">
        <f t="shared" si="8"/>
        <v>14885.8</v>
      </c>
      <c r="H142">
        <v>0.15</v>
      </c>
      <c r="I142" s="5">
        <v>45640</v>
      </c>
      <c r="J142" s="5" t="str">
        <f t="shared" si="9"/>
        <v>Dec</v>
      </c>
      <c r="K142">
        <v>316.32</v>
      </c>
    </row>
    <row r="143" ht="15.75" customHeight="1" spans="1:11">
      <c r="A143" t="s">
        <v>41</v>
      </c>
      <c r="B143" t="s">
        <v>76</v>
      </c>
      <c r="C143" t="s">
        <v>29</v>
      </c>
      <c r="D143" t="s">
        <v>23</v>
      </c>
      <c r="E143">
        <v>1231.26</v>
      </c>
      <c r="F143">
        <v>9</v>
      </c>
      <c r="G143">
        <f t="shared" si="8"/>
        <v>11081.34</v>
      </c>
      <c r="H143">
        <v>0</v>
      </c>
      <c r="I143" s="5">
        <v>45646</v>
      </c>
      <c r="J143" s="5" t="str">
        <f t="shared" si="9"/>
        <v>Dec</v>
      </c>
      <c r="K143">
        <v>492.5</v>
      </c>
    </row>
    <row r="144" ht="15.75" customHeight="1" spans="1:11">
      <c r="A144" t="s">
        <v>41</v>
      </c>
      <c r="B144" t="s">
        <v>53</v>
      </c>
      <c r="C144" t="s">
        <v>22</v>
      </c>
      <c r="D144" t="s">
        <v>32</v>
      </c>
      <c r="E144">
        <v>1161.67</v>
      </c>
      <c r="F144">
        <v>19</v>
      </c>
      <c r="G144">
        <f t="shared" si="8"/>
        <v>22071.73</v>
      </c>
      <c r="H144">
        <v>0.2</v>
      </c>
      <c r="I144" s="5">
        <v>45647</v>
      </c>
      <c r="J144" s="5" t="str">
        <f t="shared" si="9"/>
        <v>Dec</v>
      </c>
      <c r="K144">
        <v>232.33</v>
      </c>
    </row>
    <row r="145" ht="15.75" customHeight="1" spans="1:11">
      <c r="A145" t="s">
        <v>59</v>
      </c>
      <c r="B145" t="s">
        <v>55</v>
      </c>
      <c r="C145" t="s">
        <v>9</v>
      </c>
      <c r="D145" t="s">
        <v>49</v>
      </c>
      <c r="E145">
        <v>388.23</v>
      </c>
      <c r="F145">
        <v>16</v>
      </c>
      <c r="G145">
        <f t="shared" si="8"/>
        <v>6211.68</v>
      </c>
      <c r="H145">
        <v>0.05</v>
      </c>
      <c r="I145" s="5">
        <v>45650</v>
      </c>
      <c r="J145" s="5" t="str">
        <f t="shared" si="9"/>
        <v>Dec</v>
      </c>
      <c r="K145">
        <v>165.97</v>
      </c>
    </row>
    <row r="146" ht="15.75" customHeight="1" spans="1:11">
      <c r="A146" t="s">
        <v>82</v>
      </c>
      <c r="B146" t="s">
        <v>42</v>
      </c>
      <c r="C146" t="s">
        <v>35</v>
      </c>
      <c r="D146" t="s">
        <v>26</v>
      </c>
      <c r="E146">
        <v>1589.42</v>
      </c>
      <c r="F146">
        <v>6</v>
      </c>
      <c r="G146">
        <f t="shared" si="8"/>
        <v>9536.52</v>
      </c>
      <c r="H146">
        <v>0.15</v>
      </c>
      <c r="I146" s="5">
        <v>45651</v>
      </c>
      <c r="J146" s="5" t="str">
        <f t="shared" si="9"/>
        <v>Dec</v>
      </c>
      <c r="K146">
        <v>675.5</v>
      </c>
    </row>
    <row r="147" ht="15.75" customHeight="1" spans="1:11">
      <c r="A147" t="s">
        <v>39</v>
      </c>
      <c r="B147" t="s">
        <v>81</v>
      </c>
      <c r="C147" t="s">
        <v>35</v>
      </c>
      <c r="D147" t="s">
        <v>26</v>
      </c>
      <c r="E147">
        <v>336.66</v>
      </c>
      <c r="F147">
        <v>13</v>
      </c>
      <c r="G147">
        <f t="shared" si="8"/>
        <v>4376.58</v>
      </c>
      <c r="H147">
        <v>0.2</v>
      </c>
      <c r="I147" s="5">
        <v>45651</v>
      </c>
      <c r="J147" s="5" t="str">
        <f t="shared" si="9"/>
        <v>Dec</v>
      </c>
      <c r="K147">
        <v>134.66</v>
      </c>
    </row>
    <row r="148" ht="15.75" customHeight="1" spans="1:11">
      <c r="A148" t="s">
        <v>59</v>
      </c>
      <c r="B148" t="s">
        <v>34</v>
      </c>
      <c r="C148" t="s">
        <v>22</v>
      </c>
      <c r="D148" t="s">
        <v>23</v>
      </c>
      <c r="E148">
        <v>1353.79</v>
      </c>
      <c r="F148">
        <v>14</v>
      </c>
      <c r="G148">
        <f t="shared" si="8"/>
        <v>18953.06</v>
      </c>
      <c r="H148">
        <v>0.1</v>
      </c>
      <c r="I148" s="5">
        <v>45656</v>
      </c>
      <c r="J148" s="5" t="str">
        <f t="shared" si="9"/>
        <v>Dec</v>
      </c>
      <c r="K148">
        <v>487.36</v>
      </c>
    </row>
    <row r="149" ht="15.75" customHeight="1" spans="1:11">
      <c r="A149" t="s">
        <v>73</v>
      </c>
      <c r="B149" t="s">
        <v>79</v>
      </c>
      <c r="C149" t="s">
        <v>9</v>
      </c>
      <c r="D149" t="s">
        <v>26</v>
      </c>
      <c r="E149">
        <v>662.61</v>
      </c>
      <c r="F149">
        <v>11</v>
      </c>
      <c r="G149">
        <f t="shared" si="8"/>
        <v>7288.71</v>
      </c>
      <c r="H149">
        <v>0.05</v>
      </c>
      <c r="I149" s="5">
        <v>45658</v>
      </c>
      <c r="J149" s="5" t="str">
        <f t="shared" si="9"/>
        <v>Jan</v>
      </c>
      <c r="K149">
        <v>314.74</v>
      </c>
    </row>
    <row r="150" ht="15.75" customHeight="1" spans="1:11">
      <c r="A150" t="s">
        <v>62</v>
      </c>
      <c r="B150" t="s">
        <v>58</v>
      </c>
      <c r="C150" t="s">
        <v>35</v>
      </c>
      <c r="D150" t="s">
        <v>49</v>
      </c>
      <c r="E150">
        <v>309.42</v>
      </c>
      <c r="F150">
        <v>1</v>
      </c>
      <c r="G150">
        <f t="shared" si="8"/>
        <v>309.42</v>
      </c>
      <c r="H150">
        <v>0.2</v>
      </c>
      <c r="I150" s="5">
        <v>45658</v>
      </c>
      <c r="J150" s="5" t="str">
        <f t="shared" si="9"/>
        <v>Jan</v>
      </c>
      <c r="K150">
        <v>111.39</v>
      </c>
    </row>
    <row r="151" ht="15.75" customHeight="1" spans="1:11">
      <c r="A151" t="s">
        <v>73</v>
      </c>
      <c r="B151" t="s">
        <v>40</v>
      </c>
      <c r="C151" t="s">
        <v>35</v>
      </c>
      <c r="D151" t="s">
        <v>23</v>
      </c>
      <c r="E151">
        <v>884.63</v>
      </c>
      <c r="F151">
        <v>18</v>
      </c>
      <c r="G151">
        <f t="shared" si="8"/>
        <v>15923.34</v>
      </c>
      <c r="H151">
        <v>0.1</v>
      </c>
      <c r="I151" s="5">
        <v>45659</v>
      </c>
      <c r="J151" s="5" t="str">
        <f t="shared" si="9"/>
        <v>Jan</v>
      </c>
      <c r="K151">
        <v>318.47</v>
      </c>
    </row>
    <row r="152" ht="15.75" customHeight="1" spans="1:11">
      <c r="A152" t="s">
        <v>62</v>
      </c>
      <c r="B152" t="s">
        <v>34</v>
      </c>
      <c r="C152" t="s">
        <v>9</v>
      </c>
      <c r="D152" t="s">
        <v>49</v>
      </c>
      <c r="E152">
        <v>745.05</v>
      </c>
      <c r="F152">
        <v>10</v>
      </c>
      <c r="G152">
        <f t="shared" si="8"/>
        <v>7450.5</v>
      </c>
      <c r="H152">
        <v>0.1</v>
      </c>
      <c r="I152" s="5">
        <v>45660</v>
      </c>
      <c r="J152" s="5" t="str">
        <f t="shared" si="9"/>
        <v>Jan</v>
      </c>
      <c r="K152">
        <v>301.75</v>
      </c>
    </row>
    <row r="153" ht="15.75" customHeight="1" spans="1:11">
      <c r="A153" t="s">
        <v>70</v>
      </c>
      <c r="B153" t="s">
        <v>28</v>
      </c>
      <c r="C153" t="s">
        <v>31</v>
      </c>
      <c r="D153" t="s">
        <v>26</v>
      </c>
      <c r="E153">
        <v>870.23</v>
      </c>
      <c r="F153">
        <v>5</v>
      </c>
      <c r="G153">
        <f t="shared" si="8"/>
        <v>4351.15</v>
      </c>
      <c r="H153">
        <v>0.05</v>
      </c>
      <c r="I153" s="5">
        <v>45660</v>
      </c>
      <c r="J153" s="5" t="str">
        <f t="shared" si="9"/>
        <v>Jan</v>
      </c>
      <c r="K153">
        <v>413.36</v>
      </c>
    </row>
    <row r="154" ht="15.75" customHeight="1" spans="1:11">
      <c r="A154" t="s">
        <v>45</v>
      </c>
      <c r="B154" t="s">
        <v>40</v>
      </c>
      <c r="C154" t="s">
        <v>22</v>
      </c>
      <c r="D154" t="s">
        <v>38</v>
      </c>
      <c r="E154">
        <v>862.19</v>
      </c>
      <c r="F154">
        <v>18</v>
      </c>
      <c r="G154">
        <f t="shared" si="8"/>
        <v>15519.42</v>
      </c>
      <c r="H154">
        <v>0.05</v>
      </c>
      <c r="I154" s="5">
        <v>45663</v>
      </c>
      <c r="J154" s="5" t="str">
        <f t="shared" si="9"/>
        <v>Jan</v>
      </c>
      <c r="K154">
        <v>286.68</v>
      </c>
    </row>
    <row r="155" ht="15.75" customHeight="1" spans="1:11">
      <c r="A155" t="s">
        <v>83</v>
      </c>
      <c r="B155" t="s">
        <v>69</v>
      </c>
      <c r="C155" t="s">
        <v>35</v>
      </c>
      <c r="D155" t="s">
        <v>26</v>
      </c>
      <c r="E155">
        <v>1171.18</v>
      </c>
      <c r="F155">
        <v>19</v>
      </c>
      <c r="G155">
        <f t="shared" si="8"/>
        <v>22252.42</v>
      </c>
      <c r="H155">
        <v>0.05</v>
      </c>
      <c r="I155" s="5">
        <v>45667</v>
      </c>
      <c r="J155" s="5" t="str">
        <f t="shared" si="9"/>
        <v>Jan</v>
      </c>
      <c r="K155">
        <v>556.31</v>
      </c>
    </row>
    <row r="156" ht="15.75" customHeight="1" spans="1:11">
      <c r="A156" t="s">
        <v>68</v>
      </c>
      <c r="B156" t="s">
        <v>25</v>
      </c>
      <c r="C156" t="s">
        <v>31</v>
      </c>
      <c r="D156" t="s">
        <v>38</v>
      </c>
      <c r="E156">
        <v>1054.56</v>
      </c>
      <c r="F156">
        <v>11</v>
      </c>
      <c r="G156">
        <f t="shared" si="8"/>
        <v>11600.16</v>
      </c>
      <c r="H156">
        <v>0.1</v>
      </c>
      <c r="I156" s="5">
        <v>45669</v>
      </c>
      <c r="J156" s="5" t="str">
        <f t="shared" si="9"/>
        <v>Jan</v>
      </c>
      <c r="K156">
        <v>332.19</v>
      </c>
    </row>
    <row r="157" ht="15.75" customHeight="1" spans="1:11">
      <c r="A157" t="s">
        <v>68</v>
      </c>
      <c r="B157" t="s">
        <v>34</v>
      </c>
      <c r="C157" t="s">
        <v>35</v>
      </c>
      <c r="D157" t="s">
        <v>32</v>
      </c>
      <c r="E157">
        <v>1681.21</v>
      </c>
      <c r="F157">
        <v>5</v>
      </c>
      <c r="G157">
        <f t="shared" si="8"/>
        <v>8406.05</v>
      </c>
      <c r="H157">
        <v>0.2</v>
      </c>
      <c r="I157" s="5">
        <v>45670</v>
      </c>
      <c r="J157" s="5" t="str">
        <f t="shared" si="9"/>
        <v>Jan</v>
      </c>
      <c r="K157">
        <v>336.24</v>
      </c>
    </row>
    <row r="158" ht="15.75" customHeight="1" spans="1:11">
      <c r="A158" t="s">
        <v>68</v>
      </c>
      <c r="B158" t="s">
        <v>46</v>
      </c>
      <c r="C158" t="s">
        <v>22</v>
      </c>
      <c r="D158" t="s">
        <v>26</v>
      </c>
      <c r="E158">
        <v>379.77</v>
      </c>
      <c r="F158">
        <v>9</v>
      </c>
      <c r="G158">
        <f t="shared" si="8"/>
        <v>3417.93</v>
      </c>
      <c r="H158">
        <v>0.05</v>
      </c>
      <c r="I158" s="5">
        <v>45673</v>
      </c>
      <c r="J158" s="5" t="str">
        <f t="shared" si="9"/>
        <v>Jan</v>
      </c>
      <c r="K158">
        <v>180.39</v>
      </c>
    </row>
    <row r="159" ht="15.75" customHeight="1" spans="1:11">
      <c r="A159" t="s">
        <v>54</v>
      </c>
      <c r="B159" t="s">
        <v>55</v>
      </c>
      <c r="C159" t="s">
        <v>9</v>
      </c>
      <c r="D159" t="s">
        <v>26</v>
      </c>
      <c r="E159">
        <v>1076.33</v>
      </c>
      <c r="F159">
        <v>2</v>
      </c>
      <c r="G159">
        <f t="shared" si="8"/>
        <v>2152.66</v>
      </c>
      <c r="H159">
        <v>0.1</v>
      </c>
      <c r="I159" s="5">
        <v>45674</v>
      </c>
      <c r="J159" s="5" t="str">
        <f t="shared" si="9"/>
        <v>Jan</v>
      </c>
      <c r="K159">
        <v>484.35</v>
      </c>
    </row>
    <row r="160" ht="15.75" customHeight="1" spans="1:11">
      <c r="A160" t="s">
        <v>54</v>
      </c>
      <c r="B160" t="s">
        <v>42</v>
      </c>
      <c r="C160" t="s">
        <v>9</v>
      </c>
      <c r="D160" t="s">
        <v>49</v>
      </c>
      <c r="E160">
        <v>1250.71</v>
      </c>
      <c r="F160">
        <v>7</v>
      </c>
      <c r="G160">
        <f t="shared" si="8"/>
        <v>8754.97</v>
      </c>
      <c r="H160">
        <v>0</v>
      </c>
      <c r="I160" s="5">
        <v>45674</v>
      </c>
      <c r="J160" s="5" t="str">
        <f t="shared" si="9"/>
        <v>Jan</v>
      </c>
      <c r="K160">
        <v>562.82</v>
      </c>
    </row>
    <row r="161" ht="15.75" customHeight="1" spans="1:11">
      <c r="A161" t="s">
        <v>50</v>
      </c>
      <c r="B161" t="s">
        <v>28</v>
      </c>
      <c r="C161" t="s">
        <v>31</v>
      </c>
      <c r="D161" t="s">
        <v>26</v>
      </c>
      <c r="E161">
        <v>1118.34</v>
      </c>
      <c r="F161">
        <v>6</v>
      </c>
      <c r="G161">
        <f t="shared" si="8"/>
        <v>6710.04</v>
      </c>
      <c r="H161">
        <v>0.2</v>
      </c>
      <c r="I161" s="5">
        <v>45674</v>
      </c>
      <c r="J161" s="5" t="str">
        <f t="shared" si="9"/>
        <v>Jan</v>
      </c>
      <c r="K161">
        <v>447.34</v>
      </c>
    </row>
    <row r="162" ht="15.75" customHeight="1" spans="1:11">
      <c r="A162" t="s">
        <v>80</v>
      </c>
      <c r="B162" t="s">
        <v>63</v>
      </c>
      <c r="C162" t="s">
        <v>35</v>
      </c>
      <c r="D162" t="s">
        <v>26</v>
      </c>
      <c r="E162">
        <v>1622.62</v>
      </c>
      <c r="F162">
        <v>12</v>
      </c>
      <c r="G162">
        <f t="shared" si="8"/>
        <v>19471.44</v>
      </c>
      <c r="H162">
        <v>0.2</v>
      </c>
      <c r="I162" s="5">
        <v>45677</v>
      </c>
      <c r="J162" s="5" t="str">
        <f t="shared" si="9"/>
        <v>Jan</v>
      </c>
      <c r="K162">
        <v>649.05</v>
      </c>
    </row>
    <row r="163" ht="15.75" customHeight="1" spans="1:11">
      <c r="A163" t="s">
        <v>85</v>
      </c>
      <c r="B163" t="s">
        <v>58</v>
      </c>
      <c r="C163" t="s">
        <v>35</v>
      </c>
      <c r="D163" t="s">
        <v>23</v>
      </c>
      <c r="E163">
        <v>640.64</v>
      </c>
      <c r="F163">
        <v>11</v>
      </c>
      <c r="G163">
        <f t="shared" ref="G163:G194" si="10">E163*F163</f>
        <v>7047.04</v>
      </c>
      <c r="H163">
        <v>0.2</v>
      </c>
      <c r="I163" s="5">
        <v>45678</v>
      </c>
      <c r="J163" s="5" t="str">
        <f t="shared" ref="J163:J194" si="11">TEXT(I163,"mmm")</f>
        <v>Jan</v>
      </c>
      <c r="K163">
        <v>205</v>
      </c>
    </row>
    <row r="164" ht="15.75" customHeight="1" spans="1:11">
      <c r="A164" t="s">
        <v>33</v>
      </c>
      <c r="B164" t="s">
        <v>53</v>
      </c>
      <c r="C164" t="s">
        <v>22</v>
      </c>
      <c r="D164" t="s">
        <v>26</v>
      </c>
      <c r="E164">
        <v>585.16</v>
      </c>
      <c r="F164">
        <v>17</v>
      </c>
      <c r="G164">
        <f t="shared" si="10"/>
        <v>9947.72</v>
      </c>
      <c r="H164">
        <v>0.1</v>
      </c>
      <c r="I164" s="5">
        <v>45684</v>
      </c>
      <c r="J164" s="5" t="str">
        <f t="shared" si="11"/>
        <v>Jan</v>
      </c>
      <c r="K164">
        <v>263.32</v>
      </c>
    </row>
    <row r="165" ht="15.75" customHeight="1" spans="1:11">
      <c r="A165" t="s">
        <v>33</v>
      </c>
      <c r="B165" t="s">
        <v>42</v>
      </c>
      <c r="C165" t="s">
        <v>29</v>
      </c>
      <c r="D165" t="s">
        <v>26</v>
      </c>
      <c r="E165">
        <v>1109.98</v>
      </c>
      <c r="F165">
        <v>5</v>
      </c>
      <c r="G165">
        <f t="shared" si="10"/>
        <v>5549.9</v>
      </c>
      <c r="H165">
        <v>0.2</v>
      </c>
      <c r="I165" s="5">
        <v>45690</v>
      </c>
      <c r="J165" s="5" t="str">
        <f t="shared" si="11"/>
        <v>Feb</v>
      </c>
      <c r="K165">
        <v>443.99</v>
      </c>
    </row>
    <row r="166" ht="15.75" customHeight="1" spans="1:11">
      <c r="A166" t="s">
        <v>68</v>
      </c>
      <c r="B166" t="s">
        <v>55</v>
      </c>
      <c r="C166" t="s">
        <v>29</v>
      </c>
      <c r="D166" t="s">
        <v>23</v>
      </c>
      <c r="E166">
        <v>1098.08</v>
      </c>
      <c r="F166">
        <v>9</v>
      </c>
      <c r="G166">
        <f t="shared" si="10"/>
        <v>9882.72</v>
      </c>
      <c r="H166">
        <v>0.1</v>
      </c>
      <c r="I166" s="5">
        <v>45692</v>
      </c>
      <c r="J166" s="5" t="str">
        <f t="shared" si="11"/>
        <v>Feb</v>
      </c>
      <c r="K166">
        <v>395.31</v>
      </c>
    </row>
    <row r="167" ht="15.75" customHeight="1" spans="1:11">
      <c r="A167" t="s">
        <v>75</v>
      </c>
      <c r="B167" t="s">
        <v>58</v>
      </c>
      <c r="C167" t="s">
        <v>22</v>
      </c>
      <c r="D167" t="s">
        <v>49</v>
      </c>
      <c r="E167">
        <v>827.25</v>
      </c>
      <c r="F167">
        <v>7</v>
      </c>
      <c r="G167">
        <f t="shared" si="10"/>
        <v>5790.75</v>
      </c>
      <c r="H167">
        <v>0.1</v>
      </c>
      <c r="I167" s="5">
        <v>45693</v>
      </c>
      <c r="J167" s="5" t="str">
        <f t="shared" si="11"/>
        <v>Feb</v>
      </c>
      <c r="K167">
        <v>335.04</v>
      </c>
    </row>
    <row r="168" ht="15.75" customHeight="1" spans="1:11">
      <c r="A168" t="s">
        <v>80</v>
      </c>
      <c r="B168" t="s">
        <v>40</v>
      </c>
      <c r="C168" t="s">
        <v>9</v>
      </c>
      <c r="D168" t="s">
        <v>26</v>
      </c>
      <c r="E168">
        <v>741.88</v>
      </c>
      <c r="F168">
        <v>16</v>
      </c>
      <c r="G168">
        <f t="shared" si="10"/>
        <v>11870.08</v>
      </c>
      <c r="H168">
        <v>0.1</v>
      </c>
      <c r="I168" s="5">
        <v>45695</v>
      </c>
      <c r="J168" s="5" t="str">
        <f t="shared" si="11"/>
        <v>Feb</v>
      </c>
      <c r="K168">
        <v>333.85</v>
      </c>
    </row>
    <row r="169" ht="15.75" customHeight="1" spans="1:11">
      <c r="A169" t="s">
        <v>82</v>
      </c>
      <c r="B169" t="s">
        <v>21</v>
      </c>
      <c r="C169" t="s">
        <v>29</v>
      </c>
      <c r="D169" t="s">
        <v>49</v>
      </c>
      <c r="E169">
        <v>1311.26</v>
      </c>
      <c r="F169">
        <v>6</v>
      </c>
      <c r="G169">
        <f t="shared" si="10"/>
        <v>7867.56</v>
      </c>
      <c r="H169">
        <v>0.1</v>
      </c>
      <c r="I169" s="5">
        <v>45698</v>
      </c>
      <c r="J169" s="5" t="str">
        <f t="shared" si="11"/>
        <v>Feb</v>
      </c>
      <c r="K169">
        <v>531.06</v>
      </c>
    </row>
    <row r="170" ht="15.75" customHeight="1" spans="1:11">
      <c r="A170" t="s">
        <v>82</v>
      </c>
      <c r="B170" t="s">
        <v>42</v>
      </c>
      <c r="C170" t="s">
        <v>31</v>
      </c>
      <c r="D170" t="s">
        <v>49</v>
      </c>
      <c r="E170">
        <v>573.32</v>
      </c>
      <c r="F170">
        <v>19</v>
      </c>
      <c r="G170">
        <f t="shared" si="10"/>
        <v>10893.08</v>
      </c>
      <c r="H170">
        <v>0.1</v>
      </c>
      <c r="I170" s="5">
        <v>45703</v>
      </c>
      <c r="J170" s="5" t="str">
        <f t="shared" si="11"/>
        <v>Feb</v>
      </c>
      <c r="K170">
        <v>232.19</v>
      </c>
    </row>
    <row r="171" ht="15.75" customHeight="1" spans="1:11">
      <c r="A171" t="s">
        <v>62</v>
      </c>
      <c r="B171" t="s">
        <v>34</v>
      </c>
      <c r="C171" t="s">
        <v>22</v>
      </c>
      <c r="D171" t="s">
        <v>32</v>
      </c>
      <c r="E171">
        <v>1115.22</v>
      </c>
      <c r="F171">
        <v>14</v>
      </c>
      <c r="G171">
        <f t="shared" si="10"/>
        <v>15613.08</v>
      </c>
      <c r="H171">
        <v>0.2</v>
      </c>
      <c r="I171" s="5">
        <v>45705</v>
      </c>
      <c r="J171" s="5" t="str">
        <f t="shared" si="11"/>
        <v>Feb</v>
      </c>
      <c r="K171">
        <v>223.04</v>
      </c>
    </row>
    <row r="172" ht="15.75" customHeight="1" spans="1:11">
      <c r="A172" t="s">
        <v>24</v>
      </c>
      <c r="B172" t="s">
        <v>55</v>
      </c>
      <c r="C172" t="s">
        <v>35</v>
      </c>
      <c r="D172" t="s">
        <v>26</v>
      </c>
      <c r="E172">
        <v>845.84</v>
      </c>
      <c r="F172">
        <v>4</v>
      </c>
      <c r="G172">
        <f t="shared" si="10"/>
        <v>3383.36</v>
      </c>
      <c r="H172">
        <v>0</v>
      </c>
      <c r="I172" s="5">
        <v>45707</v>
      </c>
      <c r="J172" s="5" t="str">
        <f t="shared" si="11"/>
        <v>Feb</v>
      </c>
      <c r="K172">
        <v>422.92</v>
      </c>
    </row>
    <row r="173" ht="15.75" customHeight="1" spans="1:11">
      <c r="A173" t="s">
        <v>41</v>
      </c>
      <c r="B173" t="s">
        <v>65</v>
      </c>
      <c r="C173" t="s">
        <v>22</v>
      </c>
      <c r="D173" t="s">
        <v>32</v>
      </c>
      <c r="E173">
        <v>1029.8</v>
      </c>
      <c r="F173">
        <v>3</v>
      </c>
      <c r="G173">
        <f t="shared" si="10"/>
        <v>3089.4</v>
      </c>
      <c r="H173">
        <v>0</v>
      </c>
      <c r="I173" s="5">
        <v>45708</v>
      </c>
      <c r="J173" s="5" t="str">
        <f t="shared" si="11"/>
        <v>Feb</v>
      </c>
      <c r="K173">
        <v>257.45</v>
      </c>
    </row>
    <row r="174" ht="15.75" customHeight="1" spans="1:11">
      <c r="A174" t="s">
        <v>43</v>
      </c>
      <c r="B174" t="s">
        <v>42</v>
      </c>
      <c r="C174" t="s">
        <v>35</v>
      </c>
      <c r="D174" t="s">
        <v>23</v>
      </c>
      <c r="E174">
        <v>1189.83</v>
      </c>
      <c r="F174">
        <v>2</v>
      </c>
      <c r="G174">
        <f t="shared" si="10"/>
        <v>2379.66</v>
      </c>
      <c r="H174">
        <v>0.2</v>
      </c>
      <c r="I174" s="5">
        <v>45709</v>
      </c>
      <c r="J174" s="5" t="str">
        <f t="shared" si="11"/>
        <v>Feb</v>
      </c>
      <c r="K174">
        <v>380.75</v>
      </c>
    </row>
    <row r="175" ht="15.75" customHeight="1" spans="1:11">
      <c r="A175" t="s">
        <v>77</v>
      </c>
      <c r="B175" t="s">
        <v>53</v>
      </c>
      <c r="C175" t="s">
        <v>31</v>
      </c>
      <c r="D175" t="s">
        <v>23</v>
      </c>
      <c r="E175">
        <v>704.28</v>
      </c>
      <c r="F175">
        <v>15</v>
      </c>
      <c r="G175">
        <f t="shared" si="10"/>
        <v>10564.2</v>
      </c>
      <c r="H175">
        <v>0.2</v>
      </c>
      <c r="I175" s="5">
        <v>45712</v>
      </c>
      <c r="J175" s="5" t="str">
        <f t="shared" si="11"/>
        <v>Feb</v>
      </c>
      <c r="K175">
        <v>225.37</v>
      </c>
    </row>
    <row r="176" ht="15.75" customHeight="1" spans="1:11">
      <c r="A176" t="s">
        <v>75</v>
      </c>
      <c r="B176" t="s">
        <v>57</v>
      </c>
      <c r="C176" t="s">
        <v>9</v>
      </c>
      <c r="D176" t="s">
        <v>49</v>
      </c>
      <c r="E176">
        <v>1618.22</v>
      </c>
      <c r="F176">
        <v>12</v>
      </c>
      <c r="G176">
        <f t="shared" si="10"/>
        <v>19418.64</v>
      </c>
      <c r="H176">
        <v>0.2</v>
      </c>
      <c r="I176" s="5">
        <v>45712</v>
      </c>
      <c r="J176" s="5" t="str">
        <f t="shared" si="11"/>
        <v>Feb</v>
      </c>
      <c r="K176">
        <v>582.56</v>
      </c>
    </row>
    <row r="177" ht="15.75" customHeight="1" spans="1:11">
      <c r="A177" t="s">
        <v>83</v>
      </c>
      <c r="B177" t="s">
        <v>63</v>
      </c>
      <c r="C177" t="s">
        <v>9</v>
      </c>
      <c r="D177" t="s">
        <v>23</v>
      </c>
      <c r="E177">
        <v>1014.43</v>
      </c>
      <c r="F177">
        <v>2</v>
      </c>
      <c r="G177">
        <f t="shared" si="10"/>
        <v>2028.86</v>
      </c>
      <c r="H177">
        <v>0.15</v>
      </c>
      <c r="I177" s="5">
        <v>45713</v>
      </c>
      <c r="J177" s="5" t="str">
        <f t="shared" si="11"/>
        <v>Feb</v>
      </c>
      <c r="K177">
        <v>344.91</v>
      </c>
    </row>
    <row r="178" ht="15.75" customHeight="1" spans="1:11">
      <c r="A178" t="s">
        <v>85</v>
      </c>
      <c r="B178" t="s">
        <v>42</v>
      </c>
      <c r="C178" t="s">
        <v>9</v>
      </c>
      <c r="D178" t="s">
        <v>26</v>
      </c>
      <c r="E178">
        <v>826.97</v>
      </c>
      <c r="F178">
        <v>18</v>
      </c>
      <c r="G178">
        <f t="shared" si="10"/>
        <v>14885.46</v>
      </c>
      <c r="H178">
        <v>0.2</v>
      </c>
      <c r="I178" s="5">
        <v>45715</v>
      </c>
      <c r="J178" s="5" t="str">
        <f t="shared" si="11"/>
        <v>Feb</v>
      </c>
      <c r="K178">
        <v>330.79</v>
      </c>
    </row>
    <row r="179" ht="15.75" customHeight="1" spans="1:11">
      <c r="A179" t="s">
        <v>27</v>
      </c>
      <c r="B179" t="s">
        <v>42</v>
      </c>
      <c r="C179" t="s">
        <v>9</v>
      </c>
      <c r="D179" t="s">
        <v>26</v>
      </c>
      <c r="E179">
        <v>1022.23</v>
      </c>
      <c r="F179">
        <v>8</v>
      </c>
      <c r="G179">
        <f t="shared" si="10"/>
        <v>8177.84</v>
      </c>
      <c r="H179">
        <v>0.1</v>
      </c>
      <c r="I179" s="5">
        <v>45717</v>
      </c>
      <c r="J179" s="5" t="str">
        <f t="shared" si="11"/>
        <v>Mar</v>
      </c>
      <c r="K179">
        <v>460</v>
      </c>
    </row>
    <row r="180" ht="15.75" customHeight="1" spans="1:11">
      <c r="A180" t="s">
        <v>82</v>
      </c>
      <c r="B180" t="s">
        <v>40</v>
      </c>
      <c r="C180" t="s">
        <v>29</v>
      </c>
      <c r="D180" t="s">
        <v>23</v>
      </c>
      <c r="E180">
        <v>1099.69</v>
      </c>
      <c r="F180">
        <v>6</v>
      </c>
      <c r="G180">
        <f t="shared" si="10"/>
        <v>6598.14</v>
      </c>
      <c r="H180">
        <v>0</v>
      </c>
      <c r="I180" s="5">
        <v>45718</v>
      </c>
      <c r="J180" s="5" t="str">
        <f t="shared" si="11"/>
        <v>Mar</v>
      </c>
      <c r="K180">
        <v>439.88</v>
      </c>
    </row>
    <row r="181" ht="15.75" customHeight="1" spans="1:11">
      <c r="A181" t="s">
        <v>62</v>
      </c>
      <c r="B181" t="s">
        <v>74</v>
      </c>
      <c r="C181" t="s">
        <v>35</v>
      </c>
      <c r="D181" t="s">
        <v>23</v>
      </c>
      <c r="E181">
        <v>710.52</v>
      </c>
      <c r="F181">
        <v>8</v>
      </c>
      <c r="G181">
        <f t="shared" si="10"/>
        <v>5684.16</v>
      </c>
      <c r="H181">
        <v>0.1</v>
      </c>
      <c r="I181" s="5">
        <v>45721</v>
      </c>
      <c r="J181" s="5" t="str">
        <f t="shared" si="11"/>
        <v>Mar</v>
      </c>
      <c r="K181">
        <v>255.79</v>
      </c>
    </row>
    <row r="182" ht="15.75" customHeight="1" spans="1:11">
      <c r="A182" t="s">
        <v>62</v>
      </c>
      <c r="B182" t="s">
        <v>69</v>
      </c>
      <c r="C182" t="s">
        <v>35</v>
      </c>
      <c r="D182" t="s">
        <v>23</v>
      </c>
      <c r="E182">
        <v>499.18</v>
      </c>
      <c r="F182">
        <v>15</v>
      </c>
      <c r="G182">
        <f t="shared" si="10"/>
        <v>7487.7</v>
      </c>
      <c r="H182">
        <v>0.2</v>
      </c>
      <c r="I182" s="5">
        <v>45724</v>
      </c>
      <c r="J182" s="5" t="str">
        <f t="shared" si="11"/>
        <v>Mar</v>
      </c>
      <c r="K182">
        <v>159.74</v>
      </c>
    </row>
    <row r="183" ht="15.75" customHeight="1" spans="1:11">
      <c r="A183" t="s">
        <v>47</v>
      </c>
      <c r="B183" t="s">
        <v>48</v>
      </c>
      <c r="C183" t="s">
        <v>31</v>
      </c>
      <c r="D183" t="s">
        <v>23</v>
      </c>
      <c r="E183">
        <v>1064.19</v>
      </c>
      <c r="F183">
        <v>18</v>
      </c>
      <c r="G183">
        <f t="shared" si="10"/>
        <v>19155.42</v>
      </c>
      <c r="H183">
        <v>0.05</v>
      </c>
      <c r="I183" s="5">
        <v>45725</v>
      </c>
      <c r="J183" s="5" t="str">
        <f t="shared" si="11"/>
        <v>Mar</v>
      </c>
      <c r="K183">
        <v>404.39</v>
      </c>
    </row>
    <row r="184" ht="15.75" customHeight="1" spans="1:11">
      <c r="A184" t="s">
        <v>77</v>
      </c>
      <c r="B184" t="s">
        <v>48</v>
      </c>
      <c r="C184" t="s">
        <v>29</v>
      </c>
      <c r="D184" t="s">
        <v>49</v>
      </c>
      <c r="E184">
        <v>438.76</v>
      </c>
      <c r="F184">
        <v>18</v>
      </c>
      <c r="G184">
        <f t="shared" si="10"/>
        <v>7897.68</v>
      </c>
      <c r="H184">
        <v>0.05</v>
      </c>
      <c r="I184" s="5">
        <v>45726</v>
      </c>
      <c r="J184" s="5" t="str">
        <f t="shared" si="11"/>
        <v>Mar</v>
      </c>
      <c r="K184">
        <v>187.57</v>
      </c>
    </row>
    <row r="185" ht="15.75" customHeight="1" spans="1:11">
      <c r="A185" t="s">
        <v>51</v>
      </c>
      <c r="B185" t="s">
        <v>65</v>
      </c>
      <c r="C185" t="s">
        <v>22</v>
      </c>
      <c r="D185" t="s">
        <v>26</v>
      </c>
      <c r="E185">
        <v>864.98</v>
      </c>
      <c r="F185">
        <v>2</v>
      </c>
      <c r="G185">
        <f t="shared" si="10"/>
        <v>1729.96</v>
      </c>
      <c r="H185">
        <v>0.05</v>
      </c>
      <c r="I185" s="5">
        <v>45727</v>
      </c>
      <c r="J185" s="5" t="str">
        <f t="shared" si="11"/>
        <v>Mar</v>
      </c>
      <c r="K185">
        <v>410.87</v>
      </c>
    </row>
    <row r="186" ht="15.75" customHeight="1" spans="1:11">
      <c r="A186" t="s">
        <v>67</v>
      </c>
      <c r="B186" t="s">
        <v>65</v>
      </c>
      <c r="C186" t="s">
        <v>22</v>
      </c>
      <c r="D186" t="s">
        <v>38</v>
      </c>
      <c r="E186">
        <v>984.93</v>
      </c>
      <c r="F186">
        <v>14</v>
      </c>
      <c r="G186">
        <f t="shared" si="10"/>
        <v>13789.02</v>
      </c>
      <c r="H186">
        <v>0.2</v>
      </c>
      <c r="I186" s="5">
        <v>45733</v>
      </c>
      <c r="J186" s="5" t="str">
        <f t="shared" si="11"/>
        <v>Mar</v>
      </c>
      <c r="K186">
        <v>275.78</v>
      </c>
    </row>
    <row r="187" ht="15.75" customHeight="1" spans="1:11">
      <c r="A187" t="s">
        <v>36</v>
      </c>
      <c r="B187" t="s">
        <v>65</v>
      </c>
      <c r="C187" t="s">
        <v>22</v>
      </c>
      <c r="D187" t="s">
        <v>26</v>
      </c>
      <c r="E187">
        <v>1493.49</v>
      </c>
      <c r="F187">
        <v>18</v>
      </c>
      <c r="G187">
        <f t="shared" si="10"/>
        <v>26882.82</v>
      </c>
      <c r="H187">
        <v>0</v>
      </c>
      <c r="I187" s="5">
        <v>45734</v>
      </c>
      <c r="J187" s="5" t="str">
        <f t="shared" si="11"/>
        <v>Mar</v>
      </c>
      <c r="K187">
        <v>746.74</v>
      </c>
    </row>
    <row r="188" ht="15.75" customHeight="1" spans="1:11">
      <c r="A188" t="s">
        <v>43</v>
      </c>
      <c r="B188" t="s">
        <v>63</v>
      </c>
      <c r="C188" t="s">
        <v>31</v>
      </c>
      <c r="D188" t="s">
        <v>26</v>
      </c>
      <c r="E188">
        <v>689.43</v>
      </c>
      <c r="F188">
        <v>9</v>
      </c>
      <c r="G188">
        <f t="shared" si="10"/>
        <v>6204.87</v>
      </c>
      <c r="H188">
        <v>0.1</v>
      </c>
      <c r="I188" s="5">
        <v>45736</v>
      </c>
      <c r="J188" s="5" t="str">
        <f t="shared" si="11"/>
        <v>Mar</v>
      </c>
      <c r="K188">
        <v>310.24</v>
      </c>
    </row>
    <row r="189" ht="15.75" customHeight="1" spans="1:11">
      <c r="A189" t="s">
        <v>50</v>
      </c>
      <c r="B189" t="s">
        <v>69</v>
      </c>
      <c r="C189" t="s">
        <v>31</v>
      </c>
      <c r="D189" t="s">
        <v>26</v>
      </c>
      <c r="E189">
        <v>682.24</v>
      </c>
      <c r="F189">
        <v>1</v>
      </c>
      <c r="G189">
        <f t="shared" si="10"/>
        <v>682.24</v>
      </c>
      <c r="H189">
        <v>0</v>
      </c>
      <c r="I189" s="5">
        <v>45738</v>
      </c>
      <c r="J189" s="5" t="str">
        <f t="shared" si="11"/>
        <v>Mar</v>
      </c>
      <c r="K189">
        <v>341.12</v>
      </c>
    </row>
    <row r="190" ht="15.75" customHeight="1" spans="1:11">
      <c r="A190" t="s">
        <v>51</v>
      </c>
      <c r="B190" t="s">
        <v>37</v>
      </c>
      <c r="C190" t="s">
        <v>35</v>
      </c>
      <c r="D190" t="s">
        <v>32</v>
      </c>
      <c r="E190">
        <v>458.54</v>
      </c>
      <c r="F190">
        <v>15</v>
      </c>
      <c r="G190">
        <f t="shared" si="10"/>
        <v>6878.1</v>
      </c>
      <c r="H190">
        <v>0.2</v>
      </c>
      <c r="I190" s="5">
        <v>45741</v>
      </c>
      <c r="J190" s="5" t="str">
        <f t="shared" si="11"/>
        <v>Mar</v>
      </c>
      <c r="K190">
        <v>91.71</v>
      </c>
    </row>
    <row r="191" ht="15.75" customHeight="1" spans="1:11">
      <c r="A191" t="s">
        <v>43</v>
      </c>
      <c r="B191" t="s">
        <v>37</v>
      </c>
      <c r="C191" t="s">
        <v>31</v>
      </c>
      <c r="D191" t="s">
        <v>38</v>
      </c>
      <c r="E191">
        <v>1184.25</v>
      </c>
      <c r="F191">
        <v>11</v>
      </c>
      <c r="G191">
        <f t="shared" si="10"/>
        <v>13026.75</v>
      </c>
      <c r="H191">
        <v>0.2</v>
      </c>
      <c r="I191" s="5">
        <v>45742</v>
      </c>
      <c r="J191" s="5" t="str">
        <f t="shared" si="11"/>
        <v>Mar</v>
      </c>
      <c r="K191">
        <v>331.59</v>
      </c>
    </row>
    <row r="192" ht="15.75" customHeight="1" spans="1:11">
      <c r="A192" t="s">
        <v>36</v>
      </c>
      <c r="B192" t="s">
        <v>21</v>
      </c>
      <c r="C192" t="s">
        <v>31</v>
      </c>
      <c r="D192" t="s">
        <v>26</v>
      </c>
      <c r="E192">
        <v>762.14</v>
      </c>
      <c r="F192">
        <v>9</v>
      </c>
      <c r="G192">
        <f t="shared" si="10"/>
        <v>6859.26</v>
      </c>
      <c r="H192">
        <v>0</v>
      </c>
      <c r="I192" s="5">
        <v>45743</v>
      </c>
      <c r="J192" s="5" t="str">
        <f t="shared" si="11"/>
        <v>Mar</v>
      </c>
      <c r="K192">
        <v>381.07</v>
      </c>
    </row>
    <row r="193" ht="15.75" customHeight="1" spans="1:11">
      <c r="A193" t="s">
        <v>33</v>
      </c>
      <c r="B193" t="s">
        <v>63</v>
      </c>
      <c r="C193" t="s">
        <v>35</v>
      </c>
      <c r="D193" t="s">
        <v>23</v>
      </c>
      <c r="E193">
        <v>750.71</v>
      </c>
      <c r="F193">
        <v>10</v>
      </c>
      <c r="G193">
        <f t="shared" si="10"/>
        <v>7507.1</v>
      </c>
      <c r="H193">
        <v>0.15</v>
      </c>
      <c r="I193" s="5">
        <v>45743</v>
      </c>
      <c r="J193" s="5" t="str">
        <f t="shared" si="11"/>
        <v>Mar</v>
      </c>
      <c r="K193">
        <v>255.24</v>
      </c>
    </row>
    <row r="194" ht="15.75" customHeight="1" spans="1:11">
      <c r="A194" t="s">
        <v>85</v>
      </c>
      <c r="B194" t="s">
        <v>81</v>
      </c>
      <c r="C194" t="s">
        <v>9</v>
      </c>
      <c r="D194" t="s">
        <v>26</v>
      </c>
      <c r="E194">
        <v>1456.94</v>
      </c>
      <c r="F194">
        <v>14</v>
      </c>
      <c r="G194">
        <f t="shared" si="10"/>
        <v>20397.16</v>
      </c>
      <c r="H194">
        <v>0.05</v>
      </c>
      <c r="I194" s="5">
        <v>45745</v>
      </c>
      <c r="J194" s="5" t="str">
        <f t="shared" si="11"/>
        <v>Mar</v>
      </c>
      <c r="K194">
        <v>692.05</v>
      </c>
    </row>
    <row r="195" ht="15.75" customHeight="1" spans="1:11">
      <c r="A195" t="s">
        <v>54</v>
      </c>
      <c r="B195" t="s">
        <v>71</v>
      </c>
      <c r="C195" t="s">
        <v>29</v>
      </c>
      <c r="D195" t="s">
        <v>38</v>
      </c>
      <c r="E195">
        <v>1093.38</v>
      </c>
      <c r="F195">
        <v>17</v>
      </c>
      <c r="G195">
        <f>E195*F195</f>
        <v>18587.46</v>
      </c>
      <c r="H195">
        <v>0.1</v>
      </c>
      <c r="I195" s="5">
        <v>45745</v>
      </c>
      <c r="J195" s="5" t="str">
        <f>TEXT(I195,"mmm")</f>
        <v>Mar</v>
      </c>
      <c r="K195">
        <v>344.41</v>
      </c>
    </row>
    <row r="196" ht="15.75" customHeight="1" spans="1:11">
      <c r="A196" t="s">
        <v>47</v>
      </c>
      <c r="B196" t="s">
        <v>53</v>
      </c>
      <c r="C196" t="s">
        <v>22</v>
      </c>
      <c r="D196" t="s">
        <v>26</v>
      </c>
      <c r="E196">
        <v>934.27</v>
      </c>
      <c r="F196">
        <v>8</v>
      </c>
      <c r="G196">
        <f>E196*F196</f>
        <v>7474.16</v>
      </c>
      <c r="H196">
        <v>0.15</v>
      </c>
      <c r="I196" s="5">
        <v>45746</v>
      </c>
      <c r="J196" s="5" t="str">
        <f>TEXT(I196,"mmm")</f>
        <v>Mar</v>
      </c>
      <c r="K196">
        <v>397.06</v>
      </c>
    </row>
    <row r="197" ht="15.75" customHeight="1" spans="1:11">
      <c r="A197" t="s">
        <v>80</v>
      </c>
      <c r="B197" t="s">
        <v>46</v>
      </c>
      <c r="C197" t="s">
        <v>9</v>
      </c>
      <c r="D197" t="s">
        <v>26</v>
      </c>
      <c r="E197">
        <v>1465.35</v>
      </c>
      <c r="F197">
        <v>8</v>
      </c>
      <c r="G197">
        <f>E197*F197</f>
        <v>11722.8</v>
      </c>
      <c r="H197">
        <v>0.2</v>
      </c>
      <c r="I197" s="5">
        <v>45746</v>
      </c>
      <c r="J197" s="5" t="str">
        <f>TEXT(I197,"mmm")</f>
        <v>Mar</v>
      </c>
      <c r="K197">
        <v>586.14</v>
      </c>
    </row>
    <row r="198" ht="15.75" customHeight="1" spans="1:11">
      <c r="A198" t="s">
        <v>62</v>
      </c>
      <c r="B198" t="s">
        <v>25</v>
      </c>
      <c r="C198" t="s">
        <v>31</v>
      </c>
      <c r="D198" t="s">
        <v>49</v>
      </c>
      <c r="E198">
        <v>740.8</v>
      </c>
      <c r="F198">
        <v>3</v>
      </c>
      <c r="G198">
        <f>E198*F198</f>
        <v>2222.4</v>
      </c>
      <c r="H198">
        <v>0</v>
      </c>
      <c r="I198" s="5">
        <v>45749</v>
      </c>
      <c r="J198" s="5" t="str">
        <f>TEXT(I198,"mmm")</f>
        <v>Apr</v>
      </c>
      <c r="K198">
        <v>333.36</v>
      </c>
    </row>
    <row r="199" ht="15.75" customHeight="1" spans="1:11">
      <c r="A199" t="s">
        <v>68</v>
      </c>
      <c r="B199" t="s">
        <v>53</v>
      </c>
      <c r="C199" t="s">
        <v>22</v>
      </c>
      <c r="D199" t="s">
        <v>49</v>
      </c>
      <c r="E199">
        <v>545.44</v>
      </c>
      <c r="F199">
        <v>17</v>
      </c>
      <c r="G199">
        <f>E199*F199</f>
        <v>9272.48</v>
      </c>
      <c r="H199">
        <v>0</v>
      </c>
      <c r="I199" s="5">
        <v>45752</v>
      </c>
      <c r="J199" s="5" t="str">
        <f>TEXT(I199,"mmm")</f>
        <v>Apr</v>
      </c>
      <c r="K199">
        <v>245.45</v>
      </c>
    </row>
    <row r="200" ht="15.75" customHeight="1" spans="1:11">
      <c r="A200" t="s">
        <v>45</v>
      </c>
      <c r="B200" t="s">
        <v>46</v>
      </c>
      <c r="C200" t="s">
        <v>29</v>
      </c>
      <c r="D200" t="s">
        <v>23</v>
      </c>
      <c r="E200">
        <v>997.61</v>
      </c>
      <c r="F200">
        <v>8</v>
      </c>
      <c r="G200">
        <f>E200*F200</f>
        <v>7980.88</v>
      </c>
      <c r="H200">
        <v>0.05</v>
      </c>
      <c r="I200" s="5">
        <v>45752</v>
      </c>
      <c r="J200" s="5" t="str">
        <f>TEXT(I200,"mmm")</f>
        <v>Apr</v>
      </c>
      <c r="K200">
        <v>379.09</v>
      </c>
    </row>
    <row r="201" ht="15.75" customHeight="1" spans="1:11">
      <c r="A201" t="s">
        <v>70</v>
      </c>
      <c r="B201" t="s">
        <v>46</v>
      </c>
      <c r="C201" t="s">
        <v>31</v>
      </c>
      <c r="D201" t="s">
        <v>26</v>
      </c>
      <c r="E201">
        <v>928.32</v>
      </c>
      <c r="F201">
        <v>2</v>
      </c>
      <c r="G201">
        <f>E201*F201</f>
        <v>1856.64</v>
      </c>
      <c r="H201">
        <v>0.05</v>
      </c>
      <c r="I201" s="5">
        <v>45754</v>
      </c>
      <c r="J201" s="5" t="str">
        <f>TEXT(I201,"mmm")</f>
        <v>Apr</v>
      </c>
      <c r="K201">
        <v>440.95</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paperSize="1" orientation="landscape"/>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1"/>
  <sheetViews>
    <sheetView workbookViewId="0">
      <selection activeCell="O6" sqref="O6"/>
    </sheetView>
  </sheetViews>
  <sheetFormatPr defaultColWidth="8.72727272727273" defaultRowHeight="14.5"/>
  <cols>
    <col min="7" max="7" width="14.2727272727273" customWidth="1"/>
    <col min="14" max="14" width="12.8181818181818" customWidth="1"/>
    <col min="15" max="15" width="10.5454545454545"/>
  </cols>
  <sheetData>
    <row r="1" spans="1:11">
      <c r="A1" t="str" cm="1">
        <f t="array" ref="A1:K201">customar_name</f>
        <v>Customer_ID</v>
      </c>
      <c r="B1" t="str">
        <v>Customer_Name</v>
      </c>
      <c r="C1" t="str">
        <v>Region</v>
      </c>
      <c r="D1" t="str">
        <v>Product_Category</v>
      </c>
      <c r="E1" t="str">
        <v>Sales</v>
      </c>
      <c r="F1" t="str">
        <v>Quantity</v>
      </c>
      <c r="G1" t="str">
        <v>Total Purchase</v>
      </c>
      <c r="H1" t="str">
        <v>Discount</v>
      </c>
      <c r="I1" t="str">
        <v>Order_Date</v>
      </c>
      <c r="J1" t="str">
        <v>Month</v>
      </c>
      <c r="K1" t="str">
        <v>Profit</v>
      </c>
    </row>
    <row r="2" spans="1:11">
      <c r="A2" t="str">
        <v>CUST019</v>
      </c>
      <c r="B2" t="str">
        <v>James Davis</v>
      </c>
      <c r="C2" t="str">
        <v>West</v>
      </c>
      <c r="D2" t="str">
        <v>Books</v>
      </c>
      <c r="E2">
        <v>1036.09</v>
      </c>
      <c r="F2">
        <v>4</v>
      </c>
      <c r="G2">
        <v>4144.36</v>
      </c>
      <c r="H2">
        <v>0.2</v>
      </c>
      <c r="I2">
        <v>45392</v>
      </c>
      <c r="J2" t="str">
        <v>Apr</v>
      </c>
      <c r="K2">
        <v>331.55</v>
      </c>
    </row>
    <row r="3" spans="1:11">
      <c r="A3" t="str">
        <v>CUST012</v>
      </c>
      <c r="B3" t="str">
        <v>Robert Anderson</v>
      </c>
      <c r="C3" t="str">
        <v>West</v>
      </c>
      <c r="D3" t="str">
        <v>Clothing</v>
      </c>
      <c r="E3">
        <v>1101.28</v>
      </c>
      <c r="F3">
        <v>3</v>
      </c>
      <c r="G3">
        <v>3303.84</v>
      </c>
      <c r="H3">
        <v>0.2</v>
      </c>
      <c r="I3">
        <v>45393</v>
      </c>
      <c r="J3" t="str">
        <v>Apr</v>
      </c>
      <c r="K3">
        <v>440.51</v>
      </c>
    </row>
    <row r="4" spans="1:11">
      <c r="A4" t="str">
        <v>CUST017</v>
      </c>
      <c r="B4" t="str">
        <v>James Taylor</v>
      </c>
      <c r="C4" t="str">
        <v>East</v>
      </c>
      <c r="D4" t="str">
        <v>Books</v>
      </c>
      <c r="E4">
        <v>713.34</v>
      </c>
      <c r="F4">
        <v>17</v>
      </c>
      <c r="G4">
        <v>12126.78</v>
      </c>
      <c r="H4">
        <v>0</v>
      </c>
      <c r="I4">
        <v>45396</v>
      </c>
      <c r="J4" t="str">
        <v>Apr</v>
      </c>
      <c r="K4">
        <v>285.34</v>
      </c>
    </row>
    <row r="5" spans="1:15">
      <c r="A5" t="str">
        <v>CUST005</v>
      </c>
      <c r="B5" t="str">
        <v>Robert Anderson</v>
      </c>
      <c r="C5" t="str">
        <v>South</v>
      </c>
      <c r="D5" t="str">
        <v>Electronics</v>
      </c>
      <c r="E5">
        <v>760.93</v>
      </c>
      <c r="F5">
        <v>4</v>
      </c>
      <c r="G5">
        <v>3043.72</v>
      </c>
      <c r="H5">
        <v>0.15</v>
      </c>
      <c r="I5">
        <v>45396</v>
      </c>
      <c r="J5" t="str">
        <v>Apr</v>
      </c>
      <c r="K5">
        <v>161.7</v>
      </c>
      <c r="N5" t="s">
        <v>86</v>
      </c>
      <c r="O5" s="1">
        <f>SUM(E2:E201)</f>
        <v>195217.76</v>
      </c>
    </row>
    <row r="6" spans="1:15">
      <c r="A6" t="str">
        <v>CUST030</v>
      </c>
      <c r="B6" t="str">
        <v>James Wilson</v>
      </c>
      <c r="C6" t="str">
        <v>North</v>
      </c>
      <c r="D6" t="str">
        <v>Books</v>
      </c>
      <c r="E6">
        <v>847</v>
      </c>
      <c r="F6">
        <v>12</v>
      </c>
      <c r="G6">
        <v>10164</v>
      </c>
      <c r="H6">
        <v>0.2</v>
      </c>
      <c r="I6">
        <v>45397</v>
      </c>
      <c r="J6" t="str">
        <v>Apr</v>
      </c>
      <c r="K6">
        <v>271.04</v>
      </c>
      <c r="N6" t="s">
        <v>87</v>
      </c>
      <c r="O6" s="1">
        <f>SUM(K2:K201)</f>
        <v>68287.01</v>
      </c>
    </row>
    <row r="7" spans="1:11">
      <c r="A7" t="str">
        <v>CUST007</v>
      </c>
      <c r="B7" t="str">
        <v>Michael Anderson</v>
      </c>
      <c r="C7" t="str">
        <v>North</v>
      </c>
      <c r="D7" t="str">
        <v>Furniture</v>
      </c>
      <c r="E7">
        <v>965.64</v>
      </c>
      <c r="F7">
        <v>8</v>
      </c>
      <c r="G7">
        <v>7725.12</v>
      </c>
      <c r="H7">
        <v>0.1</v>
      </c>
      <c r="I7">
        <v>45398</v>
      </c>
      <c r="J7" t="str">
        <v>Apr</v>
      </c>
      <c r="K7">
        <v>304.18</v>
      </c>
    </row>
    <row r="8" spans="1:11">
      <c r="A8" t="str">
        <v>CUST001</v>
      </c>
      <c r="B8" t="str">
        <v>Linda Wilson</v>
      </c>
      <c r="C8" t="str">
        <v>West</v>
      </c>
      <c r="D8" t="str">
        <v>Electronics</v>
      </c>
      <c r="E8">
        <v>1317.53</v>
      </c>
      <c r="F8">
        <v>12</v>
      </c>
      <c r="G8">
        <v>15810.36</v>
      </c>
      <c r="H8">
        <v>0.05</v>
      </c>
      <c r="I8">
        <v>45398</v>
      </c>
      <c r="J8" t="str">
        <v>Apr</v>
      </c>
      <c r="K8">
        <v>312.91</v>
      </c>
    </row>
    <row r="9" spans="1:11">
      <c r="A9" t="str">
        <v>CUST026</v>
      </c>
      <c r="B9" t="str">
        <v>Mary Davis</v>
      </c>
      <c r="C9" t="str">
        <v>East</v>
      </c>
      <c r="D9" t="str">
        <v>Furniture</v>
      </c>
      <c r="E9">
        <v>1074.47</v>
      </c>
      <c r="F9">
        <v>6</v>
      </c>
      <c r="G9">
        <v>6446.82</v>
      </c>
      <c r="H9">
        <v>0.2</v>
      </c>
      <c r="I9">
        <v>45401</v>
      </c>
      <c r="J9" t="str">
        <v>Apr</v>
      </c>
      <c r="K9">
        <v>300.85</v>
      </c>
    </row>
    <row r="10" spans="1:11">
      <c r="A10" t="str">
        <v>CUST009</v>
      </c>
      <c r="B10" t="str">
        <v>Linda Jackson</v>
      </c>
      <c r="C10" t="str">
        <v>Central</v>
      </c>
      <c r="D10" t="str">
        <v>Books</v>
      </c>
      <c r="E10">
        <v>501.54</v>
      </c>
      <c r="F10">
        <v>11</v>
      </c>
      <c r="G10">
        <v>5516.94</v>
      </c>
      <c r="H10">
        <v>0.05</v>
      </c>
      <c r="I10">
        <v>45401</v>
      </c>
      <c r="J10" t="str">
        <v>Apr</v>
      </c>
      <c r="K10">
        <v>190.59</v>
      </c>
    </row>
    <row r="11" spans="1:11">
      <c r="A11" t="str">
        <v>CUST010</v>
      </c>
      <c r="B11" t="str">
        <v>David Thomas</v>
      </c>
      <c r="C11" t="str">
        <v>Central</v>
      </c>
      <c r="D11" t="str">
        <v>Clothing</v>
      </c>
      <c r="E11">
        <v>737.31</v>
      </c>
      <c r="F11">
        <v>2</v>
      </c>
      <c r="G11">
        <v>1474.62</v>
      </c>
      <c r="H11">
        <v>0.05</v>
      </c>
      <c r="I11">
        <v>45401</v>
      </c>
      <c r="J11" t="str">
        <v>Apr</v>
      </c>
      <c r="K11">
        <v>350.22</v>
      </c>
    </row>
    <row r="12" spans="1:11">
      <c r="A12" t="str">
        <v>CUST014</v>
      </c>
      <c r="B12" t="str">
        <v>Emma Davis</v>
      </c>
      <c r="C12" t="str">
        <v>West</v>
      </c>
      <c r="D12" t="str">
        <v>Office Supplies</v>
      </c>
      <c r="E12">
        <v>1572.82</v>
      </c>
      <c r="F12">
        <v>6</v>
      </c>
      <c r="G12">
        <v>9436.92</v>
      </c>
      <c r="H12">
        <v>0.05</v>
      </c>
      <c r="I12">
        <v>45402</v>
      </c>
      <c r="J12" t="str">
        <v>Apr</v>
      </c>
      <c r="K12">
        <v>672.38</v>
      </c>
    </row>
    <row r="13" spans="1:11">
      <c r="A13" t="str">
        <v>CUST014</v>
      </c>
      <c r="B13" t="str">
        <v>David Thomas</v>
      </c>
      <c r="C13" t="str">
        <v>Central</v>
      </c>
      <c r="D13" t="str">
        <v>Books</v>
      </c>
      <c r="E13">
        <v>1343.13</v>
      </c>
      <c r="F13">
        <v>14</v>
      </c>
      <c r="G13">
        <v>18803.82</v>
      </c>
      <c r="H13">
        <v>0.15</v>
      </c>
      <c r="I13">
        <v>45404</v>
      </c>
      <c r="J13" t="str">
        <v>Apr</v>
      </c>
      <c r="K13">
        <v>456.66</v>
      </c>
    </row>
    <row r="14" spans="1:11">
      <c r="A14" t="str">
        <v>CUST007</v>
      </c>
      <c r="B14" t="str">
        <v>Michael Anderson</v>
      </c>
      <c r="C14" t="str">
        <v>Central</v>
      </c>
      <c r="D14" t="str">
        <v>Books</v>
      </c>
      <c r="E14">
        <v>1191.58</v>
      </c>
      <c r="F14">
        <v>14</v>
      </c>
      <c r="G14">
        <v>16682.12</v>
      </c>
      <c r="H14">
        <v>0.05</v>
      </c>
      <c r="I14">
        <v>45406</v>
      </c>
      <c r="J14" t="str">
        <v>Apr</v>
      </c>
      <c r="K14">
        <v>452.8</v>
      </c>
    </row>
    <row r="15" spans="1:11">
      <c r="A15" t="str">
        <v>CUST023</v>
      </c>
      <c r="B15" t="str">
        <v>Robert Anderson</v>
      </c>
      <c r="C15" t="str">
        <v>West</v>
      </c>
      <c r="D15" t="str">
        <v>Furniture</v>
      </c>
      <c r="E15">
        <v>822.28</v>
      </c>
      <c r="F15">
        <v>7</v>
      </c>
      <c r="G15">
        <v>5755.96</v>
      </c>
      <c r="H15">
        <v>0.05</v>
      </c>
      <c r="I15">
        <v>45406</v>
      </c>
      <c r="J15" t="str">
        <v>Apr</v>
      </c>
      <c r="K15">
        <v>273.41</v>
      </c>
    </row>
    <row r="16" spans="1:11">
      <c r="A16" t="str">
        <v>CUST029</v>
      </c>
      <c r="B16" t="str">
        <v>David Smith</v>
      </c>
      <c r="C16" t="str">
        <v>North</v>
      </c>
      <c r="D16" t="str">
        <v>Furniture</v>
      </c>
      <c r="E16">
        <v>521.67</v>
      </c>
      <c r="F16">
        <v>15</v>
      </c>
      <c r="G16">
        <v>7825.05</v>
      </c>
      <c r="H16">
        <v>0.15</v>
      </c>
      <c r="I16">
        <v>45409</v>
      </c>
      <c r="J16" t="str">
        <v>Apr</v>
      </c>
      <c r="K16">
        <v>155.2</v>
      </c>
    </row>
    <row r="17" spans="1:11">
      <c r="A17" t="str">
        <v>CUST005</v>
      </c>
      <c r="B17" t="str">
        <v>Sarah Anderson</v>
      </c>
      <c r="C17" t="str">
        <v>South</v>
      </c>
      <c r="D17" t="str">
        <v>Electronics</v>
      </c>
      <c r="E17">
        <v>1502.93</v>
      </c>
      <c r="F17">
        <v>14</v>
      </c>
      <c r="G17">
        <v>21041.02</v>
      </c>
      <c r="H17">
        <v>0.2</v>
      </c>
      <c r="I17">
        <v>45410</v>
      </c>
      <c r="J17" t="str">
        <v>Apr</v>
      </c>
      <c r="K17">
        <v>300.59</v>
      </c>
    </row>
    <row r="18" spans="1:11">
      <c r="A18" t="str">
        <v>CUST008</v>
      </c>
      <c r="B18" t="str">
        <v>Robert Anderson</v>
      </c>
      <c r="C18" t="str">
        <v>South</v>
      </c>
      <c r="D18" t="str">
        <v>Books</v>
      </c>
      <c r="E18">
        <v>877.58</v>
      </c>
      <c r="F18">
        <v>10</v>
      </c>
      <c r="G18">
        <v>8775.8</v>
      </c>
      <c r="H18">
        <v>0.15</v>
      </c>
      <c r="I18">
        <v>45411</v>
      </c>
      <c r="J18" t="str">
        <v>Apr</v>
      </c>
      <c r="K18">
        <v>298.38</v>
      </c>
    </row>
    <row r="19" spans="1:11">
      <c r="A19" t="str">
        <v>CUST001</v>
      </c>
      <c r="B19" t="str">
        <v>Lisa Thomas</v>
      </c>
      <c r="C19" t="str">
        <v>West</v>
      </c>
      <c r="D19" t="str">
        <v>Books</v>
      </c>
      <c r="E19">
        <v>636.7</v>
      </c>
      <c r="F19">
        <v>4</v>
      </c>
      <c r="G19">
        <v>2546.8</v>
      </c>
      <c r="H19">
        <v>0.2</v>
      </c>
      <c r="I19">
        <v>45411</v>
      </c>
      <c r="J19" t="str">
        <v>Apr</v>
      </c>
      <c r="K19">
        <v>203.74</v>
      </c>
    </row>
    <row r="20" spans="1:11">
      <c r="A20" t="str">
        <v>CUST006</v>
      </c>
      <c r="B20" t="str">
        <v>Mary Jackson</v>
      </c>
      <c r="C20" t="str">
        <v>West</v>
      </c>
      <c r="D20" t="str">
        <v>Books</v>
      </c>
      <c r="E20">
        <v>1506.14</v>
      </c>
      <c r="F20">
        <v>13</v>
      </c>
      <c r="G20">
        <v>19579.82</v>
      </c>
      <c r="H20">
        <v>0.2</v>
      </c>
      <c r="I20">
        <v>45412</v>
      </c>
      <c r="J20" t="str">
        <v>Apr</v>
      </c>
      <c r="K20">
        <v>481.96</v>
      </c>
    </row>
    <row r="21" spans="1:11">
      <c r="A21" t="str">
        <v>CUST026</v>
      </c>
      <c r="B21" t="str">
        <v>Mary Davis</v>
      </c>
      <c r="C21" t="str">
        <v>Central</v>
      </c>
      <c r="D21" t="str">
        <v>Electronics</v>
      </c>
      <c r="E21">
        <v>645.02</v>
      </c>
      <c r="F21">
        <v>4</v>
      </c>
      <c r="G21">
        <v>2580.08</v>
      </c>
      <c r="H21">
        <v>0</v>
      </c>
      <c r="I21">
        <v>45414</v>
      </c>
      <c r="J21" t="str">
        <v>May</v>
      </c>
      <c r="K21">
        <v>161.26</v>
      </c>
    </row>
    <row r="22" spans="1:11">
      <c r="A22" t="str">
        <v>CUST007</v>
      </c>
      <c r="B22" t="str">
        <v>Lisa Davis</v>
      </c>
      <c r="C22" t="str">
        <v>South</v>
      </c>
      <c r="D22" t="str">
        <v>Clothing</v>
      </c>
      <c r="E22">
        <v>953.3</v>
      </c>
      <c r="F22">
        <v>11</v>
      </c>
      <c r="G22">
        <v>10486.3</v>
      </c>
      <c r="H22">
        <v>0</v>
      </c>
      <c r="I22">
        <v>45415</v>
      </c>
      <c r="J22" t="str">
        <v>May</v>
      </c>
      <c r="K22">
        <v>476.65</v>
      </c>
    </row>
    <row r="23" spans="1:11">
      <c r="A23" t="str">
        <v>CUST022</v>
      </c>
      <c r="B23" t="str">
        <v>Robert Anderson</v>
      </c>
      <c r="C23" t="str">
        <v>North</v>
      </c>
      <c r="D23" t="str">
        <v>Electronics</v>
      </c>
      <c r="E23">
        <v>388.56</v>
      </c>
      <c r="F23">
        <v>14</v>
      </c>
      <c r="G23">
        <v>5439.84</v>
      </c>
      <c r="H23">
        <v>0.15</v>
      </c>
      <c r="I23">
        <v>45416</v>
      </c>
      <c r="J23" t="str">
        <v>May</v>
      </c>
      <c r="K23">
        <v>82.57</v>
      </c>
    </row>
    <row r="24" spans="1:11">
      <c r="A24" t="str">
        <v>CUST019</v>
      </c>
      <c r="B24" t="str">
        <v>Mary Davis</v>
      </c>
      <c r="C24" t="str">
        <v>West</v>
      </c>
      <c r="D24" t="str">
        <v>Books</v>
      </c>
      <c r="E24">
        <v>743.17</v>
      </c>
      <c r="F24">
        <v>9</v>
      </c>
      <c r="G24">
        <v>6688.53</v>
      </c>
      <c r="H24">
        <v>0</v>
      </c>
      <c r="I24">
        <v>45416</v>
      </c>
      <c r="J24" t="str">
        <v>May</v>
      </c>
      <c r="K24">
        <v>297.27</v>
      </c>
    </row>
    <row r="25" spans="1:11">
      <c r="A25" t="str">
        <v>CUST023</v>
      </c>
      <c r="B25" t="str">
        <v>Mary Davis</v>
      </c>
      <c r="C25" t="str">
        <v>Central</v>
      </c>
      <c r="D25" t="str">
        <v>Electronics</v>
      </c>
      <c r="E25">
        <v>706.37</v>
      </c>
      <c r="F25">
        <v>6</v>
      </c>
      <c r="G25">
        <v>4238.22</v>
      </c>
      <c r="H25">
        <v>0</v>
      </c>
      <c r="I25">
        <v>45416</v>
      </c>
      <c r="J25" t="str">
        <v>May</v>
      </c>
      <c r="K25">
        <v>176.59</v>
      </c>
    </row>
    <row r="26" spans="1:11">
      <c r="A26" t="str">
        <v>CUST012</v>
      </c>
      <c r="B26" t="str">
        <v>Mary Davis</v>
      </c>
      <c r="C26" t="str">
        <v>Central</v>
      </c>
      <c r="D26" t="str">
        <v>Office Supplies</v>
      </c>
      <c r="E26">
        <v>925.31</v>
      </c>
      <c r="F26">
        <v>8</v>
      </c>
      <c r="G26">
        <v>7402.48</v>
      </c>
      <c r="H26">
        <v>0.1</v>
      </c>
      <c r="I26">
        <v>45418</v>
      </c>
      <c r="J26" t="str">
        <v>May</v>
      </c>
      <c r="K26">
        <v>374.75</v>
      </c>
    </row>
    <row r="27" spans="1:11">
      <c r="A27" t="str">
        <v>CUST010</v>
      </c>
      <c r="B27" t="str">
        <v>Linda Brown</v>
      </c>
      <c r="C27" t="str">
        <v>South</v>
      </c>
      <c r="D27" t="str">
        <v>Electronics</v>
      </c>
      <c r="E27">
        <v>1173.12</v>
      </c>
      <c r="F27">
        <v>18</v>
      </c>
      <c r="G27">
        <v>21116.16</v>
      </c>
      <c r="H27">
        <v>0</v>
      </c>
      <c r="I27">
        <v>45418</v>
      </c>
      <c r="J27" t="str">
        <v>May</v>
      </c>
      <c r="K27">
        <v>293.28</v>
      </c>
    </row>
    <row r="28" spans="1:11">
      <c r="A28" t="str">
        <v>CUST030</v>
      </c>
      <c r="B28" t="str">
        <v>John Brown</v>
      </c>
      <c r="C28" t="str">
        <v>North</v>
      </c>
      <c r="D28" t="str">
        <v>Furniture</v>
      </c>
      <c r="E28">
        <v>675.54</v>
      </c>
      <c r="F28">
        <v>17</v>
      </c>
      <c r="G28">
        <v>11484.18</v>
      </c>
      <c r="H28">
        <v>0</v>
      </c>
      <c r="I28">
        <v>45420</v>
      </c>
      <c r="J28" t="str">
        <v>May</v>
      </c>
      <c r="K28">
        <v>236.44</v>
      </c>
    </row>
    <row r="29" spans="1:11">
      <c r="A29" t="str">
        <v>CUST007</v>
      </c>
      <c r="B29" t="str">
        <v>Robert Anderson</v>
      </c>
      <c r="C29" t="str">
        <v>Central</v>
      </c>
      <c r="D29" t="str">
        <v>Books</v>
      </c>
      <c r="E29">
        <v>939.09</v>
      </c>
      <c r="F29">
        <v>2</v>
      </c>
      <c r="G29">
        <v>1878.18</v>
      </c>
      <c r="H29">
        <v>0.05</v>
      </c>
      <c r="I29">
        <v>45422</v>
      </c>
      <c r="J29" t="str">
        <v>May</v>
      </c>
      <c r="K29">
        <v>356.85</v>
      </c>
    </row>
    <row r="30" spans="1:11">
      <c r="A30" t="str">
        <v>CUST028</v>
      </c>
      <c r="B30" t="str">
        <v>Linda Taylor</v>
      </c>
      <c r="C30" t="str">
        <v>East</v>
      </c>
      <c r="D30" t="str">
        <v>Office Supplies</v>
      </c>
      <c r="E30">
        <v>983.34</v>
      </c>
      <c r="F30">
        <v>19</v>
      </c>
      <c r="G30">
        <v>18683.46</v>
      </c>
      <c r="H30">
        <v>0.1</v>
      </c>
      <c r="I30">
        <v>45426</v>
      </c>
      <c r="J30" t="str">
        <v>May</v>
      </c>
      <c r="K30">
        <v>398.25</v>
      </c>
    </row>
    <row r="31" spans="1:11">
      <c r="A31" t="str">
        <v>CUST028</v>
      </c>
      <c r="B31" t="str">
        <v>James Wilson</v>
      </c>
      <c r="C31" t="str">
        <v>South</v>
      </c>
      <c r="D31" t="str">
        <v>Electronics</v>
      </c>
      <c r="E31">
        <v>801.21</v>
      </c>
      <c r="F31">
        <v>3</v>
      </c>
      <c r="G31">
        <v>2403.63</v>
      </c>
      <c r="H31">
        <v>0.2</v>
      </c>
      <c r="I31">
        <v>45426</v>
      </c>
      <c r="J31" t="str">
        <v>May</v>
      </c>
      <c r="K31">
        <v>160.24</v>
      </c>
    </row>
    <row r="32" spans="1:11">
      <c r="A32" t="str">
        <v>CUST025</v>
      </c>
      <c r="B32" t="str">
        <v>David Brown</v>
      </c>
      <c r="C32" t="str">
        <v>North</v>
      </c>
      <c r="D32" t="str">
        <v>Electronics</v>
      </c>
      <c r="E32">
        <v>1450.71</v>
      </c>
      <c r="F32">
        <v>5</v>
      </c>
      <c r="G32">
        <v>7253.55</v>
      </c>
      <c r="H32">
        <v>0.1</v>
      </c>
      <c r="I32">
        <v>45427</v>
      </c>
      <c r="J32" t="str">
        <v>May</v>
      </c>
      <c r="K32">
        <v>326.41</v>
      </c>
    </row>
    <row r="33" spans="1:11">
      <c r="A33" t="str">
        <v>CUST022</v>
      </c>
      <c r="B33" t="str">
        <v>David Davis</v>
      </c>
      <c r="C33" t="str">
        <v>Central</v>
      </c>
      <c r="D33" t="str">
        <v>Books</v>
      </c>
      <c r="E33">
        <v>1023.21</v>
      </c>
      <c r="F33">
        <v>18</v>
      </c>
      <c r="G33">
        <v>18417.78</v>
      </c>
      <c r="H33">
        <v>0.05</v>
      </c>
      <c r="I33">
        <v>45428</v>
      </c>
      <c r="J33" t="str">
        <v>May</v>
      </c>
      <c r="K33">
        <v>388.82</v>
      </c>
    </row>
    <row r="34" spans="1:11">
      <c r="A34" t="str">
        <v>CUST001</v>
      </c>
      <c r="B34" t="str">
        <v>Mary Jackson</v>
      </c>
      <c r="C34" t="str">
        <v>West</v>
      </c>
      <c r="D34" t="str">
        <v>Furniture</v>
      </c>
      <c r="E34">
        <v>853.72</v>
      </c>
      <c r="F34">
        <v>5</v>
      </c>
      <c r="G34">
        <v>4268.6</v>
      </c>
      <c r="H34">
        <v>0.15</v>
      </c>
      <c r="I34">
        <v>45428</v>
      </c>
      <c r="J34" t="str">
        <v>May</v>
      </c>
      <c r="K34">
        <v>253.98</v>
      </c>
    </row>
    <row r="35" spans="1:11">
      <c r="A35" t="str">
        <v>CUST021</v>
      </c>
      <c r="B35" t="str">
        <v>Sarah Anderson</v>
      </c>
      <c r="C35" t="str">
        <v>South</v>
      </c>
      <c r="D35" t="str">
        <v>Electronics</v>
      </c>
      <c r="E35">
        <v>967.89</v>
      </c>
      <c r="F35">
        <v>10</v>
      </c>
      <c r="G35">
        <v>9678.9</v>
      </c>
      <c r="H35">
        <v>0.1</v>
      </c>
      <c r="I35">
        <v>45429</v>
      </c>
      <c r="J35" t="str">
        <v>May</v>
      </c>
      <c r="K35">
        <v>217.78</v>
      </c>
    </row>
    <row r="36" spans="1:11">
      <c r="A36" t="str">
        <v>CUST015</v>
      </c>
      <c r="B36" t="str">
        <v>Linda Taylor</v>
      </c>
      <c r="C36" t="str">
        <v>North</v>
      </c>
      <c r="D36" t="str">
        <v>Office Supplies</v>
      </c>
      <c r="E36">
        <v>1200.9</v>
      </c>
      <c r="F36">
        <v>14</v>
      </c>
      <c r="G36">
        <v>16812.6</v>
      </c>
      <c r="H36">
        <v>0.05</v>
      </c>
      <c r="I36">
        <v>45429</v>
      </c>
      <c r="J36" t="str">
        <v>May</v>
      </c>
      <c r="K36">
        <v>513.38</v>
      </c>
    </row>
    <row r="37" spans="1:11">
      <c r="A37" t="str">
        <v>CUST012</v>
      </c>
      <c r="B37" t="str">
        <v>Michael Anderson</v>
      </c>
      <c r="C37" t="str">
        <v>West</v>
      </c>
      <c r="D37" t="str">
        <v>Books</v>
      </c>
      <c r="E37">
        <v>472.38</v>
      </c>
      <c r="F37">
        <v>12</v>
      </c>
      <c r="G37">
        <v>5668.56</v>
      </c>
      <c r="H37">
        <v>0.2</v>
      </c>
      <c r="I37">
        <v>45429</v>
      </c>
      <c r="J37" t="str">
        <v>May</v>
      </c>
      <c r="K37">
        <v>151.16</v>
      </c>
    </row>
    <row r="38" spans="1:11">
      <c r="A38" t="str">
        <v>CUST019</v>
      </c>
      <c r="B38" t="str">
        <v>David Brown</v>
      </c>
      <c r="C38" t="str">
        <v>East</v>
      </c>
      <c r="D38" t="str">
        <v>Office Supplies</v>
      </c>
      <c r="E38">
        <v>840.92</v>
      </c>
      <c r="F38">
        <v>9</v>
      </c>
      <c r="G38">
        <v>7568.28</v>
      </c>
      <c r="H38">
        <v>0.05</v>
      </c>
      <c r="I38">
        <v>45429</v>
      </c>
      <c r="J38" t="str">
        <v>May</v>
      </c>
      <c r="K38">
        <v>359.49</v>
      </c>
    </row>
    <row r="39" spans="1:11">
      <c r="A39" t="str">
        <v>CUST028</v>
      </c>
      <c r="B39" t="str">
        <v>Lisa Davis</v>
      </c>
      <c r="C39" t="str">
        <v>Central</v>
      </c>
      <c r="D39" t="str">
        <v>Furniture</v>
      </c>
      <c r="E39">
        <v>1410.06</v>
      </c>
      <c r="F39">
        <v>11</v>
      </c>
      <c r="G39">
        <v>15510.66</v>
      </c>
      <c r="H39">
        <v>0.05</v>
      </c>
      <c r="I39">
        <v>45434</v>
      </c>
      <c r="J39" t="str">
        <v>May</v>
      </c>
      <c r="K39">
        <v>468.84</v>
      </c>
    </row>
    <row r="40" spans="1:11">
      <c r="A40" t="str">
        <v>CUST008</v>
      </c>
      <c r="B40" t="str">
        <v>Mary Wilson</v>
      </c>
      <c r="C40" t="str">
        <v>Central</v>
      </c>
      <c r="D40" t="str">
        <v>Furniture</v>
      </c>
      <c r="E40">
        <v>773.09</v>
      </c>
      <c r="F40">
        <v>13</v>
      </c>
      <c r="G40">
        <v>10050.17</v>
      </c>
      <c r="H40">
        <v>0.15</v>
      </c>
      <c r="I40">
        <v>45434</v>
      </c>
      <c r="J40" t="str">
        <v>May</v>
      </c>
      <c r="K40">
        <v>229.99</v>
      </c>
    </row>
    <row r="41" spans="1:11">
      <c r="A41" t="str">
        <v>CUST016</v>
      </c>
      <c r="B41" t="str">
        <v>Emma Wilson</v>
      </c>
      <c r="C41" t="str">
        <v>East</v>
      </c>
      <c r="D41" t="str">
        <v>Books</v>
      </c>
      <c r="E41">
        <v>580.43</v>
      </c>
      <c r="F41">
        <v>19</v>
      </c>
      <c r="G41">
        <v>11028.17</v>
      </c>
      <c r="H41">
        <v>0.15</v>
      </c>
      <c r="I41">
        <v>45435</v>
      </c>
      <c r="J41" t="str">
        <v>May</v>
      </c>
      <c r="K41">
        <v>197.35</v>
      </c>
    </row>
    <row r="42" spans="1:11">
      <c r="A42" t="str">
        <v>CUST005</v>
      </c>
      <c r="B42" t="str">
        <v>David Smith</v>
      </c>
      <c r="C42" t="str">
        <v>South</v>
      </c>
      <c r="D42" t="str">
        <v>Books</v>
      </c>
      <c r="E42">
        <v>1151.21</v>
      </c>
      <c r="F42">
        <v>15</v>
      </c>
      <c r="G42">
        <v>17268.15</v>
      </c>
      <c r="H42">
        <v>0.1</v>
      </c>
      <c r="I42">
        <v>45445</v>
      </c>
      <c r="J42" t="str">
        <v>Jun</v>
      </c>
      <c r="K42">
        <v>414.44</v>
      </c>
    </row>
    <row r="43" spans="1:11">
      <c r="A43" t="str">
        <v>CUST028</v>
      </c>
      <c r="B43" t="str">
        <v>James Wilson</v>
      </c>
      <c r="C43" t="str">
        <v>Central</v>
      </c>
      <c r="D43" t="str">
        <v>Office Supplies</v>
      </c>
      <c r="E43">
        <v>1025.98</v>
      </c>
      <c r="F43">
        <v>5</v>
      </c>
      <c r="G43">
        <v>5129.9</v>
      </c>
      <c r="H43">
        <v>0.2</v>
      </c>
      <c r="I43">
        <v>45447</v>
      </c>
      <c r="J43" t="str">
        <v>Jun</v>
      </c>
      <c r="K43">
        <v>369.35</v>
      </c>
    </row>
    <row r="44" spans="1:11">
      <c r="A44" t="str">
        <v>CUST023</v>
      </c>
      <c r="B44" t="str">
        <v>David Davis</v>
      </c>
      <c r="C44" t="str">
        <v>East</v>
      </c>
      <c r="D44" t="str">
        <v>Office Supplies</v>
      </c>
      <c r="E44">
        <v>556.42</v>
      </c>
      <c r="F44">
        <v>11</v>
      </c>
      <c r="G44">
        <v>6120.62</v>
      </c>
      <c r="H44">
        <v>0.15</v>
      </c>
      <c r="I44">
        <v>45447</v>
      </c>
      <c r="J44" t="str">
        <v>Jun</v>
      </c>
      <c r="K44">
        <v>212.83</v>
      </c>
    </row>
    <row r="45" spans="1:11">
      <c r="A45" t="str">
        <v>CUST021</v>
      </c>
      <c r="B45" t="str">
        <v>James Wilson</v>
      </c>
      <c r="C45" t="str">
        <v>Central</v>
      </c>
      <c r="D45" t="str">
        <v>Books</v>
      </c>
      <c r="E45">
        <v>840.85</v>
      </c>
      <c r="F45">
        <v>19</v>
      </c>
      <c r="G45">
        <v>15976.15</v>
      </c>
      <c r="H45">
        <v>0.1</v>
      </c>
      <c r="I45">
        <v>45448</v>
      </c>
      <c r="J45" t="str">
        <v>Jun</v>
      </c>
      <c r="K45">
        <v>302.71</v>
      </c>
    </row>
    <row r="46" spans="1:11">
      <c r="A46" t="str">
        <v>CUST026</v>
      </c>
      <c r="B46" t="str">
        <v>Emma Wilson</v>
      </c>
      <c r="C46" t="str">
        <v>North</v>
      </c>
      <c r="D46" t="str">
        <v>Furniture</v>
      </c>
      <c r="E46">
        <v>1227.25</v>
      </c>
      <c r="F46">
        <v>12</v>
      </c>
      <c r="G46">
        <v>14727</v>
      </c>
      <c r="H46">
        <v>0.15</v>
      </c>
      <c r="I46">
        <v>45448</v>
      </c>
      <c r="J46" t="str">
        <v>Jun</v>
      </c>
      <c r="K46">
        <v>365.11</v>
      </c>
    </row>
    <row r="47" spans="1:11">
      <c r="A47" t="str">
        <v>CUST017</v>
      </c>
      <c r="B47" t="str">
        <v>Linda Davis</v>
      </c>
      <c r="C47" t="str">
        <v>Central</v>
      </c>
      <c r="D47" t="str">
        <v>Electronics</v>
      </c>
      <c r="E47">
        <v>856.7</v>
      </c>
      <c r="F47">
        <v>2</v>
      </c>
      <c r="G47">
        <v>1713.4</v>
      </c>
      <c r="H47">
        <v>0</v>
      </c>
      <c r="I47">
        <v>45449</v>
      </c>
      <c r="J47" t="str">
        <v>Jun</v>
      </c>
      <c r="K47">
        <v>214.18</v>
      </c>
    </row>
    <row r="48" spans="1:11">
      <c r="A48" t="str">
        <v>CUST025</v>
      </c>
      <c r="B48" t="str">
        <v>David Davis</v>
      </c>
      <c r="C48" t="str">
        <v>Central</v>
      </c>
      <c r="D48" t="str">
        <v>Office Supplies</v>
      </c>
      <c r="E48">
        <v>1225.42</v>
      </c>
      <c r="F48">
        <v>8</v>
      </c>
      <c r="G48">
        <v>9803.36</v>
      </c>
      <c r="H48">
        <v>0.15</v>
      </c>
      <c r="I48">
        <v>45449</v>
      </c>
      <c r="J48" t="str">
        <v>Jun</v>
      </c>
      <c r="K48">
        <v>468.72</v>
      </c>
    </row>
    <row r="49" spans="1:11">
      <c r="A49" t="str">
        <v>CUST011</v>
      </c>
      <c r="B49" t="str">
        <v>Mary Davis</v>
      </c>
      <c r="C49" t="str">
        <v>North</v>
      </c>
      <c r="D49" t="str">
        <v>Office Supplies</v>
      </c>
      <c r="E49">
        <v>1001.57</v>
      </c>
      <c r="F49">
        <v>12</v>
      </c>
      <c r="G49">
        <v>12018.84</v>
      </c>
      <c r="H49">
        <v>0</v>
      </c>
      <c r="I49">
        <v>45450</v>
      </c>
      <c r="J49" t="str">
        <v>Jun</v>
      </c>
      <c r="K49">
        <v>450.71</v>
      </c>
    </row>
    <row r="50" spans="1:11">
      <c r="A50" t="str">
        <v>CUST021</v>
      </c>
      <c r="B50" t="str">
        <v>Michael Anderson</v>
      </c>
      <c r="C50" t="str">
        <v>East</v>
      </c>
      <c r="D50" t="str">
        <v>Furniture</v>
      </c>
      <c r="E50">
        <v>1186.85</v>
      </c>
      <c r="F50">
        <v>19</v>
      </c>
      <c r="G50">
        <v>22550.15</v>
      </c>
      <c r="H50">
        <v>0.2</v>
      </c>
      <c r="I50">
        <v>45451</v>
      </c>
      <c r="J50" t="str">
        <v>Jun</v>
      </c>
      <c r="K50">
        <v>332.32</v>
      </c>
    </row>
    <row r="51" spans="1:11">
      <c r="A51" t="str">
        <v>CUST008</v>
      </c>
      <c r="B51" t="str">
        <v>John Brown</v>
      </c>
      <c r="C51" t="str">
        <v>South</v>
      </c>
      <c r="D51" t="str">
        <v>Electronics</v>
      </c>
      <c r="E51">
        <v>775.45</v>
      </c>
      <c r="F51">
        <v>6</v>
      </c>
      <c r="G51">
        <v>4652.7</v>
      </c>
      <c r="H51">
        <v>0.1</v>
      </c>
      <c r="I51">
        <v>45457</v>
      </c>
      <c r="J51" t="str">
        <v>Jun</v>
      </c>
      <c r="K51">
        <v>174.48</v>
      </c>
    </row>
    <row r="52" spans="1:11">
      <c r="A52" t="str">
        <v>CUST007</v>
      </c>
      <c r="B52" t="str">
        <v>Linda Jackson</v>
      </c>
      <c r="C52" t="str">
        <v>South</v>
      </c>
      <c r="D52" t="str">
        <v>Electronics</v>
      </c>
      <c r="E52">
        <v>1021.47</v>
      </c>
      <c r="F52">
        <v>6</v>
      </c>
      <c r="G52">
        <v>6128.82</v>
      </c>
      <c r="H52">
        <v>0.05</v>
      </c>
      <c r="I52">
        <v>45461</v>
      </c>
      <c r="J52" t="str">
        <v>Jun</v>
      </c>
      <c r="K52">
        <v>242.6</v>
      </c>
    </row>
    <row r="53" spans="1:11">
      <c r="A53" t="str">
        <v>CUST015</v>
      </c>
      <c r="B53" t="str">
        <v>James Wilson</v>
      </c>
      <c r="C53" t="str">
        <v>South</v>
      </c>
      <c r="D53" t="str">
        <v>Clothing</v>
      </c>
      <c r="E53">
        <v>1226.62</v>
      </c>
      <c r="F53">
        <v>7</v>
      </c>
      <c r="G53">
        <v>8586.34</v>
      </c>
      <c r="H53">
        <v>0.1</v>
      </c>
      <c r="I53">
        <v>45463</v>
      </c>
      <c r="J53" t="str">
        <v>Jun</v>
      </c>
      <c r="K53">
        <v>551.98</v>
      </c>
    </row>
    <row r="54" spans="1:11">
      <c r="A54" t="str">
        <v>CUST030</v>
      </c>
      <c r="B54" t="str">
        <v>Sarah Davis</v>
      </c>
      <c r="C54" t="str">
        <v>South</v>
      </c>
      <c r="D54" t="str">
        <v>Furniture</v>
      </c>
      <c r="E54">
        <v>1086.93</v>
      </c>
      <c r="F54">
        <v>2</v>
      </c>
      <c r="G54">
        <v>2173.86</v>
      </c>
      <c r="H54">
        <v>0</v>
      </c>
      <c r="I54">
        <v>45464</v>
      </c>
      <c r="J54" t="str">
        <v>Jun</v>
      </c>
      <c r="K54">
        <v>380.43</v>
      </c>
    </row>
    <row r="55" spans="1:11">
      <c r="A55" t="str">
        <v>CUST002</v>
      </c>
      <c r="B55" t="str">
        <v>Lisa Davis</v>
      </c>
      <c r="C55" t="str">
        <v>West</v>
      </c>
      <c r="D55" t="str">
        <v>Books</v>
      </c>
      <c r="E55">
        <v>942.9</v>
      </c>
      <c r="F55">
        <v>18</v>
      </c>
      <c r="G55">
        <v>16972.2</v>
      </c>
      <c r="H55">
        <v>0.1</v>
      </c>
      <c r="I55">
        <v>45466</v>
      </c>
      <c r="J55" t="str">
        <v>Jun</v>
      </c>
      <c r="K55">
        <v>339.44</v>
      </c>
    </row>
    <row r="56" spans="1:11">
      <c r="A56" t="str">
        <v>CUST009</v>
      </c>
      <c r="B56" t="str">
        <v>Emma Davis</v>
      </c>
      <c r="C56" t="str">
        <v>North</v>
      </c>
      <c r="D56" t="str">
        <v>Electronics</v>
      </c>
      <c r="E56">
        <v>818.8</v>
      </c>
      <c r="F56">
        <v>15</v>
      </c>
      <c r="G56">
        <v>12282</v>
      </c>
      <c r="H56">
        <v>0.15</v>
      </c>
      <c r="I56">
        <v>45468</v>
      </c>
      <c r="J56" t="str">
        <v>Jun</v>
      </c>
      <c r="K56">
        <v>173.99</v>
      </c>
    </row>
    <row r="57" spans="1:11">
      <c r="A57" t="str">
        <v>CUST005</v>
      </c>
      <c r="B57" t="str">
        <v>Robert Anderson</v>
      </c>
      <c r="C57" t="str">
        <v>South</v>
      </c>
      <c r="D57" t="str">
        <v>Furniture</v>
      </c>
      <c r="E57">
        <v>919.04</v>
      </c>
      <c r="F57">
        <v>10</v>
      </c>
      <c r="G57">
        <v>9190.4</v>
      </c>
      <c r="H57">
        <v>0.2</v>
      </c>
      <c r="I57">
        <v>45468</v>
      </c>
      <c r="J57" t="str">
        <v>Jun</v>
      </c>
      <c r="K57">
        <v>257.33</v>
      </c>
    </row>
    <row r="58" spans="1:11">
      <c r="A58" t="str">
        <v>CUST030</v>
      </c>
      <c r="B58" t="str">
        <v>Emma Taylor</v>
      </c>
      <c r="C58" t="str">
        <v>Central</v>
      </c>
      <c r="D58" t="str">
        <v>Books</v>
      </c>
      <c r="E58">
        <v>973.26</v>
      </c>
      <c r="F58">
        <v>11</v>
      </c>
      <c r="G58">
        <v>10705.86</v>
      </c>
      <c r="H58">
        <v>0</v>
      </c>
      <c r="I58">
        <v>45470</v>
      </c>
      <c r="J58" t="str">
        <v>Jun</v>
      </c>
      <c r="K58">
        <v>389.3</v>
      </c>
    </row>
    <row r="59" spans="1:11">
      <c r="A59" t="str">
        <v>CUST029</v>
      </c>
      <c r="B59" t="str">
        <v>Sarah Davis</v>
      </c>
      <c r="C59" t="str">
        <v>North</v>
      </c>
      <c r="D59" t="str">
        <v>Electronics</v>
      </c>
      <c r="E59">
        <v>741.61</v>
      </c>
      <c r="F59">
        <v>1</v>
      </c>
      <c r="G59">
        <v>741.61</v>
      </c>
      <c r="H59">
        <v>0.2</v>
      </c>
      <c r="I59">
        <v>45471</v>
      </c>
      <c r="J59" t="str">
        <v>Jun</v>
      </c>
      <c r="K59">
        <v>148.32</v>
      </c>
    </row>
    <row r="60" spans="1:11">
      <c r="A60" t="str">
        <v>CUST003</v>
      </c>
      <c r="B60" t="str">
        <v>Emma Davis</v>
      </c>
      <c r="C60" t="str">
        <v>North</v>
      </c>
      <c r="D60" t="str">
        <v>Books</v>
      </c>
      <c r="E60">
        <v>1248.82</v>
      </c>
      <c r="F60">
        <v>2</v>
      </c>
      <c r="G60">
        <v>2497.64</v>
      </c>
      <c r="H60">
        <v>0.1</v>
      </c>
      <c r="I60">
        <v>45473</v>
      </c>
      <c r="J60" t="str">
        <v>Jun</v>
      </c>
      <c r="K60">
        <v>449.58</v>
      </c>
    </row>
    <row r="61" spans="1:11">
      <c r="A61" t="str">
        <v>CUST012</v>
      </c>
      <c r="B61" t="str">
        <v>Mary Wilson</v>
      </c>
      <c r="C61" t="str">
        <v>West</v>
      </c>
      <c r="D61" t="str">
        <v>Clothing</v>
      </c>
      <c r="E61">
        <v>1360.36</v>
      </c>
      <c r="F61">
        <v>17</v>
      </c>
      <c r="G61">
        <v>23126.12</v>
      </c>
      <c r="H61">
        <v>0</v>
      </c>
      <c r="I61">
        <v>45473</v>
      </c>
      <c r="J61" t="str">
        <v>Jun</v>
      </c>
      <c r="K61">
        <v>680.18</v>
      </c>
    </row>
    <row r="62" spans="1:11">
      <c r="A62" t="str">
        <v>CUST021</v>
      </c>
      <c r="B62" t="str">
        <v>Mary Davis</v>
      </c>
      <c r="C62" t="str">
        <v>East</v>
      </c>
      <c r="D62" t="str">
        <v>Books</v>
      </c>
      <c r="E62">
        <v>1383.3</v>
      </c>
      <c r="F62">
        <v>8</v>
      </c>
      <c r="G62">
        <v>11066.4</v>
      </c>
      <c r="H62">
        <v>0.1</v>
      </c>
      <c r="I62">
        <v>45478</v>
      </c>
      <c r="J62" t="str">
        <v>Jul</v>
      </c>
      <c r="K62">
        <v>497.99</v>
      </c>
    </row>
    <row r="63" spans="1:11">
      <c r="A63" t="str">
        <v>CUST010</v>
      </c>
      <c r="B63" t="str">
        <v>David Brown</v>
      </c>
      <c r="C63" t="str">
        <v>Central</v>
      </c>
      <c r="D63" t="str">
        <v>Office Supplies</v>
      </c>
      <c r="E63">
        <v>488.99</v>
      </c>
      <c r="F63">
        <v>9</v>
      </c>
      <c r="G63">
        <v>4400.91</v>
      </c>
      <c r="H63">
        <v>0</v>
      </c>
      <c r="I63">
        <v>45479</v>
      </c>
      <c r="J63" t="str">
        <v>Jul</v>
      </c>
      <c r="K63">
        <v>220.05</v>
      </c>
    </row>
    <row r="64" spans="1:11">
      <c r="A64" t="str">
        <v>CUST026</v>
      </c>
      <c r="B64" t="str">
        <v>Mary Davis</v>
      </c>
      <c r="C64" t="str">
        <v>East</v>
      </c>
      <c r="D64" t="str">
        <v>Furniture</v>
      </c>
      <c r="E64">
        <v>933.71</v>
      </c>
      <c r="F64">
        <v>17</v>
      </c>
      <c r="G64">
        <v>15873.07</v>
      </c>
      <c r="H64">
        <v>0.1</v>
      </c>
      <c r="I64">
        <v>45481</v>
      </c>
      <c r="J64" t="str">
        <v>Jul</v>
      </c>
      <c r="K64">
        <v>294.12</v>
      </c>
    </row>
    <row r="65" spans="1:11">
      <c r="A65" t="str">
        <v>CUST003</v>
      </c>
      <c r="B65" t="str">
        <v>James Davis</v>
      </c>
      <c r="C65" t="str">
        <v>West</v>
      </c>
      <c r="D65" t="str">
        <v>Electronics</v>
      </c>
      <c r="E65">
        <v>1005.53</v>
      </c>
      <c r="F65">
        <v>17</v>
      </c>
      <c r="G65">
        <v>17094.01</v>
      </c>
      <c r="H65">
        <v>0.2</v>
      </c>
      <c r="I65">
        <v>45481</v>
      </c>
      <c r="J65" t="str">
        <v>Jul</v>
      </c>
      <c r="K65">
        <v>201.11</v>
      </c>
    </row>
    <row r="66" spans="1:11">
      <c r="A66" t="str">
        <v>CUST029</v>
      </c>
      <c r="B66" t="str">
        <v>Emma Wilson</v>
      </c>
      <c r="C66" t="str">
        <v>South</v>
      </c>
      <c r="D66" t="str">
        <v>Electronics</v>
      </c>
      <c r="E66">
        <v>1100.1</v>
      </c>
      <c r="F66">
        <v>5</v>
      </c>
      <c r="G66">
        <v>5500.5</v>
      </c>
      <c r="H66">
        <v>0.05</v>
      </c>
      <c r="I66">
        <v>45482</v>
      </c>
      <c r="J66" t="str">
        <v>Jul</v>
      </c>
      <c r="K66">
        <v>261.27</v>
      </c>
    </row>
    <row r="67" spans="1:11">
      <c r="A67" t="str">
        <v>CUST003</v>
      </c>
      <c r="B67" t="str">
        <v>James Wilson</v>
      </c>
      <c r="C67" t="str">
        <v>North</v>
      </c>
      <c r="D67" t="str">
        <v>Furniture</v>
      </c>
      <c r="E67">
        <v>1034.7</v>
      </c>
      <c r="F67">
        <v>15</v>
      </c>
      <c r="G67">
        <v>15520.5</v>
      </c>
      <c r="H67">
        <v>0.15</v>
      </c>
      <c r="I67">
        <v>45487</v>
      </c>
      <c r="J67" t="str">
        <v>Jul</v>
      </c>
      <c r="K67">
        <v>307.82</v>
      </c>
    </row>
    <row r="68" spans="1:11">
      <c r="A68" t="str">
        <v>CUST002</v>
      </c>
      <c r="B68" t="str">
        <v>Mary Davis</v>
      </c>
      <c r="C68" t="str">
        <v>South</v>
      </c>
      <c r="D68" t="str">
        <v>Books</v>
      </c>
      <c r="E68">
        <v>876.44</v>
      </c>
      <c r="F68">
        <v>12</v>
      </c>
      <c r="G68">
        <v>10517.28</v>
      </c>
      <c r="H68">
        <v>0.05</v>
      </c>
      <c r="I68">
        <v>45488</v>
      </c>
      <c r="J68" t="str">
        <v>Jul</v>
      </c>
      <c r="K68">
        <v>333.05</v>
      </c>
    </row>
    <row r="69" spans="1:11">
      <c r="A69" t="str">
        <v>CUST020</v>
      </c>
      <c r="B69" t="str">
        <v>David Brown</v>
      </c>
      <c r="C69" t="str">
        <v>West</v>
      </c>
      <c r="D69" t="str">
        <v>Furniture</v>
      </c>
      <c r="E69">
        <v>1371.34</v>
      </c>
      <c r="F69">
        <v>5</v>
      </c>
      <c r="G69">
        <v>6856.7</v>
      </c>
      <c r="H69">
        <v>0.05</v>
      </c>
      <c r="I69">
        <v>45488</v>
      </c>
      <c r="J69" t="str">
        <v>Jul</v>
      </c>
      <c r="K69">
        <v>455.97</v>
      </c>
    </row>
    <row r="70" spans="1:11">
      <c r="A70" t="str">
        <v>CUST021</v>
      </c>
      <c r="B70" t="str">
        <v>Mary Jackson</v>
      </c>
      <c r="C70" t="str">
        <v>North</v>
      </c>
      <c r="D70" t="str">
        <v>Electronics</v>
      </c>
      <c r="E70">
        <v>1020.26</v>
      </c>
      <c r="F70">
        <v>11</v>
      </c>
      <c r="G70">
        <v>11222.86</v>
      </c>
      <c r="H70">
        <v>0.05</v>
      </c>
      <c r="I70">
        <v>45494</v>
      </c>
      <c r="J70" t="str">
        <v>Jul</v>
      </c>
      <c r="K70">
        <v>242.31</v>
      </c>
    </row>
    <row r="71" spans="1:11">
      <c r="A71" t="str">
        <v>CUST008</v>
      </c>
      <c r="B71" t="str">
        <v>James Davis</v>
      </c>
      <c r="C71" t="str">
        <v>Central</v>
      </c>
      <c r="D71" t="str">
        <v>Office Supplies</v>
      </c>
      <c r="E71">
        <v>804.81</v>
      </c>
      <c r="F71">
        <v>1</v>
      </c>
      <c r="G71">
        <v>804.81</v>
      </c>
      <c r="H71">
        <v>0.05</v>
      </c>
      <c r="I71">
        <v>45502</v>
      </c>
      <c r="J71" t="str">
        <v>Jul</v>
      </c>
      <c r="K71">
        <v>344.06</v>
      </c>
    </row>
    <row r="72" spans="1:11">
      <c r="A72" t="str">
        <v>CUST030</v>
      </c>
      <c r="B72" t="str">
        <v>David Brown</v>
      </c>
      <c r="C72" t="str">
        <v>Central</v>
      </c>
      <c r="D72" t="str">
        <v>Electronics</v>
      </c>
      <c r="E72">
        <v>608.66</v>
      </c>
      <c r="F72">
        <v>1</v>
      </c>
      <c r="G72">
        <v>608.66</v>
      </c>
      <c r="H72">
        <v>0.05</v>
      </c>
      <c r="I72">
        <v>45503</v>
      </c>
      <c r="J72" t="str">
        <v>Jul</v>
      </c>
      <c r="K72">
        <v>144.56</v>
      </c>
    </row>
    <row r="73" spans="1:11">
      <c r="A73" t="str">
        <v>CUST020</v>
      </c>
      <c r="B73" t="str">
        <v>Linda Moore</v>
      </c>
      <c r="C73" t="str">
        <v>South</v>
      </c>
      <c r="D73" t="str">
        <v>Office Supplies</v>
      </c>
      <c r="E73">
        <v>981.2</v>
      </c>
      <c r="F73">
        <v>19</v>
      </c>
      <c r="G73">
        <v>18642.8</v>
      </c>
      <c r="H73">
        <v>0</v>
      </c>
      <c r="I73">
        <v>45504</v>
      </c>
      <c r="J73" t="str">
        <v>Jul</v>
      </c>
      <c r="K73">
        <v>441.54</v>
      </c>
    </row>
    <row r="74" spans="1:11">
      <c r="A74" t="str">
        <v>CUST024</v>
      </c>
      <c r="B74" t="str">
        <v>David Brown</v>
      </c>
      <c r="C74" t="str">
        <v>East</v>
      </c>
      <c r="D74" t="str">
        <v>Electronics</v>
      </c>
      <c r="E74">
        <v>539.77</v>
      </c>
      <c r="F74">
        <v>10</v>
      </c>
      <c r="G74">
        <v>5397.7</v>
      </c>
      <c r="H74">
        <v>0.15</v>
      </c>
      <c r="I74">
        <v>45509</v>
      </c>
      <c r="J74" t="str">
        <v>Aug</v>
      </c>
      <c r="K74">
        <v>114.7</v>
      </c>
    </row>
    <row r="75" spans="1:11">
      <c r="A75" t="str">
        <v>CUST012</v>
      </c>
      <c r="B75" t="str">
        <v>David Anderson</v>
      </c>
      <c r="C75" t="str">
        <v>South</v>
      </c>
      <c r="D75" t="str">
        <v>Books</v>
      </c>
      <c r="E75">
        <v>804.45</v>
      </c>
      <c r="F75">
        <v>5</v>
      </c>
      <c r="G75">
        <v>4022.25</v>
      </c>
      <c r="H75">
        <v>0.2</v>
      </c>
      <c r="I75">
        <v>45509</v>
      </c>
      <c r="J75" t="str">
        <v>Aug</v>
      </c>
      <c r="K75">
        <v>257.42</v>
      </c>
    </row>
    <row r="76" spans="1:11">
      <c r="A76" t="str">
        <v>CUST024</v>
      </c>
      <c r="B76" t="str">
        <v>Emma Davis</v>
      </c>
      <c r="C76" t="str">
        <v>West</v>
      </c>
      <c r="D76" t="str">
        <v>Electronics</v>
      </c>
      <c r="E76">
        <v>1526.6</v>
      </c>
      <c r="F76">
        <v>13</v>
      </c>
      <c r="G76">
        <v>19845.8</v>
      </c>
      <c r="H76">
        <v>0.2</v>
      </c>
      <c r="I76">
        <v>45512</v>
      </c>
      <c r="J76" t="str">
        <v>Aug</v>
      </c>
      <c r="K76">
        <v>305.32</v>
      </c>
    </row>
    <row r="77" spans="1:11">
      <c r="A77" t="str">
        <v>CUST012</v>
      </c>
      <c r="B77" t="str">
        <v>Linda Wilson</v>
      </c>
      <c r="C77" t="str">
        <v>West</v>
      </c>
      <c r="D77" t="str">
        <v>Electronics</v>
      </c>
      <c r="E77">
        <v>1215.26</v>
      </c>
      <c r="F77">
        <v>5</v>
      </c>
      <c r="G77">
        <v>6076.3</v>
      </c>
      <c r="H77">
        <v>0.15</v>
      </c>
      <c r="I77">
        <v>45513</v>
      </c>
      <c r="J77" t="str">
        <v>Aug</v>
      </c>
      <c r="K77">
        <v>258.24</v>
      </c>
    </row>
    <row r="78" spans="1:11">
      <c r="A78" t="str">
        <v>CUST005</v>
      </c>
      <c r="B78" t="str">
        <v>Linda Taylor</v>
      </c>
      <c r="C78" t="str">
        <v>Central</v>
      </c>
      <c r="D78" t="str">
        <v>Furniture</v>
      </c>
      <c r="E78">
        <v>1261.34</v>
      </c>
      <c r="F78">
        <v>3</v>
      </c>
      <c r="G78">
        <v>3784.02</v>
      </c>
      <c r="H78">
        <v>0</v>
      </c>
      <c r="I78">
        <v>45519</v>
      </c>
      <c r="J78" t="str">
        <v>Aug</v>
      </c>
      <c r="K78">
        <v>441.47</v>
      </c>
    </row>
    <row r="79" spans="1:11">
      <c r="A79" t="str">
        <v>CUST004</v>
      </c>
      <c r="B79" t="str">
        <v>Lisa Thomas</v>
      </c>
      <c r="C79" t="str">
        <v>North</v>
      </c>
      <c r="D79" t="str">
        <v>Furniture</v>
      </c>
      <c r="E79">
        <v>518.07</v>
      </c>
      <c r="F79">
        <v>7</v>
      </c>
      <c r="G79">
        <v>3626.49</v>
      </c>
      <c r="H79">
        <v>0.05</v>
      </c>
      <c r="I79">
        <v>45522</v>
      </c>
      <c r="J79" t="str">
        <v>Aug</v>
      </c>
      <c r="K79">
        <v>172.26</v>
      </c>
    </row>
    <row r="80" spans="1:11">
      <c r="A80" t="str">
        <v>CUST026</v>
      </c>
      <c r="B80" t="str">
        <v>Linda Wilson</v>
      </c>
      <c r="C80" t="str">
        <v>West</v>
      </c>
      <c r="D80" t="str">
        <v>Office Supplies</v>
      </c>
      <c r="E80">
        <v>1111.34</v>
      </c>
      <c r="F80">
        <v>1</v>
      </c>
      <c r="G80">
        <v>1111.34</v>
      </c>
      <c r="H80">
        <v>0</v>
      </c>
      <c r="I80">
        <v>45523</v>
      </c>
      <c r="J80" t="str">
        <v>Aug</v>
      </c>
      <c r="K80">
        <v>500.1</v>
      </c>
    </row>
    <row r="81" spans="1:11">
      <c r="A81" t="str">
        <v>CUST030</v>
      </c>
      <c r="B81" t="str">
        <v>Mary Davis</v>
      </c>
      <c r="C81" t="str">
        <v>East</v>
      </c>
      <c r="D81" t="str">
        <v>Clothing</v>
      </c>
      <c r="E81">
        <v>1291.47</v>
      </c>
      <c r="F81">
        <v>18</v>
      </c>
      <c r="G81">
        <v>23246.46</v>
      </c>
      <c r="H81">
        <v>0.1</v>
      </c>
      <c r="I81">
        <v>45526</v>
      </c>
      <c r="J81" t="str">
        <v>Aug</v>
      </c>
      <c r="K81">
        <v>581.16</v>
      </c>
    </row>
    <row r="82" spans="1:11">
      <c r="A82" t="str">
        <v>CUST007</v>
      </c>
      <c r="B82" t="str">
        <v>David Brown</v>
      </c>
      <c r="C82" t="str">
        <v>North</v>
      </c>
      <c r="D82" t="str">
        <v>Books</v>
      </c>
      <c r="E82">
        <v>679.71</v>
      </c>
      <c r="F82">
        <v>19</v>
      </c>
      <c r="G82">
        <v>12914.49</v>
      </c>
      <c r="H82">
        <v>0</v>
      </c>
      <c r="I82">
        <v>45534</v>
      </c>
      <c r="J82" t="str">
        <v>Aug</v>
      </c>
      <c r="K82">
        <v>271.88</v>
      </c>
    </row>
    <row r="83" spans="1:11">
      <c r="A83" t="str">
        <v>CUST020</v>
      </c>
      <c r="B83" t="str">
        <v>Linda Jackson</v>
      </c>
      <c r="C83" t="str">
        <v>East</v>
      </c>
      <c r="D83" t="str">
        <v>Furniture</v>
      </c>
      <c r="E83">
        <v>1143.69</v>
      </c>
      <c r="F83">
        <v>17</v>
      </c>
      <c r="G83">
        <v>19442.73</v>
      </c>
      <c r="H83">
        <v>0</v>
      </c>
      <c r="I83">
        <v>45534</v>
      </c>
      <c r="J83" t="str">
        <v>Aug</v>
      </c>
      <c r="K83">
        <v>400.29</v>
      </c>
    </row>
    <row r="84" spans="1:11">
      <c r="A84" t="str">
        <v>CUST028</v>
      </c>
      <c r="B84" t="str">
        <v>Linda Brown</v>
      </c>
      <c r="C84" t="str">
        <v>Central</v>
      </c>
      <c r="D84" t="str">
        <v>Electronics</v>
      </c>
      <c r="E84">
        <v>790.08</v>
      </c>
      <c r="F84">
        <v>7</v>
      </c>
      <c r="G84">
        <v>5530.56</v>
      </c>
      <c r="H84">
        <v>0.1</v>
      </c>
      <c r="I84">
        <v>45536</v>
      </c>
      <c r="J84" t="str">
        <v>Sep</v>
      </c>
      <c r="K84">
        <v>177.77</v>
      </c>
    </row>
    <row r="85" spans="1:11">
      <c r="A85" t="str">
        <v>CUST005</v>
      </c>
      <c r="B85" t="str">
        <v>Lisa Davis</v>
      </c>
      <c r="C85" t="str">
        <v>Central</v>
      </c>
      <c r="D85" t="str">
        <v>Books</v>
      </c>
      <c r="E85">
        <v>1070.68</v>
      </c>
      <c r="F85">
        <v>7</v>
      </c>
      <c r="G85">
        <v>7494.76</v>
      </c>
      <c r="H85">
        <v>0.05</v>
      </c>
      <c r="I85">
        <v>45536</v>
      </c>
      <c r="J85" t="str">
        <v>Sep</v>
      </c>
      <c r="K85">
        <v>406.86</v>
      </c>
    </row>
    <row r="86" spans="1:11">
      <c r="A86" t="str">
        <v>CUST015</v>
      </c>
      <c r="B86" t="str">
        <v>David Thomas</v>
      </c>
      <c r="C86" t="str">
        <v>West</v>
      </c>
      <c r="D86" t="str">
        <v>Clothing</v>
      </c>
      <c r="E86">
        <v>1168.89</v>
      </c>
      <c r="F86">
        <v>4</v>
      </c>
      <c r="G86">
        <v>4675.56</v>
      </c>
      <c r="H86">
        <v>0.1</v>
      </c>
      <c r="I86">
        <v>45544</v>
      </c>
      <c r="J86" t="str">
        <v>Sep</v>
      </c>
      <c r="K86">
        <v>526</v>
      </c>
    </row>
    <row r="87" spans="1:11">
      <c r="A87" t="str">
        <v>CUST003</v>
      </c>
      <c r="B87" t="str">
        <v>James Davis</v>
      </c>
      <c r="C87" t="str">
        <v>South</v>
      </c>
      <c r="D87" t="str">
        <v>Electronics</v>
      </c>
      <c r="E87">
        <v>1335.87</v>
      </c>
      <c r="F87">
        <v>17</v>
      </c>
      <c r="G87">
        <v>22709.79</v>
      </c>
      <c r="H87">
        <v>0</v>
      </c>
      <c r="I87">
        <v>45544</v>
      </c>
      <c r="J87" t="str">
        <v>Sep</v>
      </c>
      <c r="K87">
        <v>333.97</v>
      </c>
    </row>
    <row r="88" spans="1:11">
      <c r="A88" t="str">
        <v>CUST023</v>
      </c>
      <c r="B88" t="str">
        <v>David Brown</v>
      </c>
      <c r="C88" t="str">
        <v>East</v>
      </c>
      <c r="D88" t="str">
        <v>Furniture</v>
      </c>
      <c r="E88">
        <v>873.7</v>
      </c>
      <c r="F88">
        <v>9</v>
      </c>
      <c r="G88">
        <v>7863.3</v>
      </c>
      <c r="H88">
        <v>0</v>
      </c>
      <c r="I88">
        <v>45546</v>
      </c>
      <c r="J88" t="str">
        <v>Sep</v>
      </c>
      <c r="K88">
        <v>305.8</v>
      </c>
    </row>
    <row r="89" spans="1:11">
      <c r="A89" t="str">
        <v>CUST004</v>
      </c>
      <c r="B89" t="str">
        <v>Sarah Davis</v>
      </c>
      <c r="C89" t="str">
        <v>West</v>
      </c>
      <c r="D89" t="str">
        <v>Office Supplies</v>
      </c>
      <c r="E89">
        <v>1443.98</v>
      </c>
      <c r="F89">
        <v>19</v>
      </c>
      <c r="G89">
        <v>27435.62</v>
      </c>
      <c r="H89">
        <v>0</v>
      </c>
      <c r="I89">
        <v>45547</v>
      </c>
      <c r="J89" t="str">
        <v>Sep</v>
      </c>
      <c r="K89">
        <v>649.79</v>
      </c>
    </row>
    <row r="90" spans="1:11">
      <c r="A90" t="str">
        <v>CUST023</v>
      </c>
      <c r="B90" t="str">
        <v>James Wilson</v>
      </c>
      <c r="C90" t="str">
        <v>East</v>
      </c>
      <c r="D90" t="str">
        <v>Office Supplies</v>
      </c>
      <c r="E90">
        <v>1154.33</v>
      </c>
      <c r="F90">
        <v>11</v>
      </c>
      <c r="G90">
        <v>12697.63</v>
      </c>
      <c r="H90">
        <v>0.15</v>
      </c>
      <c r="I90">
        <v>45549</v>
      </c>
      <c r="J90" t="str">
        <v>Sep</v>
      </c>
      <c r="K90">
        <v>441.53</v>
      </c>
    </row>
    <row r="91" spans="1:11">
      <c r="A91" t="str">
        <v>CUST022</v>
      </c>
      <c r="B91" t="str">
        <v>Linda Brown</v>
      </c>
      <c r="C91" t="str">
        <v>South</v>
      </c>
      <c r="D91" t="str">
        <v>Books</v>
      </c>
      <c r="E91">
        <v>1264.49</v>
      </c>
      <c r="F91">
        <v>16</v>
      </c>
      <c r="G91">
        <v>20231.84</v>
      </c>
      <c r="H91">
        <v>0.05</v>
      </c>
      <c r="I91">
        <v>45549</v>
      </c>
      <c r="J91" t="str">
        <v>Sep</v>
      </c>
      <c r="K91">
        <v>480.51</v>
      </c>
    </row>
    <row r="92" spans="1:11">
      <c r="A92" t="str">
        <v>CUST007</v>
      </c>
      <c r="B92" t="str">
        <v>Emma Taylor</v>
      </c>
      <c r="C92" t="str">
        <v>West</v>
      </c>
      <c r="D92" t="str">
        <v>Furniture</v>
      </c>
      <c r="E92">
        <v>1101.55</v>
      </c>
      <c r="F92">
        <v>4</v>
      </c>
      <c r="G92">
        <v>4406.2</v>
      </c>
      <c r="H92">
        <v>0.1</v>
      </c>
      <c r="I92">
        <v>45551</v>
      </c>
      <c r="J92" t="str">
        <v>Sep</v>
      </c>
      <c r="K92">
        <v>346.99</v>
      </c>
    </row>
    <row r="93" spans="1:11">
      <c r="A93" t="str">
        <v>CUST013</v>
      </c>
      <c r="B93" t="str">
        <v>Robert Anderson</v>
      </c>
      <c r="C93" t="str">
        <v>South</v>
      </c>
      <c r="D93" t="str">
        <v>Furniture</v>
      </c>
      <c r="E93">
        <v>727.73</v>
      </c>
      <c r="F93">
        <v>1</v>
      </c>
      <c r="G93">
        <v>727.73</v>
      </c>
      <c r="H93">
        <v>0.1</v>
      </c>
      <c r="I93">
        <v>45552</v>
      </c>
      <c r="J93" t="str">
        <v>Sep</v>
      </c>
      <c r="K93">
        <v>229.23</v>
      </c>
    </row>
    <row r="94" spans="1:11">
      <c r="A94" t="str">
        <v>CUST027</v>
      </c>
      <c r="B94" t="str">
        <v>Emma Davis</v>
      </c>
      <c r="C94" t="str">
        <v>East</v>
      </c>
      <c r="D94" t="str">
        <v>Office Supplies</v>
      </c>
      <c r="E94">
        <v>875.41</v>
      </c>
      <c r="F94">
        <v>13</v>
      </c>
      <c r="G94">
        <v>11380.33</v>
      </c>
      <c r="H94">
        <v>0.15</v>
      </c>
      <c r="I94">
        <v>45552</v>
      </c>
      <c r="J94" t="str">
        <v>Sep</v>
      </c>
      <c r="K94">
        <v>334.84</v>
      </c>
    </row>
    <row r="95" spans="1:11">
      <c r="A95" t="str">
        <v>CUST003</v>
      </c>
      <c r="B95" t="str">
        <v>James Wilson</v>
      </c>
      <c r="C95" t="str">
        <v>West</v>
      </c>
      <c r="D95" t="str">
        <v>Electronics</v>
      </c>
      <c r="E95">
        <v>1158.94</v>
      </c>
      <c r="F95">
        <v>19</v>
      </c>
      <c r="G95">
        <v>22019.86</v>
      </c>
      <c r="H95">
        <v>0.2</v>
      </c>
      <c r="I95">
        <v>45553</v>
      </c>
      <c r="J95" t="str">
        <v>Sep</v>
      </c>
      <c r="K95">
        <v>231.79</v>
      </c>
    </row>
    <row r="96" spans="1:11">
      <c r="A96" t="str">
        <v>CUST018</v>
      </c>
      <c r="B96" t="str">
        <v>Mary Jackson</v>
      </c>
      <c r="C96" t="str">
        <v>South</v>
      </c>
      <c r="D96" t="str">
        <v>Books</v>
      </c>
      <c r="E96">
        <v>966.3</v>
      </c>
      <c r="F96">
        <v>2</v>
      </c>
      <c r="G96">
        <v>1932.6</v>
      </c>
      <c r="H96">
        <v>0.15</v>
      </c>
      <c r="I96">
        <v>45557</v>
      </c>
      <c r="J96" t="str">
        <v>Sep</v>
      </c>
      <c r="K96">
        <v>328.54</v>
      </c>
    </row>
    <row r="97" spans="1:11">
      <c r="A97" t="str">
        <v>CUST020</v>
      </c>
      <c r="B97" t="str">
        <v>James Taylor</v>
      </c>
      <c r="C97" t="str">
        <v>South</v>
      </c>
      <c r="D97" t="str">
        <v>Books</v>
      </c>
      <c r="E97">
        <v>917.48</v>
      </c>
      <c r="F97">
        <v>6</v>
      </c>
      <c r="G97">
        <v>5504.88</v>
      </c>
      <c r="H97">
        <v>0</v>
      </c>
      <c r="I97">
        <v>45558</v>
      </c>
      <c r="J97" t="str">
        <v>Sep</v>
      </c>
      <c r="K97">
        <v>366.99</v>
      </c>
    </row>
    <row r="98" spans="1:11">
      <c r="A98" t="str">
        <v>CUST029</v>
      </c>
      <c r="B98" t="str">
        <v>Emma Wilson</v>
      </c>
      <c r="C98" t="str">
        <v>West</v>
      </c>
      <c r="D98" t="str">
        <v>Furniture</v>
      </c>
      <c r="E98">
        <v>1172.97</v>
      </c>
      <c r="F98">
        <v>7</v>
      </c>
      <c r="G98">
        <v>8210.79</v>
      </c>
      <c r="H98">
        <v>0.15</v>
      </c>
      <c r="I98">
        <v>45559</v>
      </c>
      <c r="J98" t="str">
        <v>Sep</v>
      </c>
      <c r="K98">
        <v>348.96</v>
      </c>
    </row>
    <row r="99" spans="1:11">
      <c r="A99" t="str">
        <v>CUST021</v>
      </c>
      <c r="B99" t="str">
        <v>James Wilson</v>
      </c>
      <c r="C99" t="str">
        <v>North</v>
      </c>
      <c r="D99" t="str">
        <v>Clothing</v>
      </c>
      <c r="E99">
        <v>1205.82</v>
      </c>
      <c r="F99">
        <v>11</v>
      </c>
      <c r="G99">
        <v>13264.02</v>
      </c>
      <c r="H99">
        <v>0.1</v>
      </c>
      <c r="I99">
        <v>45559</v>
      </c>
      <c r="J99" t="str">
        <v>Sep</v>
      </c>
      <c r="K99">
        <v>542.62</v>
      </c>
    </row>
    <row r="100" spans="1:11">
      <c r="A100" t="str">
        <v>CUST017</v>
      </c>
      <c r="B100" t="str">
        <v>Sarah Davis</v>
      </c>
      <c r="C100" t="str">
        <v>West</v>
      </c>
      <c r="D100" t="str">
        <v>Office Supplies</v>
      </c>
      <c r="E100">
        <v>826.93</v>
      </c>
      <c r="F100">
        <v>10</v>
      </c>
      <c r="G100">
        <v>8269.3</v>
      </c>
      <c r="H100">
        <v>0.2</v>
      </c>
      <c r="I100">
        <v>45564</v>
      </c>
      <c r="J100" t="str">
        <v>Sep</v>
      </c>
      <c r="K100">
        <v>297.69</v>
      </c>
    </row>
    <row r="101" spans="1:11">
      <c r="A101" t="str">
        <v>CUST003</v>
      </c>
      <c r="B101" t="str">
        <v>James Wilson</v>
      </c>
      <c r="C101" t="str">
        <v>Central</v>
      </c>
      <c r="D101" t="str">
        <v>Clothing</v>
      </c>
      <c r="E101">
        <v>902.19</v>
      </c>
      <c r="F101">
        <v>12</v>
      </c>
      <c r="G101">
        <v>10826.28</v>
      </c>
      <c r="H101">
        <v>0</v>
      </c>
      <c r="I101">
        <v>45564</v>
      </c>
      <c r="J101" t="str">
        <v>Sep</v>
      </c>
      <c r="K101">
        <v>451.1</v>
      </c>
    </row>
    <row r="102" spans="1:11">
      <c r="A102" t="str">
        <v>CUST027</v>
      </c>
      <c r="B102" t="str">
        <v>Emma Davis</v>
      </c>
      <c r="C102" t="str">
        <v>North</v>
      </c>
      <c r="D102" t="str">
        <v>Books</v>
      </c>
      <c r="E102">
        <v>585.97</v>
      </c>
      <c r="F102">
        <v>17</v>
      </c>
      <c r="G102">
        <v>9961.49</v>
      </c>
      <c r="H102">
        <v>0.1</v>
      </c>
      <c r="I102">
        <v>45565</v>
      </c>
      <c r="J102" t="str">
        <v>Sep</v>
      </c>
      <c r="K102">
        <v>210.95</v>
      </c>
    </row>
    <row r="103" spans="1:11">
      <c r="A103" t="str">
        <v>CUST016</v>
      </c>
      <c r="B103" t="str">
        <v>Michael Anderson</v>
      </c>
      <c r="C103" t="str">
        <v>North</v>
      </c>
      <c r="D103" t="str">
        <v>Clothing</v>
      </c>
      <c r="E103">
        <v>990.19</v>
      </c>
      <c r="F103">
        <v>8</v>
      </c>
      <c r="G103">
        <v>7921.52</v>
      </c>
      <c r="H103">
        <v>0.1</v>
      </c>
      <c r="I103">
        <v>45565</v>
      </c>
      <c r="J103" t="str">
        <v>Sep</v>
      </c>
      <c r="K103">
        <v>445.59</v>
      </c>
    </row>
    <row r="104" spans="1:11">
      <c r="A104" t="str">
        <v>CUST008</v>
      </c>
      <c r="B104" t="str">
        <v>David Davis</v>
      </c>
      <c r="C104" t="str">
        <v>Central</v>
      </c>
      <c r="D104" t="str">
        <v>Electronics</v>
      </c>
      <c r="E104">
        <v>1014.09</v>
      </c>
      <c r="F104">
        <v>13</v>
      </c>
      <c r="G104">
        <v>13183.17</v>
      </c>
      <c r="H104">
        <v>0.2</v>
      </c>
      <c r="I104">
        <v>45567</v>
      </c>
      <c r="J104" t="str">
        <v>Oct</v>
      </c>
      <c r="K104">
        <v>202.82</v>
      </c>
    </row>
    <row r="105" spans="1:11">
      <c r="A105" t="str">
        <v>CUST012</v>
      </c>
      <c r="B105" t="str">
        <v>Lisa Davis</v>
      </c>
      <c r="C105" t="str">
        <v>North</v>
      </c>
      <c r="D105" t="str">
        <v>Electronics</v>
      </c>
      <c r="E105">
        <v>925.29</v>
      </c>
      <c r="F105">
        <v>17</v>
      </c>
      <c r="G105">
        <v>15729.93</v>
      </c>
      <c r="H105">
        <v>0</v>
      </c>
      <c r="I105">
        <v>45570</v>
      </c>
      <c r="J105" t="str">
        <v>Oct</v>
      </c>
      <c r="K105">
        <v>231.32</v>
      </c>
    </row>
    <row r="106" spans="1:11">
      <c r="A106" t="str">
        <v>CUST025</v>
      </c>
      <c r="B106" t="str">
        <v>Mary Jackson</v>
      </c>
      <c r="C106" t="str">
        <v>East</v>
      </c>
      <c r="D106" t="str">
        <v>Furniture</v>
      </c>
      <c r="E106">
        <v>1286.54</v>
      </c>
      <c r="F106">
        <v>8</v>
      </c>
      <c r="G106">
        <v>10292.32</v>
      </c>
      <c r="H106">
        <v>0</v>
      </c>
      <c r="I106">
        <v>45575</v>
      </c>
      <c r="J106" t="str">
        <v>Oct</v>
      </c>
      <c r="K106">
        <v>450.29</v>
      </c>
    </row>
    <row r="107" spans="1:11">
      <c r="A107" t="str">
        <v>CUST014</v>
      </c>
      <c r="B107" t="str">
        <v>Sarah Davis</v>
      </c>
      <c r="C107" t="str">
        <v>South</v>
      </c>
      <c r="D107" t="str">
        <v>Books</v>
      </c>
      <c r="E107">
        <v>961.62</v>
      </c>
      <c r="F107">
        <v>8</v>
      </c>
      <c r="G107">
        <v>7692.96</v>
      </c>
      <c r="H107">
        <v>0.2</v>
      </c>
      <c r="I107">
        <v>45577</v>
      </c>
      <c r="J107" t="str">
        <v>Oct</v>
      </c>
      <c r="K107">
        <v>307.72</v>
      </c>
    </row>
    <row r="108" spans="1:11">
      <c r="A108" t="str">
        <v>CUST008</v>
      </c>
      <c r="B108" t="str">
        <v>James Wilson</v>
      </c>
      <c r="C108" t="str">
        <v>East</v>
      </c>
      <c r="D108" t="str">
        <v>Books</v>
      </c>
      <c r="E108">
        <v>1081.14</v>
      </c>
      <c r="F108">
        <v>19</v>
      </c>
      <c r="G108">
        <v>20541.66</v>
      </c>
      <c r="H108">
        <v>0.15</v>
      </c>
      <c r="I108">
        <v>45577</v>
      </c>
      <c r="J108" t="str">
        <v>Oct</v>
      </c>
      <c r="K108">
        <v>367.59</v>
      </c>
    </row>
    <row r="109" spans="1:11">
      <c r="A109" t="str">
        <v>CUST015</v>
      </c>
      <c r="B109" t="str">
        <v>James Wilson</v>
      </c>
      <c r="C109" t="str">
        <v>West</v>
      </c>
      <c r="D109" t="str">
        <v>Clothing</v>
      </c>
      <c r="E109">
        <v>1923.66</v>
      </c>
      <c r="F109">
        <v>9</v>
      </c>
      <c r="G109">
        <v>17312.94</v>
      </c>
      <c r="H109">
        <v>0.2</v>
      </c>
      <c r="I109">
        <v>45580</v>
      </c>
      <c r="J109" t="str">
        <v>Oct</v>
      </c>
      <c r="K109">
        <v>769.46</v>
      </c>
    </row>
    <row r="110" spans="1:11">
      <c r="A110" t="str">
        <v>CUST025</v>
      </c>
      <c r="B110" t="str">
        <v>Emma Taylor</v>
      </c>
      <c r="C110" t="str">
        <v>Central</v>
      </c>
      <c r="D110" t="str">
        <v>Clothing</v>
      </c>
      <c r="E110">
        <v>728.71</v>
      </c>
      <c r="F110">
        <v>14</v>
      </c>
      <c r="G110">
        <v>10201.94</v>
      </c>
      <c r="H110">
        <v>0.1</v>
      </c>
      <c r="I110">
        <v>45581</v>
      </c>
      <c r="J110" t="str">
        <v>Oct</v>
      </c>
      <c r="K110">
        <v>327.92</v>
      </c>
    </row>
    <row r="111" spans="1:11">
      <c r="A111" t="str">
        <v>CUST019</v>
      </c>
      <c r="B111" t="str">
        <v>Linda Jackson</v>
      </c>
      <c r="C111" t="str">
        <v>Central</v>
      </c>
      <c r="D111" t="str">
        <v>Clothing</v>
      </c>
      <c r="E111">
        <v>1301.89</v>
      </c>
      <c r="F111">
        <v>7</v>
      </c>
      <c r="G111">
        <v>9113.23</v>
      </c>
      <c r="H111">
        <v>0.15</v>
      </c>
      <c r="I111">
        <v>45581</v>
      </c>
      <c r="J111" t="str">
        <v>Oct</v>
      </c>
      <c r="K111">
        <v>553.3</v>
      </c>
    </row>
    <row r="112" spans="1:11">
      <c r="A112" t="str">
        <v>CUST024</v>
      </c>
      <c r="B112" t="str">
        <v>Emma Taylor</v>
      </c>
      <c r="C112" t="str">
        <v>East</v>
      </c>
      <c r="D112" t="str">
        <v>Books</v>
      </c>
      <c r="E112">
        <v>980.18</v>
      </c>
      <c r="F112">
        <v>16</v>
      </c>
      <c r="G112">
        <v>15682.88</v>
      </c>
      <c r="H112">
        <v>0.1</v>
      </c>
      <c r="I112">
        <v>45582</v>
      </c>
      <c r="J112" t="str">
        <v>Oct</v>
      </c>
      <c r="K112">
        <v>352.86</v>
      </c>
    </row>
    <row r="113" spans="1:11">
      <c r="A113" t="str">
        <v>CUST027</v>
      </c>
      <c r="B113" t="str">
        <v>James Wilson</v>
      </c>
      <c r="C113" t="str">
        <v>West</v>
      </c>
      <c r="D113" t="str">
        <v>Clothing</v>
      </c>
      <c r="E113">
        <v>697.57</v>
      </c>
      <c r="F113">
        <v>17</v>
      </c>
      <c r="G113">
        <v>11858.69</v>
      </c>
      <c r="H113">
        <v>0.1</v>
      </c>
      <c r="I113">
        <v>45584</v>
      </c>
      <c r="J113" t="str">
        <v>Oct</v>
      </c>
      <c r="K113">
        <v>313.91</v>
      </c>
    </row>
    <row r="114" spans="1:11">
      <c r="A114" t="str">
        <v>CUST006</v>
      </c>
      <c r="B114" t="str">
        <v>David Anderson</v>
      </c>
      <c r="C114" t="str">
        <v>West</v>
      </c>
      <c r="D114" t="str">
        <v>Furniture</v>
      </c>
      <c r="E114">
        <v>1193.61</v>
      </c>
      <c r="F114">
        <v>1</v>
      </c>
      <c r="G114">
        <v>1193.61</v>
      </c>
      <c r="H114">
        <v>0.15</v>
      </c>
      <c r="I114">
        <v>45584</v>
      </c>
      <c r="J114" t="str">
        <v>Oct</v>
      </c>
      <c r="K114">
        <v>355.1</v>
      </c>
    </row>
    <row r="115" spans="1:11">
      <c r="A115" t="str">
        <v>CUST009</v>
      </c>
      <c r="B115" t="str">
        <v>Emma Davis</v>
      </c>
      <c r="C115" t="str">
        <v>South</v>
      </c>
      <c r="D115" t="str">
        <v>Electronics</v>
      </c>
      <c r="E115">
        <v>771.02</v>
      </c>
      <c r="F115">
        <v>1</v>
      </c>
      <c r="G115">
        <v>771.02</v>
      </c>
      <c r="H115">
        <v>0</v>
      </c>
      <c r="I115">
        <v>45585</v>
      </c>
      <c r="J115" t="str">
        <v>Oct</v>
      </c>
      <c r="K115">
        <v>192.76</v>
      </c>
    </row>
    <row r="116" spans="1:11">
      <c r="A116" t="str">
        <v>CUST003</v>
      </c>
      <c r="B116" t="str">
        <v>Linda Moore</v>
      </c>
      <c r="C116" t="str">
        <v>North</v>
      </c>
      <c r="D116" t="str">
        <v>Clothing</v>
      </c>
      <c r="E116">
        <v>661.09</v>
      </c>
      <c r="F116">
        <v>1</v>
      </c>
      <c r="G116">
        <v>661.09</v>
      </c>
      <c r="H116">
        <v>0.2</v>
      </c>
      <c r="I116">
        <v>45593</v>
      </c>
      <c r="J116" t="str">
        <v>Oct</v>
      </c>
      <c r="K116">
        <v>264.44</v>
      </c>
    </row>
    <row r="117" spans="1:11">
      <c r="A117" t="str">
        <v>CUST012</v>
      </c>
      <c r="B117" t="str">
        <v>David Brown</v>
      </c>
      <c r="C117" t="str">
        <v>West</v>
      </c>
      <c r="D117" t="str">
        <v>Electronics</v>
      </c>
      <c r="E117">
        <v>688.83</v>
      </c>
      <c r="F117">
        <v>15</v>
      </c>
      <c r="G117">
        <v>10332.45</v>
      </c>
      <c r="H117">
        <v>0</v>
      </c>
      <c r="I117">
        <v>45595</v>
      </c>
      <c r="J117" t="str">
        <v>Oct</v>
      </c>
      <c r="K117">
        <v>172.21</v>
      </c>
    </row>
    <row r="118" spans="1:11">
      <c r="A118" t="str">
        <v>CUST013</v>
      </c>
      <c r="B118" t="str">
        <v>Linda Wilson</v>
      </c>
      <c r="C118" t="str">
        <v>Central</v>
      </c>
      <c r="D118" t="str">
        <v>Books</v>
      </c>
      <c r="E118">
        <v>1249.1</v>
      </c>
      <c r="F118">
        <v>4</v>
      </c>
      <c r="G118">
        <v>4996.4</v>
      </c>
      <c r="H118">
        <v>0.05</v>
      </c>
      <c r="I118">
        <v>45597</v>
      </c>
      <c r="J118" t="str">
        <v>Nov</v>
      </c>
      <c r="K118">
        <v>474.66</v>
      </c>
    </row>
    <row r="119" spans="1:11">
      <c r="A119" t="str">
        <v>CUST008</v>
      </c>
      <c r="B119" t="str">
        <v>James Wilson</v>
      </c>
      <c r="C119" t="str">
        <v>East</v>
      </c>
      <c r="D119" t="str">
        <v>Office Supplies</v>
      </c>
      <c r="E119">
        <v>1014.22</v>
      </c>
      <c r="F119">
        <v>14</v>
      </c>
      <c r="G119">
        <v>14199.08</v>
      </c>
      <c r="H119">
        <v>0.05</v>
      </c>
      <c r="I119">
        <v>45599</v>
      </c>
      <c r="J119" t="str">
        <v>Nov</v>
      </c>
      <c r="K119">
        <v>433.58</v>
      </c>
    </row>
    <row r="120" spans="1:11">
      <c r="A120" t="str">
        <v>CUST025</v>
      </c>
      <c r="B120" t="str">
        <v>Lisa Davis</v>
      </c>
      <c r="C120" t="str">
        <v>East</v>
      </c>
      <c r="D120" t="str">
        <v>Books</v>
      </c>
      <c r="E120">
        <v>1010.58</v>
      </c>
      <c r="F120">
        <v>2</v>
      </c>
      <c r="G120">
        <v>2021.16</v>
      </c>
      <c r="H120">
        <v>0.15</v>
      </c>
      <c r="I120">
        <v>45605</v>
      </c>
      <c r="J120" t="str">
        <v>Nov</v>
      </c>
      <c r="K120">
        <v>343.6</v>
      </c>
    </row>
    <row r="121" spans="1:11">
      <c r="A121" t="str">
        <v>CUST026</v>
      </c>
      <c r="B121" t="str">
        <v>Mary Wilson</v>
      </c>
      <c r="C121" t="str">
        <v>North</v>
      </c>
      <c r="D121" t="str">
        <v>Furniture</v>
      </c>
      <c r="E121">
        <v>957.29</v>
      </c>
      <c r="F121">
        <v>4</v>
      </c>
      <c r="G121">
        <v>3829.16</v>
      </c>
      <c r="H121">
        <v>0.05</v>
      </c>
      <c r="I121">
        <v>45605</v>
      </c>
      <c r="J121" t="str">
        <v>Nov</v>
      </c>
      <c r="K121">
        <v>318.3</v>
      </c>
    </row>
    <row r="122" spans="1:11">
      <c r="A122" t="str">
        <v>CUST001</v>
      </c>
      <c r="B122" t="str">
        <v>Lisa Thomas</v>
      </c>
      <c r="C122" t="str">
        <v>North</v>
      </c>
      <c r="D122" t="str">
        <v>Furniture</v>
      </c>
      <c r="E122">
        <v>1077.92</v>
      </c>
      <c r="F122">
        <v>3</v>
      </c>
      <c r="G122">
        <v>3233.76</v>
      </c>
      <c r="H122">
        <v>0.05</v>
      </c>
      <c r="I122">
        <v>45608</v>
      </c>
      <c r="J122" t="str">
        <v>Nov</v>
      </c>
      <c r="K122">
        <v>358.41</v>
      </c>
    </row>
    <row r="123" spans="1:11">
      <c r="A123" t="str">
        <v>CUST028</v>
      </c>
      <c r="B123" t="str">
        <v>Linda Brown</v>
      </c>
      <c r="C123" t="str">
        <v>South</v>
      </c>
      <c r="D123" t="str">
        <v>Clothing</v>
      </c>
      <c r="E123">
        <v>1163.01</v>
      </c>
      <c r="F123">
        <v>5</v>
      </c>
      <c r="G123">
        <v>5815.05</v>
      </c>
      <c r="H123">
        <v>0</v>
      </c>
      <c r="I123">
        <v>45611</v>
      </c>
      <c r="J123" t="str">
        <v>Nov</v>
      </c>
      <c r="K123">
        <v>581.5</v>
      </c>
    </row>
    <row r="124" spans="1:11">
      <c r="A124" t="str">
        <v>CUST025</v>
      </c>
      <c r="B124" t="str">
        <v>Lisa Thomas</v>
      </c>
      <c r="C124" t="str">
        <v>East</v>
      </c>
      <c r="D124" t="str">
        <v>Office Supplies</v>
      </c>
      <c r="E124">
        <v>1014.56</v>
      </c>
      <c r="F124">
        <v>10</v>
      </c>
      <c r="G124">
        <v>10145.6</v>
      </c>
      <c r="H124">
        <v>0.1</v>
      </c>
      <c r="I124">
        <v>45612</v>
      </c>
      <c r="J124" t="str">
        <v>Nov</v>
      </c>
      <c r="K124">
        <v>410.9</v>
      </c>
    </row>
    <row r="125" spans="1:11">
      <c r="A125" t="str">
        <v>CUST019</v>
      </c>
      <c r="B125" t="str">
        <v>James Taylor</v>
      </c>
      <c r="C125" t="str">
        <v>South</v>
      </c>
      <c r="D125" t="str">
        <v>Electronics</v>
      </c>
      <c r="E125">
        <v>718.04</v>
      </c>
      <c r="F125">
        <v>14</v>
      </c>
      <c r="G125">
        <v>10052.56</v>
      </c>
      <c r="H125">
        <v>0</v>
      </c>
      <c r="I125">
        <v>45613</v>
      </c>
      <c r="J125" t="str">
        <v>Nov</v>
      </c>
      <c r="K125">
        <v>179.51</v>
      </c>
    </row>
    <row r="126" spans="1:11">
      <c r="A126" t="str">
        <v>CUST004</v>
      </c>
      <c r="B126" t="str">
        <v>James Taylor</v>
      </c>
      <c r="C126" t="str">
        <v>Central</v>
      </c>
      <c r="D126" t="str">
        <v>Clothing</v>
      </c>
      <c r="E126">
        <v>1277.85</v>
      </c>
      <c r="F126">
        <v>18</v>
      </c>
      <c r="G126">
        <v>23001.3</v>
      </c>
      <c r="H126">
        <v>0.2</v>
      </c>
      <c r="I126">
        <v>45613</v>
      </c>
      <c r="J126" t="str">
        <v>Nov</v>
      </c>
      <c r="K126">
        <v>511.14</v>
      </c>
    </row>
    <row r="127" spans="1:11">
      <c r="A127" t="str">
        <v>CUST024</v>
      </c>
      <c r="B127" t="str">
        <v>James Wilson</v>
      </c>
      <c r="C127" t="str">
        <v>North</v>
      </c>
      <c r="D127" t="str">
        <v>Electronics</v>
      </c>
      <c r="E127">
        <v>706.73</v>
      </c>
      <c r="F127">
        <v>1</v>
      </c>
      <c r="G127">
        <v>706.73</v>
      </c>
      <c r="H127">
        <v>0.15</v>
      </c>
      <c r="I127">
        <v>45613</v>
      </c>
      <c r="J127" t="str">
        <v>Nov</v>
      </c>
      <c r="K127">
        <v>150.18</v>
      </c>
    </row>
    <row r="128" spans="1:11">
      <c r="A128" t="str">
        <v>CUST002</v>
      </c>
      <c r="B128" t="str">
        <v>Linda Brown</v>
      </c>
      <c r="C128" t="str">
        <v>East</v>
      </c>
      <c r="D128" t="str">
        <v>Electronics</v>
      </c>
      <c r="E128">
        <v>1410.59</v>
      </c>
      <c r="F128">
        <v>15</v>
      </c>
      <c r="G128">
        <v>21158.85</v>
      </c>
      <c r="H128">
        <v>0</v>
      </c>
      <c r="I128">
        <v>45615</v>
      </c>
      <c r="J128" t="str">
        <v>Nov</v>
      </c>
      <c r="K128">
        <v>352.65</v>
      </c>
    </row>
    <row r="129" spans="1:11">
      <c r="A129" t="str">
        <v>CUST009</v>
      </c>
      <c r="B129" t="str">
        <v>Emma Wilson</v>
      </c>
      <c r="C129" t="str">
        <v>South</v>
      </c>
      <c r="D129" t="str">
        <v>Furniture</v>
      </c>
      <c r="E129">
        <v>1350.33</v>
      </c>
      <c r="F129">
        <v>10</v>
      </c>
      <c r="G129">
        <v>13503.3</v>
      </c>
      <c r="H129">
        <v>0</v>
      </c>
      <c r="I129">
        <v>45615</v>
      </c>
      <c r="J129" t="str">
        <v>Nov</v>
      </c>
      <c r="K129">
        <v>472.62</v>
      </c>
    </row>
    <row r="130" spans="1:11">
      <c r="A130" t="str">
        <v>CUST029</v>
      </c>
      <c r="B130" t="str">
        <v>Lisa Thomas</v>
      </c>
      <c r="C130" t="str">
        <v>East</v>
      </c>
      <c r="D130" t="str">
        <v>Electronics</v>
      </c>
      <c r="E130">
        <v>919.18</v>
      </c>
      <c r="F130">
        <v>4</v>
      </c>
      <c r="G130">
        <v>3676.72</v>
      </c>
      <c r="H130">
        <v>0.15</v>
      </c>
      <c r="I130">
        <v>45615</v>
      </c>
      <c r="J130" t="str">
        <v>Nov</v>
      </c>
      <c r="K130">
        <v>195.33</v>
      </c>
    </row>
    <row r="131" spans="1:11">
      <c r="A131" t="str">
        <v>CUST027</v>
      </c>
      <c r="B131" t="str">
        <v>James Wilson</v>
      </c>
      <c r="C131" t="str">
        <v>West</v>
      </c>
      <c r="D131" t="str">
        <v>Electronics</v>
      </c>
      <c r="E131">
        <v>258.51</v>
      </c>
      <c r="F131">
        <v>19</v>
      </c>
      <c r="G131">
        <v>4911.69</v>
      </c>
      <c r="H131">
        <v>0</v>
      </c>
      <c r="I131">
        <v>45616</v>
      </c>
      <c r="J131" t="str">
        <v>Nov</v>
      </c>
      <c r="K131">
        <v>64.63</v>
      </c>
    </row>
    <row r="132" spans="1:11">
      <c r="A132" t="str">
        <v>CUST011</v>
      </c>
      <c r="B132" t="str">
        <v>Emma Wilson</v>
      </c>
      <c r="C132" t="str">
        <v>East</v>
      </c>
      <c r="D132" t="str">
        <v>Books</v>
      </c>
      <c r="E132">
        <v>1213.48</v>
      </c>
      <c r="F132">
        <v>5</v>
      </c>
      <c r="G132">
        <v>6067.4</v>
      </c>
      <c r="H132">
        <v>0.05</v>
      </c>
      <c r="I132">
        <v>45616</v>
      </c>
      <c r="J132" t="str">
        <v>Nov</v>
      </c>
      <c r="K132">
        <v>461.12</v>
      </c>
    </row>
    <row r="133" spans="1:11">
      <c r="A133" t="str">
        <v>CUST021</v>
      </c>
      <c r="B133" t="str">
        <v>Emma Davis</v>
      </c>
      <c r="C133" t="str">
        <v>Central</v>
      </c>
      <c r="D133" t="str">
        <v>Books</v>
      </c>
      <c r="E133">
        <v>1150.28</v>
      </c>
      <c r="F133">
        <v>8</v>
      </c>
      <c r="G133">
        <v>9202.24</v>
      </c>
      <c r="H133">
        <v>0.05</v>
      </c>
      <c r="I133">
        <v>45622</v>
      </c>
      <c r="J133" t="str">
        <v>Nov</v>
      </c>
      <c r="K133">
        <v>437.11</v>
      </c>
    </row>
    <row r="134" spans="1:11">
      <c r="A134" t="str">
        <v>CUST014</v>
      </c>
      <c r="B134" t="str">
        <v>David Anderson</v>
      </c>
      <c r="C134" t="str">
        <v>South</v>
      </c>
      <c r="D134" t="str">
        <v>Furniture</v>
      </c>
      <c r="E134">
        <v>853.86</v>
      </c>
      <c r="F134">
        <v>8</v>
      </c>
      <c r="G134">
        <v>6830.88</v>
      </c>
      <c r="H134">
        <v>0.1</v>
      </c>
      <c r="I134">
        <v>45622</v>
      </c>
      <c r="J134" t="str">
        <v>Nov</v>
      </c>
      <c r="K134">
        <v>268.97</v>
      </c>
    </row>
    <row r="135" spans="1:11">
      <c r="A135" t="str">
        <v>CUST018</v>
      </c>
      <c r="B135" t="str">
        <v>Lisa Thomas</v>
      </c>
      <c r="C135" t="str">
        <v>South</v>
      </c>
      <c r="D135" t="str">
        <v>Electronics</v>
      </c>
      <c r="E135">
        <v>1061.04</v>
      </c>
      <c r="F135">
        <v>1</v>
      </c>
      <c r="G135">
        <v>1061.04</v>
      </c>
      <c r="H135">
        <v>0</v>
      </c>
      <c r="I135">
        <v>45624</v>
      </c>
      <c r="J135" t="str">
        <v>Nov</v>
      </c>
      <c r="K135">
        <v>265.26</v>
      </c>
    </row>
    <row r="136" spans="1:11">
      <c r="A136" t="str">
        <v>CUST001</v>
      </c>
      <c r="B136" t="str">
        <v>Sarah Anderson</v>
      </c>
      <c r="C136" t="str">
        <v>West</v>
      </c>
      <c r="D136" t="str">
        <v>Electronics</v>
      </c>
      <c r="E136">
        <v>894.55</v>
      </c>
      <c r="F136">
        <v>19</v>
      </c>
      <c r="G136">
        <v>16996.45</v>
      </c>
      <c r="H136">
        <v>0.2</v>
      </c>
      <c r="I136">
        <v>45625</v>
      </c>
      <c r="J136" t="str">
        <v>Nov</v>
      </c>
      <c r="K136">
        <v>178.91</v>
      </c>
    </row>
    <row r="137" spans="1:11">
      <c r="A137" t="str">
        <v>CUST007</v>
      </c>
      <c r="B137" t="str">
        <v>Emma Davis</v>
      </c>
      <c r="C137" t="str">
        <v>North</v>
      </c>
      <c r="D137" t="str">
        <v>Office Supplies</v>
      </c>
      <c r="E137">
        <v>833.91</v>
      </c>
      <c r="F137">
        <v>3</v>
      </c>
      <c r="G137">
        <v>2501.73</v>
      </c>
      <c r="H137">
        <v>0.05</v>
      </c>
      <c r="I137">
        <v>45626</v>
      </c>
      <c r="J137" t="str">
        <v>Nov</v>
      </c>
      <c r="K137">
        <v>356.5</v>
      </c>
    </row>
    <row r="138" spans="1:11">
      <c r="A138" t="str">
        <v>CUST015</v>
      </c>
      <c r="B138" t="str">
        <v>David Anderson</v>
      </c>
      <c r="C138" t="str">
        <v>West</v>
      </c>
      <c r="D138" t="str">
        <v>Furniture</v>
      </c>
      <c r="E138">
        <v>820.19</v>
      </c>
      <c r="F138">
        <v>4</v>
      </c>
      <c r="G138">
        <v>3280.76</v>
      </c>
      <c r="H138">
        <v>0.2</v>
      </c>
      <c r="I138">
        <v>45630</v>
      </c>
      <c r="J138" t="str">
        <v>Dec</v>
      </c>
      <c r="K138">
        <v>229.65</v>
      </c>
    </row>
    <row r="139" spans="1:11">
      <c r="A139" t="str">
        <v>CUST015</v>
      </c>
      <c r="B139" t="str">
        <v>Emma Davis</v>
      </c>
      <c r="C139" t="str">
        <v>Central</v>
      </c>
      <c r="D139" t="str">
        <v>Electronics</v>
      </c>
      <c r="E139">
        <v>511.74</v>
      </c>
      <c r="F139">
        <v>8</v>
      </c>
      <c r="G139">
        <v>4093.92</v>
      </c>
      <c r="H139">
        <v>0.05</v>
      </c>
      <c r="I139">
        <v>45631</v>
      </c>
      <c r="J139" t="str">
        <v>Dec</v>
      </c>
      <c r="K139">
        <v>121.54</v>
      </c>
    </row>
    <row r="140" spans="1:11">
      <c r="A140" t="str">
        <v>CUST002</v>
      </c>
      <c r="B140" t="str">
        <v>Emma Wilson</v>
      </c>
      <c r="C140" t="str">
        <v>South</v>
      </c>
      <c r="D140" t="str">
        <v>Furniture</v>
      </c>
      <c r="E140">
        <v>806.03</v>
      </c>
      <c r="F140">
        <v>19</v>
      </c>
      <c r="G140">
        <v>15314.57</v>
      </c>
      <c r="H140">
        <v>0.05</v>
      </c>
      <c r="I140">
        <v>45638</v>
      </c>
      <c r="J140" t="str">
        <v>Dec</v>
      </c>
      <c r="K140">
        <v>268</v>
      </c>
    </row>
    <row r="141" spans="1:11">
      <c r="A141" t="str">
        <v>CUST001</v>
      </c>
      <c r="B141" t="str">
        <v>Michael Anderson</v>
      </c>
      <c r="C141" t="str">
        <v>Central</v>
      </c>
      <c r="D141" t="str">
        <v>Furniture</v>
      </c>
      <c r="E141">
        <v>1432.47</v>
      </c>
      <c r="F141">
        <v>16</v>
      </c>
      <c r="G141">
        <v>22919.52</v>
      </c>
      <c r="H141">
        <v>0.15</v>
      </c>
      <c r="I141">
        <v>45640</v>
      </c>
      <c r="J141" t="str">
        <v>Dec</v>
      </c>
      <c r="K141">
        <v>426.16</v>
      </c>
    </row>
    <row r="142" spans="1:11">
      <c r="A142" t="str">
        <v>CUST027</v>
      </c>
      <c r="B142" t="str">
        <v>Linda Wilson</v>
      </c>
      <c r="C142" t="str">
        <v>Central</v>
      </c>
      <c r="D142" t="str">
        <v>Electronics</v>
      </c>
      <c r="E142">
        <v>1488.58</v>
      </c>
      <c r="F142">
        <v>10</v>
      </c>
      <c r="G142">
        <v>14885.8</v>
      </c>
      <c r="H142">
        <v>0.15</v>
      </c>
      <c r="I142">
        <v>45640</v>
      </c>
      <c r="J142" t="str">
        <v>Dec</v>
      </c>
      <c r="K142">
        <v>316.32</v>
      </c>
    </row>
    <row r="143" spans="1:11">
      <c r="A143" t="str">
        <v>CUST026</v>
      </c>
      <c r="B143" t="str">
        <v>Emma Taylor</v>
      </c>
      <c r="C143" t="str">
        <v>East</v>
      </c>
      <c r="D143" t="str">
        <v>Books</v>
      </c>
      <c r="E143">
        <v>1231.26</v>
      </c>
      <c r="F143">
        <v>9</v>
      </c>
      <c r="G143">
        <v>11081.34</v>
      </c>
      <c r="H143">
        <v>0</v>
      </c>
      <c r="I143">
        <v>45646</v>
      </c>
      <c r="J143" t="str">
        <v>Dec</v>
      </c>
      <c r="K143">
        <v>492.5</v>
      </c>
    </row>
    <row r="144" spans="1:11">
      <c r="A144" t="str">
        <v>CUST026</v>
      </c>
      <c r="B144" t="str">
        <v>Sarah Anderson</v>
      </c>
      <c r="C144" t="str">
        <v>West</v>
      </c>
      <c r="D144" t="str">
        <v>Electronics</v>
      </c>
      <c r="E144">
        <v>1161.67</v>
      </c>
      <c r="F144">
        <v>19</v>
      </c>
      <c r="G144">
        <v>22071.73</v>
      </c>
      <c r="H144">
        <v>0.2</v>
      </c>
      <c r="I144">
        <v>45647</v>
      </c>
      <c r="J144" t="str">
        <v>Dec</v>
      </c>
      <c r="K144">
        <v>232.33</v>
      </c>
    </row>
    <row r="145" spans="1:11">
      <c r="A145" t="str">
        <v>CUST022</v>
      </c>
      <c r="B145" t="str">
        <v>Lisa Thomas</v>
      </c>
      <c r="C145" t="str">
        <v>Central</v>
      </c>
      <c r="D145" t="str">
        <v>Office Supplies</v>
      </c>
      <c r="E145">
        <v>388.23</v>
      </c>
      <c r="F145">
        <v>16</v>
      </c>
      <c r="G145">
        <v>6211.68</v>
      </c>
      <c r="H145">
        <v>0.05</v>
      </c>
      <c r="I145">
        <v>45650</v>
      </c>
      <c r="J145" t="str">
        <v>Dec</v>
      </c>
      <c r="K145">
        <v>165.97</v>
      </c>
    </row>
    <row r="146" spans="1:11">
      <c r="A146" t="str">
        <v>CUST004</v>
      </c>
      <c r="B146" t="str">
        <v>Mary Davis</v>
      </c>
      <c r="C146" t="str">
        <v>North</v>
      </c>
      <c r="D146" t="str">
        <v>Clothing</v>
      </c>
      <c r="E146">
        <v>1589.42</v>
      </c>
      <c r="F146">
        <v>6</v>
      </c>
      <c r="G146">
        <v>9536.52</v>
      </c>
      <c r="H146">
        <v>0.15</v>
      </c>
      <c r="I146">
        <v>45651</v>
      </c>
      <c r="J146" t="str">
        <v>Dec</v>
      </c>
      <c r="K146">
        <v>675.5</v>
      </c>
    </row>
    <row r="147" spans="1:11">
      <c r="A147" t="str">
        <v>CUST001</v>
      </c>
      <c r="B147" t="str">
        <v>David Anderson</v>
      </c>
      <c r="C147" t="str">
        <v>North</v>
      </c>
      <c r="D147" t="str">
        <v>Clothing</v>
      </c>
      <c r="E147">
        <v>336.66</v>
      </c>
      <c r="F147">
        <v>13</v>
      </c>
      <c r="G147">
        <v>4376.58</v>
      </c>
      <c r="H147">
        <v>0.2</v>
      </c>
      <c r="I147">
        <v>45651</v>
      </c>
      <c r="J147" t="str">
        <v>Dec</v>
      </c>
      <c r="K147">
        <v>134.66</v>
      </c>
    </row>
    <row r="148" spans="1:11">
      <c r="A148" t="str">
        <v>CUST022</v>
      </c>
      <c r="B148" t="str">
        <v>James Wilson</v>
      </c>
      <c r="C148" t="str">
        <v>West</v>
      </c>
      <c r="D148" t="str">
        <v>Books</v>
      </c>
      <c r="E148">
        <v>1353.79</v>
      </c>
      <c r="F148">
        <v>14</v>
      </c>
      <c r="G148">
        <v>18953.06</v>
      </c>
      <c r="H148">
        <v>0.1</v>
      </c>
      <c r="I148">
        <v>45656</v>
      </c>
      <c r="J148" t="str">
        <v>Dec</v>
      </c>
      <c r="K148">
        <v>487.36</v>
      </c>
    </row>
    <row r="149" spans="1:11">
      <c r="A149" t="str">
        <v>CUST011</v>
      </c>
      <c r="B149" t="str">
        <v>Linda Moore</v>
      </c>
      <c r="C149" t="str">
        <v>Central</v>
      </c>
      <c r="D149" t="str">
        <v>Clothing</v>
      </c>
      <c r="E149">
        <v>662.61</v>
      </c>
      <c r="F149">
        <v>11</v>
      </c>
      <c r="G149">
        <v>7288.71</v>
      </c>
      <c r="H149">
        <v>0.05</v>
      </c>
      <c r="I149">
        <v>45658</v>
      </c>
      <c r="J149" t="str">
        <v>Jan</v>
      </c>
      <c r="K149">
        <v>314.74</v>
      </c>
    </row>
    <row r="150" spans="1:11">
      <c r="A150" t="str">
        <v>CUST028</v>
      </c>
      <c r="B150" t="str">
        <v>Lisa Davis</v>
      </c>
      <c r="C150" t="str">
        <v>North</v>
      </c>
      <c r="D150" t="str">
        <v>Office Supplies</v>
      </c>
      <c r="E150">
        <v>309.42</v>
      </c>
      <c r="F150">
        <v>1</v>
      </c>
      <c r="G150">
        <v>309.42</v>
      </c>
      <c r="H150">
        <v>0.2</v>
      </c>
      <c r="I150">
        <v>45658</v>
      </c>
      <c r="J150" t="str">
        <v>Jan</v>
      </c>
      <c r="K150">
        <v>111.39</v>
      </c>
    </row>
    <row r="151" spans="1:11">
      <c r="A151" t="str">
        <v>CUST011</v>
      </c>
      <c r="B151" t="str">
        <v>Linda Wilson</v>
      </c>
      <c r="C151" t="str">
        <v>North</v>
      </c>
      <c r="D151" t="str">
        <v>Books</v>
      </c>
      <c r="E151">
        <v>884.63</v>
      </c>
      <c r="F151">
        <v>18</v>
      </c>
      <c r="G151">
        <v>15923.34</v>
      </c>
      <c r="H151">
        <v>0.1</v>
      </c>
      <c r="I151">
        <v>45659</v>
      </c>
      <c r="J151" t="str">
        <v>Jan</v>
      </c>
      <c r="K151">
        <v>318.47</v>
      </c>
    </row>
    <row r="152" spans="1:11">
      <c r="A152" t="str">
        <v>CUST028</v>
      </c>
      <c r="B152" t="str">
        <v>James Wilson</v>
      </c>
      <c r="C152" t="str">
        <v>Central</v>
      </c>
      <c r="D152" t="str">
        <v>Office Supplies</v>
      </c>
      <c r="E152">
        <v>745.05</v>
      </c>
      <c r="F152">
        <v>10</v>
      </c>
      <c r="G152">
        <v>7450.5</v>
      </c>
      <c r="H152">
        <v>0.1</v>
      </c>
      <c r="I152">
        <v>45660</v>
      </c>
      <c r="J152" t="str">
        <v>Jan</v>
      </c>
      <c r="K152">
        <v>301.75</v>
      </c>
    </row>
    <row r="153" spans="1:11">
      <c r="A153" t="str">
        <v>CUST016</v>
      </c>
      <c r="B153" t="str">
        <v>James Taylor</v>
      </c>
      <c r="C153" t="str">
        <v>South</v>
      </c>
      <c r="D153" t="str">
        <v>Clothing</v>
      </c>
      <c r="E153">
        <v>870.23</v>
      </c>
      <c r="F153">
        <v>5</v>
      </c>
      <c r="G153">
        <v>4351.15</v>
      </c>
      <c r="H153">
        <v>0.05</v>
      </c>
      <c r="I153">
        <v>45660</v>
      </c>
      <c r="J153" t="str">
        <v>Jan</v>
      </c>
      <c r="K153">
        <v>413.36</v>
      </c>
    </row>
    <row r="154" spans="1:11">
      <c r="A154" t="str">
        <v>CUST010</v>
      </c>
      <c r="B154" t="str">
        <v>Linda Wilson</v>
      </c>
      <c r="C154" t="str">
        <v>West</v>
      </c>
      <c r="D154" t="str">
        <v>Furniture</v>
      </c>
      <c r="E154">
        <v>862.19</v>
      </c>
      <c r="F154">
        <v>18</v>
      </c>
      <c r="G154">
        <v>15519.42</v>
      </c>
      <c r="H154">
        <v>0.05</v>
      </c>
      <c r="I154">
        <v>45663</v>
      </c>
      <c r="J154" t="str">
        <v>Jan</v>
      </c>
      <c r="K154">
        <v>286.68</v>
      </c>
    </row>
    <row r="155" spans="1:11">
      <c r="A155" t="str">
        <v>CUST013</v>
      </c>
      <c r="B155" t="str">
        <v>Mary Wilson</v>
      </c>
      <c r="C155" t="str">
        <v>North</v>
      </c>
      <c r="D155" t="str">
        <v>Clothing</v>
      </c>
      <c r="E155">
        <v>1171.18</v>
      </c>
      <c r="F155">
        <v>19</v>
      </c>
      <c r="G155">
        <v>22252.42</v>
      </c>
      <c r="H155">
        <v>0.05</v>
      </c>
      <c r="I155">
        <v>45667</v>
      </c>
      <c r="J155" t="str">
        <v>Jan</v>
      </c>
      <c r="K155">
        <v>556.31</v>
      </c>
    </row>
    <row r="156" spans="1:11">
      <c r="A156" t="str">
        <v>CUST015</v>
      </c>
      <c r="B156" t="str">
        <v>Robert Anderson</v>
      </c>
      <c r="C156" t="str">
        <v>South</v>
      </c>
      <c r="D156" t="str">
        <v>Furniture</v>
      </c>
      <c r="E156">
        <v>1054.56</v>
      </c>
      <c r="F156">
        <v>11</v>
      </c>
      <c r="G156">
        <v>11600.16</v>
      </c>
      <c r="H156">
        <v>0.1</v>
      </c>
      <c r="I156">
        <v>45669</v>
      </c>
      <c r="J156" t="str">
        <v>Jan</v>
      </c>
      <c r="K156">
        <v>332.19</v>
      </c>
    </row>
    <row r="157" spans="1:11">
      <c r="A157" t="str">
        <v>CUST015</v>
      </c>
      <c r="B157" t="str">
        <v>James Wilson</v>
      </c>
      <c r="C157" t="str">
        <v>North</v>
      </c>
      <c r="D157" t="str">
        <v>Electronics</v>
      </c>
      <c r="E157">
        <v>1681.21</v>
      </c>
      <c r="F157">
        <v>5</v>
      </c>
      <c r="G157">
        <v>8406.05</v>
      </c>
      <c r="H157">
        <v>0.2</v>
      </c>
      <c r="I157">
        <v>45670</v>
      </c>
      <c r="J157" t="str">
        <v>Jan</v>
      </c>
      <c r="K157">
        <v>336.24</v>
      </c>
    </row>
    <row r="158" spans="1:11">
      <c r="A158" t="str">
        <v>CUST015</v>
      </c>
      <c r="B158" t="str">
        <v>David Thomas</v>
      </c>
      <c r="C158" t="str">
        <v>West</v>
      </c>
      <c r="D158" t="str">
        <v>Clothing</v>
      </c>
      <c r="E158">
        <v>379.77</v>
      </c>
      <c r="F158">
        <v>9</v>
      </c>
      <c r="G158">
        <v>3417.93</v>
      </c>
      <c r="H158">
        <v>0.05</v>
      </c>
      <c r="I158">
        <v>45673</v>
      </c>
      <c r="J158" t="str">
        <v>Jan</v>
      </c>
      <c r="K158">
        <v>180.39</v>
      </c>
    </row>
    <row r="159" spans="1:11">
      <c r="A159" t="str">
        <v>CUST008</v>
      </c>
      <c r="B159" t="str">
        <v>Lisa Thomas</v>
      </c>
      <c r="C159" t="str">
        <v>Central</v>
      </c>
      <c r="D159" t="str">
        <v>Clothing</v>
      </c>
      <c r="E159">
        <v>1076.33</v>
      </c>
      <c r="F159">
        <v>2</v>
      </c>
      <c r="G159">
        <v>2152.66</v>
      </c>
      <c r="H159">
        <v>0.1</v>
      </c>
      <c r="I159">
        <v>45674</v>
      </c>
      <c r="J159" t="str">
        <v>Jan</v>
      </c>
      <c r="K159">
        <v>484.35</v>
      </c>
    </row>
    <row r="160" spans="1:11">
      <c r="A160" t="str">
        <v>CUST008</v>
      </c>
      <c r="B160" t="str">
        <v>Mary Davis</v>
      </c>
      <c r="C160" t="str">
        <v>Central</v>
      </c>
      <c r="D160" t="str">
        <v>Office Supplies</v>
      </c>
      <c r="E160">
        <v>1250.71</v>
      </c>
      <c r="F160">
        <v>7</v>
      </c>
      <c r="G160">
        <v>8754.97</v>
      </c>
      <c r="H160">
        <v>0</v>
      </c>
      <c r="I160">
        <v>45674</v>
      </c>
      <c r="J160" t="str">
        <v>Jan</v>
      </c>
      <c r="K160">
        <v>562.82</v>
      </c>
    </row>
    <row r="161" spans="1:11">
      <c r="A161" t="str">
        <v>CUST023</v>
      </c>
      <c r="B161" t="str">
        <v>James Taylor</v>
      </c>
      <c r="C161" t="str">
        <v>South</v>
      </c>
      <c r="D161" t="str">
        <v>Clothing</v>
      </c>
      <c r="E161">
        <v>1118.34</v>
      </c>
      <c r="F161">
        <v>6</v>
      </c>
      <c r="G161">
        <v>6710.04</v>
      </c>
      <c r="H161">
        <v>0.2</v>
      </c>
      <c r="I161">
        <v>45674</v>
      </c>
      <c r="J161" t="str">
        <v>Jan</v>
      </c>
      <c r="K161">
        <v>447.34</v>
      </c>
    </row>
    <row r="162" spans="1:11">
      <c r="A162" t="str">
        <v>CUST024</v>
      </c>
      <c r="B162" t="str">
        <v>Linda Taylor</v>
      </c>
      <c r="C162" t="str">
        <v>North</v>
      </c>
      <c r="D162" t="str">
        <v>Clothing</v>
      </c>
      <c r="E162">
        <v>1622.62</v>
      </c>
      <c r="F162">
        <v>12</v>
      </c>
      <c r="G162">
        <v>19471.44</v>
      </c>
      <c r="H162">
        <v>0.2</v>
      </c>
      <c r="I162">
        <v>45677</v>
      </c>
      <c r="J162" t="str">
        <v>Jan</v>
      </c>
      <c r="K162">
        <v>649.05</v>
      </c>
    </row>
    <row r="163" spans="1:11">
      <c r="A163" t="str">
        <v>CUST018</v>
      </c>
      <c r="B163" t="str">
        <v>Lisa Davis</v>
      </c>
      <c r="C163" t="str">
        <v>North</v>
      </c>
      <c r="D163" t="str">
        <v>Books</v>
      </c>
      <c r="E163">
        <v>640.64</v>
      </c>
      <c r="F163">
        <v>11</v>
      </c>
      <c r="G163">
        <v>7047.04</v>
      </c>
      <c r="H163">
        <v>0.2</v>
      </c>
      <c r="I163">
        <v>45678</v>
      </c>
      <c r="J163" t="str">
        <v>Jan</v>
      </c>
      <c r="K163">
        <v>205</v>
      </c>
    </row>
    <row r="164" spans="1:11">
      <c r="A164" t="str">
        <v>CUST030</v>
      </c>
      <c r="B164" t="str">
        <v>Sarah Anderson</v>
      </c>
      <c r="C164" t="str">
        <v>West</v>
      </c>
      <c r="D164" t="str">
        <v>Clothing</v>
      </c>
      <c r="E164">
        <v>585.16</v>
      </c>
      <c r="F164">
        <v>17</v>
      </c>
      <c r="G164">
        <v>9947.72</v>
      </c>
      <c r="H164">
        <v>0.1</v>
      </c>
      <c r="I164">
        <v>45684</v>
      </c>
      <c r="J164" t="str">
        <v>Jan</v>
      </c>
      <c r="K164">
        <v>263.32</v>
      </c>
    </row>
    <row r="165" spans="1:11">
      <c r="A165" t="str">
        <v>CUST030</v>
      </c>
      <c r="B165" t="str">
        <v>Mary Davis</v>
      </c>
      <c r="C165" t="str">
        <v>East</v>
      </c>
      <c r="D165" t="str">
        <v>Clothing</v>
      </c>
      <c r="E165">
        <v>1109.98</v>
      </c>
      <c r="F165">
        <v>5</v>
      </c>
      <c r="G165">
        <v>5549.9</v>
      </c>
      <c r="H165">
        <v>0.2</v>
      </c>
      <c r="I165">
        <v>45690</v>
      </c>
      <c r="J165" t="str">
        <v>Feb</v>
      </c>
      <c r="K165">
        <v>443.99</v>
      </c>
    </row>
    <row r="166" spans="1:11">
      <c r="A166" t="str">
        <v>CUST015</v>
      </c>
      <c r="B166" t="str">
        <v>Lisa Thomas</v>
      </c>
      <c r="C166" t="str">
        <v>East</v>
      </c>
      <c r="D166" t="str">
        <v>Books</v>
      </c>
      <c r="E166">
        <v>1098.08</v>
      </c>
      <c r="F166">
        <v>9</v>
      </c>
      <c r="G166">
        <v>9882.72</v>
      </c>
      <c r="H166">
        <v>0.1</v>
      </c>
      <c r="I166">
        <v>45692</v>
      </c>
      <c r="J166" t="str">
        <v>Feb</v>
      </c>
      <c r="K166">
        <v>395.31</v>
      </c>
    </row>
    <row r="167" spans="1:11">
      <c r="A167" t="str">
        <v>CUST002</v>
      </c>
      <c r="B167" t="str">
        <v>Lisa Davis</v>
      </c>
      <c r="C167" t="str">
        <v>West</v>
      </c>
      <c r="D167" t="str">
        <v>Office Supplies</v>
      </c>
      <c r="E167">
        <v>827.25</v>
      </c>
      <c r="F167">
        <v>7</v>
      </c>
      <c r="G167">
        <v>5790.75</v>
      </c>
      <c r="H167">
        <v>0.1</v>
      </c>
      <c r="I167">
        <v>45693</v>
      </c>
      <c r="J167" t="str">
        <v>Feb</v>
      </c>
      <c r="K167">
        <v>335.04</v>
      </c>
    </row>
    <row r="168" spans="1:11">
      <c r="A168" t="str">
        <v>CUST024</v>
      </c>
      <c r="B168" t="str">
        <v>Linda Wilson</v>
      </c>
      <c r="C168" t="str">
        <v>Central</v>
      </c>
      <c r="D168" t="str">
        <v>Clothing</v>
      </c>
      <c r="E168">
        <v>741.88</v>
      </c>
      <c r="F168">
        <v>16</v>
      </c>
      <c r="G168">
        <v>11870.08</v>
      </c>
      <c r="H168">
        <v>0.1</v>
      </c>
      <c r="I168">
        <v>45695</v>
      </c>
      <c r="J168" t="str">
        <v>Feb</v>
      </c>
      <c r="K168">
        <v>333.85</v>
      </c>
    </row>
    <row r="169" spans="1:11">
      <c r="A169" t="str">
        <v>CUST004</v>
      </c>
      <c r="B169" t="str">
        <v>James Davis</v>
      </c>
      <c r="C169" t="str">
        <v>East</v>
      </c>
      <c r="D169" t="str">
        <v>Office Supplies</v>
      </c>
      <c r="E169">
        <v>1311.26</v>
      </c>
      <c r="F169">
        <v>6</v>
      </c>
      <c r="G169">
        <v>7867.56</v>
      </c>
      <c r="H169">
        <v>0.1</v>
      </c>
      <c r="I169">
        <v>45698</v>
      </c>
      <c r="J169" t="str">
        <v>Feb</v>
      </c>
      <c r="K169">
        <v>531.06</v>
      </c>
    </row>
    <row r="170" spans="1:11">
      <c r="A170" t="str">
        <v>CUST004</v>
      </c>
      <c r="B170" t="str">
        <v>Mary Davis</v>
      </c>
      <c r="C170" t="str">
        <v>South</v>
      </c>
      <c r="D170" t="str">
        <v>Office Supplies</v>
      </c>
      <c r="E170">
        <v>573.32</v>
      </c>
      <c r="F170">
        <v>19</v>
      </c>
      <c r="G170">
        <v>10893.08</v>
      </c>
      <c r="H170">
        <v>0.1</v>
      </c>
      <c r="I170">
        <v>45703</v>
      </c>
      <c r="J170" t="str">
        <v>Feb</v>
      </c>
      <c r="K170">
        <v>232.19</v>
      </c>
    </row>
    <row r="171" spans="1:11">
      <c r="A171" t="str">
        <v>CUST028</v>
      </c>
      <c r="B171" t="str">
        <v>James Wilson</v>
      </c>
      <c r="C171" t="str">
        <v>West</v>
      </c>
      <c r="D171" t="str">
        <v>Electronics</v>
      </c>
      <c r="E171">
        <v>1115.22</v>
      </c>
      <c r="F171">
        <v>14</v>
      </c>
      <c r="G171">
        <v>15613.08</v>
      </c>
      <c r="H171">
        <v>0.2</v>
      </c>
      <c r="I171">
        <v>45705</v>
      </c>
      <c r="J171" t="str">
        <v>Feb</v>
      </c>
      <c r="K171">
        <v>223.04</v>
      </c>
    </row>
    <row r="172" spans="1:11">
      <c r="A172" t="str">
        <v>CUST012</v>
      </c>
      <c r="B172" t="str">
        <v>Lisa Thomas</v>
      </c>
      <c r="C172" t="str">
        <v>North</v>
      </c>
      <c r="D172" t="str">
        <v>Clothing</v>
      </c>
      <c r="E172">
        <v>845.84</v>
      </c>
      <c r="F172">
        <v>4</v>
      </c>
      <c r="G172">
        <v>3383.36</v>
      </c>
      <c r="H172">
        <v>0</v>
      </c>
      <c r="I172">
        <v>45707</v>
      </c>
      <c r="J172" t="str">
        <v>Feb</v>
      </c>
      <c r="K172">
        <v>422.92</v>
      </c>
    </row>
    <row r="173" spans="1:11">
      <c r="A173" t="str">
        <v>CUST026</v>
      </c>
      <c r="B173" t="str">
        <v>David Brown</v>
      </c>
      <c r="C173" t="str">
        <v>West</v>
      </c>
      <c r="D173" t="str">
        <v>Electronics</v>
      </c>
      <c r="E173">
        <v>1029.8</v>
      </c>
      <c r="F173">
        <v>3</v>
      </c>
      <c r="G173">
        <v>3089.4</v>
      </c>
      <c r="H173">
        <v>0</v>
      </c>
      <c r="I173">
        <v>45708</v>
      </c>
      <c r="J173" t="str">
        <v>Feb</v>
      </c>
      <c r="K173">
        <v>257.45</v>
      </c>
    </row>
    <row r="174" spans="1:11">
      <c r="A174" t="str">
        <v>CUST009</v>
      </c>
      <c r="B174" t="str">
        <v>Mary Davis</v>
      </c>
      <c r="C174" t="str">
        <v>North</v>
      </c>
      <c r="D174" t="str">
        <v>Books</v>
      </c>
      <c r="E174">
        <v>1189.83</v>
      </c>
      <c r="F174">
        <v>2</v>
      </c>
      <c r="G174">
        <v>2379.66</v>
      </c>
      <c r="H174">
        <v>0.2</v>
      </c>
      <c r="I174">
        <v>45709</v>
      </c>
      <c r="J174" t="str">
        <v>Feb</v>
      </c>
      <c r="K174">
        <v>380.75</v>
      </c>
    </row>
    <row r="175" spans="1:11">
      <c r="A175" t="str">
        <v>CUST003</v>
      </c>
      <c r="B175" t="str">
        <v>Sarah Anderson</v>
      </c>
      <c r="C175" t="str">
        <v>South</v>
      </c>
      <c r="D175" t="str">
        <v>Books</v>
      </c>
      <c r="E175">
        <v>704.28</v>
      </c>
      <c r="F175">
        <v>15</v>
      </c>
      <c r="G175">
        <v>10564.2</v>
      </c>
      <c r="H175">
        <v>0.2</v>
      </c>
      <c r="I175">
        <v>45712</v>
      </c>
      <c r="J175" t="str">
        <v>Feb</v>
      </c>
      <c r="K175">
        <v>225.37</v>
      </c>
    </row>
    <row r="176" spans="1:11">
      <c r="A176" t="str">
        <v>CUST002</v>
      </c>
      <c r="B176" t="str">
        <v>Mary Jackson</v>
      </c>
      <c r="C176" t="str">
        <v>Central</v>
      </c>
      <c r="D176" t="str">
        <v>Office Supplies</v>
      </c>
      <c r="E176">
        <v>1618.22</v>
      </c>
      <c r="F176">
        <v>12</v>
      </c>
      <c r="G176">
        <v>19418.64</v>
      </c>
      <c r="H176">
        <v>0.2</v>
      </c>
      <c r="I176">
        <v>45712</v>
      </c>
      <c r="J176" t="str">
        <v>Feb</v>
      </c>
      <c r="K176">
        <v>582.56</v>
      </c>
    </row>
    <row r="177" spans="1:11">
      <c r="A177" t="str">
        <v>CUST013</v>
      </c>
      <c r="B177" t="str">
        <v>Linda Taylor</v>
      </c>
      <c r="C177" t="str">
        <v>Central</v>
      </c>
      <c r="D177" t="str">
        <v>Books</v>
      </c>
      <c r="E177">
        <v>1014.43</v>
      </c>
      <c r="F177">
        <v>2</v>
      </c>
      <c r="G177">
        <v>2028.86</v>
      </c>
      <c r="H177">
        <v>0.15</v>
      </c>
      <c r="I177">
        <v>45713</v>
      </c>
      <c r="J177" t="str">
        <v>Feb</v>
      </c>
      <c r="K177">
        <v>344.91</v>
      </c>
    </row>
    <row r="178" spans="1:11">
      <c r="A178" t="str">
        <v>CUST018</v>
      </c>
      <c r="B178" t="str">
        <v>Mary Davis</v>
      </c>
      <c r="C178" t="str">
        <v>Central</v>
      </c>
      <c r="D178" t="str">
        <v>Clothing</v>
      </c>
      <c r="E178">
        <v>826.97</v>
      </c>
      <c r="F178">
        <v>18</v>
      </c>
      <c r="G178">
        <v>14885.46</v>
      </c>
      <c r="H178">
        <v>0.2</v>
      </c>
      <c r="I178">
        <v>45715</v>
      </c>
      <c r="J178" t="str">
        <v>Feb</v>
      </c>
      <c r="K178">
        <v>330.79</v>
      </c>
    </row>
    <row r="179" spans="1:11">
      <c r="A179" t="str">
        <v>CUST017</v>
      </c>
      <c r="B179" t="str">
        <v>Mary Davis</v>
      </c>
      <c r="C179" t="str">
        <v>Central</v>
      </c>
      <c r="D179" t="str">
        <v>Clothing</v>
      </c>
      <c r="E179">
        <v>1022.23</v>
      </c>
      <c r="F179">
        <v>8</v>
      </c>
      <c r="G179">
        <v>8177.84</v>
      </c>
      <c r="H179">
        <v>0.1</v>
      </c>
      <c r="I179">
        <v>45717</v>
      </c>
      <c r="J179" t="str">
        <v>Mar</v>
      </c>
      <c r="K179">
        <v>460</v>
      </c>
    </row>
    <row r="180" spans="1:11">
      <c r="A180" t="str">
        <v>CUST004</v>
      </c>
      <c r="B180" t="str">
        <v>Linda Wilson</v>
      </c>
      <c r="C180" t="str">
        <v>East</v>
      </c>
      <c r="D180" t="str">
        <v>Books</v>
      </c>
      <c r="E180">
        <v>1099.69</v>
      </c>
      <c r="F180">
        <v>6</v>
      </c>
      <c r="G180">
        <v>6598.14</v>
      </c>
      <c r="H180">
        <v>0</v>
      </c>
      <c r="I180">
        <v>45718</v>
      </c>
      <c r="J180" t="str">
        <v>Mar</v>
      </c>
      <c r="K180">
        <v>439.88</v>
      </c>
    </row>
    <row r="181" spans="1:11">
      <c r="A181" t="str">
        <v>CUST028</v>
      </c>
      <c r="B181" t="str">
        <v>Sarah Davis</v>
      </c>
      <c r="C181" t="str">
        <v>North</v>
      </c>
      <c r="D181" t="str">
        <v>Books</v>
      </c>
      <c r="E181">
        <v>710.52</v>
      </c>
      <c r="F181">
        <v>8</v>
      </c>
      <c r="G181">
        <v>5684.16</v>
      </c>
      <c r="H181">
        <v>0.1</v>
      </c>
      <c r="I181">
        <v>45721</v>
      </c>
      <c r="J181" t="str">
        <v>Mar</v>
      </c>
      <c r="K181">
        <v>255.79</v>
      </c>
    </row>
    <row r="182" spans="1:11">
      <c r="A182" t="str">
        <v>CUST028</v>
      </c>
      <c r="B182" t="str">
        <v>Mary Wilson</v>
      </c>
      <c r="C182" t="str">
        <v>North</v>
      </c>
      <c r="D182" t="str">
        <v>Books</v>
      </c>
      <c r="E182">
        <v>499.18</v>
      </c>
      <c r="F182">
        <v>15</v>
      </c>
      <c r="G182">
        <v>7487.7</v>
      </c>
      <c r="H182">
        <v>0.2</v>
      </c>
      <c r="I182">
        <v>45724</v>
      </c>
      <c r="J182" t="str">
        <v>Mar</v>
      </c>
      <c r="K182">
        <v>159.74</v>
      </c>
    </row>
    <row r="183" spans="1:11">
      <c r="A183" t="str">
        <v>CUST014</v>
      </c>
      <c r="B183" t="str">
        <v>Emma Davis</v>
      </c>
      <c r="C183" t="str">
        <v>South</v>
      </c>
      <c r="D183" t="str">
        <v>Books</v>
      </c>
      <c r="E183">
        <v>1064.19</v>
      </c>
      <c r="F183">
        <v>18</v>
      </c>
      <c r="G183">
        <v>19155.42</v>
      </c>
      <c r="H183">
        <v>0.05</v>
      </c>
      <c r="I183">
        <v>45725</v>
      </c>
      <c r="J183" t="str">
        <v>Mar</v>
      </c>
      <c r="K183">
        <v>404.39</v>
      </c>
    </row>
    <row r="184" spans="1:11">
      <c r="A184" t="str">
        <v>CUST003</v>
      </c>
      <c r="B184" t="str">
        <v>Emma Davis</v>
      </c>
      <c r="C184" t="str">
        <v>East</v>
      </c>
      <c r="D184" t="str">
        <v>Office Supplies</v>
      </c>
      <c r="E184">
        <v>438.76</v>
      </c>
      <c r="F184">
        <v>18</v>
      </c>
      <c r="G184">
        <v>7897.68</v>
      </c>
      <c r="H184">
        <v>0.05</v>
      </c>
      <c r="I184">
        <v>45726</v>
      </c>
      <c r="J184" t="str">
        <v>Mar</v>
      </c>
      <c r="K184">
        <v>187.57</v>
      </c>
    </row>
    <row r="185" spans="1:11">
      <c r="A185" t="str">
        <v>CUST029</v>
      </c>
      <c r="B185" t="str">
        <v>David Brown</v>
      </c>
      <c r="C185" t="str">
        <v>West</v>
      </c>
      <c r="D185" t="str">
        <v>Clothing</v>
      </c>
      <c r="E185">
        <v>864.98</v>
      </c>
      <c r="F185">
        <v>2</v>
      </c>
      <c r="G185">
        <v>1729.96</v>
      </c>
      <c r="H185">
        <v>0.05</v>
      </c>
      <c r="I185">
        <v>45727</v>
      </c>
      <c r="J185" t="str">
        <v>Mar</v>
      </c>
      <c r="K185">
        <v>410.87</v>
      </c>
    </row>
    <row r="186" spans="1:11">
      <c r="A186" t="str">
        <v>CUST021</v>
      </c>
      <c r="B186" t="str">
        <v>David Brown</v>
      </c>
      <c r="C186" t="str">
        <v>West</v>
      </c>
      <c r="D186" t="str">
        <v>Furniture</v>
      </c>
      <c r="E186">
        <v>984.93</v>
      </c>
      <c r="F186">
        <v>14</v>
      </c>
      <c r="G186">
        <v>13789.02</v>
      </c>
      <c r="H186">
        <v>0.2</v>
      </c>
      <c r="I186">
        <v>45733</v>
      </c>
      <c r="J186" t="str">
        <v>Mar</v>
      </c>
      <c r="K186">
        <v>275.78</v>
      </c>
    </row>
    <row r="187" spans="1:11">
      <c r="A187" t="str">
        <v>CUST007</v>
      </c>
      <c r="B187" t="str">
        <v>David Brown</v>
      </c>
      <c r="C187" t="str">
        <v>West</v>
      </c>
      <c r="D187" t="str">
        <v>Clothing</v>
      </c>
      <c r="E187">
        <v>1493.49</v>
      </c>
      <c r="F187">
        <v>18</v>
      </c>
      <c r="G187">
        <v>26882.82</v>
      </c>
      <c r="H187">
        <v>0</v>
      </c>
      <c r="I187">
        <v>45734</v>
      </c>
      <c r="J187" t="str">
        <v>Mar</v>
      </c>
      <c r="K187">
        <v>746.74</v>
      </c>
    </row>
    <row r="188" spans="1:11">
      <c r="A188" t="str">
        <v>CUST009</v>
      </c>
      <c r="B188" t="str">
        <v>Linda Taylor</v>
      </c>
      <c r="C188" t="str">
        <v>South</v>
      </c>
      <c r="D188" t="str">
        <v>Clothing</v>
      </c>
      <c r="E188">
        <v>689.43</v>
      </c>
      <c r="F188">
        <v>9</v>
      </c>
      <c r="G188">
        <v>6204.87</v>
      </c>
      <c r="H188">
        <v>0.1</v>
      </c>
      <c r="I188">
        <v>45736</v>
      </c>
      <c r="J188" t="str">
        <v>Mar</v>
      </c>
      <c r="K188">
        <v>310.24</v>
      </c>
    </row>
    <row r="189" spans="1:11">
      <c r="A189" t="str">
        <v>CUST023</v>
      </c>
      <c r="B189" t="str">
        <v>Mary Wilson</v>
      </c>
      <c r="C189" t="str">
        <v>South</v>
      </c>
      <c r="D189" t="str">
        <v>Clothing</v>
      </c>
      <c r="E189">
        <v>682.24</v>
      </c>
      <c r="F189">
        <v>1</v>
      </c>
      <c r="G189">
        <v>682.24</v>
      </c>
      <c r="H189">
        <v>0</v>
      </c>
      <c r="I189">
        <v>45738</v>
      </c>
      <c r="J189" t="str">
        <v>Mar</v>
      </c>
      <c r="K189">
        <v>341.12</v>
      </c>
    </row>
    <row r="190" spans="1:11">
      <c r="A190" t="str">
        <v>CUST029</v>
      </c>
      <c r="B190" t="str">
        <v>Michael Anderson</v>
      </c>
      <c r="C190" t="str">
        <v>North</v>
      </c>
      <c r="D190" t="str">
        <v>Electronics</v>
      </c>
      <c r="E190">
        <v>458.54</v>
      </c>
      <c r="F190">
        <v>15</v>
      </c>
      <c r="G190">
        <v>6878.1</v>
      </c>
      <c r="H190">
        <v>0.2</v>
      </c>
      <c r="I190">
        <v>45741</v>
      </c>
      <c r="J190" t="str">
        <v>Mar</v>
      </c>
      <c r="K190">
        <v>91.71</v>
      </c>
    </row>
    <row r="191" spans="1:11">
      <c r="A191" t="str">
        <v>CUST009</v>
      </c>
      <c r="B191" t="str">
        <v>Michael Anderson</v>
      </c>
      <c r="C191" t="str">
        <v>South</v>
      </c>
      <c r="D191" t="str">
        <v>Furniture</v>
      </c>
      <c r="E191">
        <v>1184.25</v>
      </c>
      <c r="F191">
        <v>11</v>
      </c>
      <c r="G191">
        <v>13026.75</v>
      </c>
      <c r="H191">
        <v>0.2</v>
      </c>
      <c r="I191">
        <v>45742</v>
      </c>
      <c r="J191" t="str">
        <v>Mar</v>
      </c>
      <c r="K191">
        <v>331.59</v>
      </c>
    </row>
    <row r="192" spans="1:11">
      <c r="A192" t="str">
        <v>CUST007</v>
      </c>
      <c r="B192" t="str">
        <v>James Davis</v>
      </c>
      <c r="C192" t="str">
        <v>South</v>
      </c>
      <c r="D192" t="str">
        <v>Clothing</v>
      </c>
      <c r="E192">
        <v>762.14</v>
      </c>
      <c r="F192">
        <v>9</v>
      </c>
      <c r="G192">
        <v>6859.26</v>
      </c>
      <c r="H192">
        <v>0</v>
      </c>
      <c r="I192">
        <v>45743</v>
      </c>
      <c r="J192" t="str">
        <v>Mar</v>
      </c>
      <c r="K192">
        <v>381.07</v>
      </c>
    </row>
    <row r="193" spans="1:11">
      <c r="A193" t="str">
        <v>CUST030</v>
      </c>
      <c r="B193" t="str">
        <v>Linda Taylor</v>
      </c>
      <c r="C193" t="str">
        <v>North</v>
      </c>
      <c r="D193" t="str">
        <v>Books</v>
      </c>
      <c r="E193">
        <v>750.71</v>
      </c>
      <c r="F193">
        <v>10</v>
      </c>
      <c r="G193">
        <v>7507.1</v>
      </c>
      <c r="H193">
        <v>0.15</v>
      </c>
      <c r="I193">
        <v>45743</v>
      </c>
      <c r="J193" t="str">
        <v>Mar</v>
      </c>
      <c r="K193">
        <v>255.24</v>
      </c>
    </row>
    <row r="194" spans="1:11">
      <c r="A194" t="str">
        <v>CUST018</v>
      </c>
      <c r="B194" t="str">
        <v>David Anderson</v>
      </c>
      <c r="C194" t="str">
        <v>Central</v>
      </c>
      <c r="D194" t="str">
        <v>Clothing</v>
      </c>
      <c r="E194">
        <v>1456.94</v>
      </c>
      <c r="F194">
        <v>14</v>
      </c>
      <c r="G194">
        <v>20397.16</v>
      </c>
      <c r="H194">
        <v>0.05</v>
      </c>
      <c r="I194">
        <v>45745</v>
      </c>
      <c r="J194" t="str">
        <v>Mar</v>
      </c>
      <c r="K194">
        <v>692.05</v>
      </c>
    </row>
    <row r="195" spans="1:11">
      <c r="A195" t="str">
        <v>CUST008</v>
      </c>
      <c r="B195" t="str">
        <v>Emma Wilson</v>
      </c>
      <c r="C195" t="str">
        <v>East</v>
      </c>
      <c r="D195" t="str">
        <v>Furniture</v>
      </c>
      <c r="E195">
        <v>1093.38</v>
      </c>
      <c r="F195">
        <v>17</v>
      </c>
      <c r="G195">
        <v>18587.46</v>
      </c>
      <c r="H195">
        <v>0.1</v>
      </c>
      <c r="I195">
        <v>45745</v>
      </c>
      <c r="J195" t="str">
        <v>Mar</v>
      </c>
      <c r="K195">
        <v>344.41</v>
      </c>
    </row>
    <row r="196" spans="1:11">
      <c r="A196" t="str">
        <v>CUST014</v>
      </c>
      <c r="B196" t="str">
        <v>Sarah Anderson</v>
      </c>
      <c r="C196" t="str">
        <v>West</v>
      </c>
      <c r="D196" t="str">
        <v>Clothing</v>
      </c>
      <c r="E196">
        <v>934.27</v>
      </c>
      <c r="F196">
        <v>8</v>
      </c>
      <c r="G196">
        <v>7474.16</v>
      </c>
      <c r="H196">
        <v>0.15</v>
      </c>
      <c r="I196">
        <v>45746</v>
      </c>
      <c r="J196" t="str">
        <v>Mar</v>
      </c>
      <c r="K196">
        <v>397.06</v>
      </c>
    </row>
    <row r="197" spans="1:11">
      <c r="A197" t="str">
        <v>CUST024</v>
      </c>
      <c r="B197" t="str">
        <v>David Thomas</v>
      </c>
      <c r="C197" t="str">
        <v>Central</v>
      </c>
      <c r="D197" t="str">
        <v>Clothing</v>
      </c>
      <c r="E197">
        <v>1465.35</v>
      </c>
      <c r="F197">
        <v>8</v>
      </c>
      <c r="G197">
        <v>11722.8</v>
      </c>
      <c r="H197">
        <v>0.2</v>
      </c>
      <c r="I197">
        <v>45746</v>
      </c>
      <c r="J197" t="str">
        <v>Mar</v>
      </c>
      <c r="K197">
        <v>586.14</v>
      </c>
    </row>
    <row r="198" spans="1:11">
      <c r="A198" t="str">
        <v>CUST028</v>
      </c>
      <c r="B198" t="str">
        <v>Robert Anderson</v>
      </c>
      <c r="C198" t="str">
        <v>South</v>
      </c>
      <c r="D198" t="str">
        <v>Office Supplies</v>
      </c>
      <c r="E198">
        <v>740.8</v>
      </c>
      <c r="F198">
        <v>3</v>
      </c>
      <c r="G198">
        <v>2222.4</v>
      </c>
      <c r="H198">
        <v>0</v>
      </c>
      <c r="I198">
        <v>45749</v>
      </c>
      <c r="J198" t="str">
        <v>Apr</v>
      </c>
      <c r="K198">
        <v>333.36</v>
      </c>
    </row>
    <row r="199" spans="1:11">
      <c r="A199" t="str">
        <v>CUST015</v>
      </c>
      <c r="B199" t="str">
        <v>Sarah Anderson</v>
      </c>
      <c r="C199" t="str">
        <v>West</v>
      </c>
      <c r="D199" t="str">
        <v>Office Supplies</v>
      </c>
      <c r="E199">
        <v>545.44</v>
      </c>
      <c r="F199">
        <v>17</v>
      </c>
      <c r="G199">
        <v>9272.48</v>
      </c>
      <c r="H199">
        <v>0</v>
      </c>
      <c r="I199">
        <v>45752</v>
      </c>
      <c r="J199" t="str">
        <v>Apr</v>
      </c>
      <c r="K199">
        <v>245.45</v>
      </c>
    </row>
    <row r="200" spans="1:11">
      <c r="A200" t="str">
        <v>CUST010</v>
      </c>
      <c r="B200" t="str">
        <v>David Thomas</v>
      </c>
      <c r="C200" t="str">
        <v>East</v>
      </c>
      <c r="D200" t="str">
        <v>Books</v>
      </c>
      <c r="E200">
        <v>997.61</v>
      </c>
      <c r="F200">
        <v>8</v>
      </c>
      <c r="G200">
        <v>7980.88</v>
      </c>
      <c r="H200">
        <v>0.05</v>
      </c>
      <c r="I200">
        <v>45752</v>
      </c>
      <c r="J200" t="str">
        <v>Apr</v>
      </c>
      <c r="K200">
        <v>379.09</v>
      </c>
    </row>
    <row r="201" spans="1:11">
      <c r="A201" t="str">
        <v>CUST016</v>
      </c>
      <c r="B201" t="str">
        <v>David Thomas</v>
      </c>
      <c r="C201" t="str">
        <v>South</v>
      </c>
      <c r="D201" t="str">
        <v>Clothing</v>
      </c>
      <c r="E201">
        <v>928.32</v>
      </c>
      <c r="F201">
        <v>2</v>
      </c>
      <c r="G201">
        <v>1856.64</v>
      </c>
      <c r="H201">
        <v>0.05</v>
      </c>
      <c r="I201">
        <v>45754</v>
      </c>
      <c r="J201" t="str">
        <v>Apr</v>
      </c>
      <c r="K201">
        <v>440.95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1:C32"/>
  <sheetViews>
    <sheetView tabSelected="1" zoomScale="61" zoomScaleNormal="61" topLeftCell="A5" workbookViewId="0">
      <selection activeCell="S46" sqref="S46"/>
    </sheetView>
  </sheetViews>
  <sheetFormatPr defaultColWidth="8.72727272727273" defaultRowHeight="14.5" outlineLevelCol="2"/>
  <sheetData>
    <row r="31" spans="2:2">
      <c r="B31" s="1" t="e">
        <f>SUM(#REF!)</f>
        <v>#REF!</v>
      </c>
    </row>
    <row r="32" spans="3:3">
      <c r="C32" s="2"/>
    </row>
  </sheetData>
  <sheetProtection algorithmName="SHA-512" hashValue="ynTUu5o34l0VFJMB6Lu0irxwPw8wp/UPMWuPhKbeBn7z6/Uhi0l0Prad5jZb6qEdTAZhgy8YuCva6OrAU6spZg==" saltValue="wm3SetM/uYOumwGzfxy59g==" spinCount="100000" sheet="1" objects="1"/>
  <pageMargins left="0.75" right="0.75" top="1" bottom="1" header="0.5" footer="0.5"/>
  <headerFooter/>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10" master="" otherUserPermission="visible"/>
  <rangeList sheetStid="2" master="" otherUserPermission="visible"/>
  <rangeList sheetStid="3" master="" otherUserPermission="visible"/>
  <rangeList sheetStid="11"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Project Instructions</vt:lpstr>
      <vt:lpstr>Sheet8</vt:lpstr>
      <vt:lpstr>Dataset</vt:lpstr>
      <vt:lpstr>Sheet1</vt:lpstr>
      <vt:lpstr>dashboard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Parth P Bhagat</cp:lastModifiedBy>
  <dcterms:created xsi:type="dcterms:W3CDTF">2025-11-10T09:01:53Z</dcterms:created>
  <dcterms:modified xsi:type="dcterms:W3CDTF">2025-11-10T09:53:35Z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23FB05F3F1374F559BDDB5C0802EA2C4_12</vt:lpwstr>
  </property>
  <property fmtid="{D5CDD505-2E9C-101B-9397-08002B2CF9AE}" pid="3" name="KSOProductBuildVer">
    <vt:lpwstr>1033-12.2.0.23155</vt:lpwstr>
  </property>
</Properties>
</file>