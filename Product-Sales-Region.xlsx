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heet9" sheetId="9" r:id="rId1"/>
    <sheet name="Sheet1" sheetId="1" r:id="rId2"/>
    <sheet name="dashboard" sheetId="10" r:id="rId3"/>
  </sheets>
  <definedNames>
    <definedName name="store_data">Sheet1!$A$1:$V$1501</definedName>
    <definedName name="Slicer_Month">#N/A</definedName>
    <definedName name="Slicer_Region">#N/A</definedName>
    <definedName name="Slicer_Product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<sst xmlns="http://schemas.openxmlformats.org/spreadsheetml/2006/main" count="14702" uniqueCount="2947">
  <si>
    <t>Month</t>
  </si>
  <si>
    <t>Count of OrderID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</si>
  <si>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</si>
  <si>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</si>
  <si>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</si>
  <si>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</si>
  <si>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</si>
  <si>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</si>
  <si>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</si>
  <si>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</si>
  <si>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</si>
  <si>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</si>
  <si>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</si>
  <si>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</si>
  <si>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</si>
  <si>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Region</t>
  </si>
  <si>
    <t>East</t>
  </si>
  <si>
    <t>South</t>
  </si>
  <si>
    <t>North</t>
  </si>
  <si>
    <t>Central</t>
  </si>
  <si>
    <t>West</t>
  </si>
  <si>
    <t>Product</t>
  </si>
  <si>
    <t>Laptop</t>
  </si>
  <si>
    <t>Phone</t>
  </si>
  <si>
    <t>Desk</t>
  </si>
  <si>
    <t>Chair</t>
  </si>
  <si>
    <t>Monitor</t>
  </si>
  <si>
    <t>Printer</t>
  </si>
  <si>
    <t xml:space="preserve">Sum of  Total sale </t>
  </si>
  <si>
    <t>PaymentMethod</t>
  </si>
  <si>
    <t>Online</t>
  </si>
  <si>
    <t>Gift Card</t>
  </si>
  <si>
    <t>Credit Card</t>
  </si>
  <si>
    <t>Debit Card</t>
  </si>
  <si>
    <t>Cash</t>
  </si>
  <si>
    <t>Date</t>
  </si>
  <si>
    <t>Quantity</t>
  </si>
  <si>
    <t>UnitPrice</t>
  </si>
  <si>
    <t xml:space="preserve"> Total sale </t>
  </si>
  <si>
    <t>StoreLocation</t>
  </si>
  <si>
    <t>CustomerType</t>
  </si>
  <si>
    <t>Discount</t>
  </si>
  <si>
    <t>Salesperson</t>
  </si>
  <si>
    <t xml:space="preserve"> TotalPrice 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</si>
  <si>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</si>
  <si>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</si>
  <si>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</si>
  <si>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</si>
  <si>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</si>
  <si>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</si>
  <si>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</si>
  <si>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Date Diff</t>
  </si>
  <si>
    <t>RegionManager</t>
  </si>
  <si>
    <t>Store B</t>
  </si>
  <si>
    <t>Wholesale</t>
  </si>
  <si>
    <t>Eva</t>
  </si>
  <si>
    <t>FREESHIP</t>
  </si>
  <si>
    <t>REG100000</t>
  </si>
  <si>
    <t>Cust 6583</t>
  </si>
  <si>
    <t>Eric</t>
  </si>
  <si>
    <t>Average Sale</t>
  </si>
  <si>
    <t>Store A</t>
  </si>
  <si>
    <t>Retail</t>
  </si>
  <si>
    <t>Alice</t>
  </si>
  <si>
    <t>SAVE10</t>
  </si>
  <si>
    <t>REG100001</t>
  </si>
  <si>
    <t>Cust 2144</t>
  </si>
  <si>
    <t>Sophie</t>
  </si>
  <si>
    <t>Max sale</t>
  </si>
  <si>
    <t>WINTER15</t>
  </si>
  <si>
    <t>REG100002</t>
  </si>
  <si>
    <t>Cust 5998</t>
  </si>
  <si>
    <t>Ryan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</si>
  <si>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</si>
  <si>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</si>
  <si>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</si>
  <si>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</si>
  <si>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</si>
  <si>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</si>
  <si>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</si>
  <si>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</si>
  <si>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Store D</t>
  </si>
  <si>
    <t>Diana</t>
  </si>
  <si>
    <t>REG100005</t>
  </si>
  <si>
    <t>Cust 3909</t>
  </si>
  <si>
    <t>REG100006</t>
  </si>
  <si>
    <t>Cust 7887</t>
  </si>
  <si>
    <t>REG100007</t>
  </si>
  <si>
    <t>Cust 5301</t>
  </si>
  <si>
    <t>Bob</t>
  </si>
  <si>
    <t>REG100008</t>
  </si>
  <si>
    <t>Cust 2284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</si>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</sst>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178" fontId="0" fillId="0" borderId="0" xfId="1" applyNumberFormat="1"/>
    <xf numFmtId="0" fontId="1" fillId="0" borderId="1" xfId="0" applyFont="1" applyBorder="1" applyAlignment="1">
      <alignment horizontal="center" vertical="top"/>
    </xf>
    <xf numFmtId="178" fontId="1" fillId="0" borderId="1" xfId="1" applyNumberFormat="1" applyFont="1" applyBorder="1" applyAlignment="1">
      <alignment horizontal="center" vertical="top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8" fontId="0" fillId="0" borderId="0" xfId="1" applyNumberForma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0" xfId="0" applyFont="1" applyFill="1" applyBorder="1" applyAlignment="1">
      <alignment horizontal="center" vertical="top"/>
    </xf>
    <xf numFmtId="178" fontId="0" fillId="3" borderId="0" xfId="1" applyNumberFormat="1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numFmt numFmtId="179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_ * #,##0_ ;_ * \-#,##0_ ;_ * &quot;-&quot;??_ ;_ @_ 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_ * #,##0_ ;_ * \-#,##0_ ;_ * &quot;-&quot;??_ ;_ @_ 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yyyy\-mm\-dd"/>
      <alignment horizontal="center"/>
    </dxf>
    <dxf>
      <numFmt numFmtId="179" formatCode="yyyy\-mm\-dd"/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176</c:v>
                </c:pt>
                <c:pt idx="1">
                  <c:v>149</c:v>
                </c:pt>
                <c:pt idx="2">
                  <c:v>174</c:v>
                </c:pt>
                <c:pt idx="3">
                  <c:v>144</c:v>
                </c:pt>
                <c:pt idx="4">
                  <c:v>140</c:v>
                </c:pt>
                <c:pt idx="5">
                  <c:v>154</c:v>
                </c:pt>
                <c:pt idx="6">
                  <c:v>98</c:v>
                </c:pt>
                <c:pt idx="7">
                  <c:v>102</c:v>
                </c:pt>
                <c:pt idx="8">
                  <c:v>89</c:v>
                </c:pt>
                <c:pt idx="9">
                  <c:v>89</c:v>
                </c:pt>
                <c:pt idx="10">
                  <c:v>98</c:v>
                </c:pt>
                <c:pt idx="11">
                  <c:v>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95018695"/>
        <c:axId val="239936023"/>
      </c:barChart>
      <c:catAx>
        <c:axId val="695018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936023"/>
        <c:crosses val="autoZero"/>
        <c:auto val="1"/>
        <c:lblAlgn val="ctr"/>
        <c:lblOffset val="100"/>
        <c:noMultiLvlLbl val="0"/>
      </c:catAx>
      <c:valAx>
        <c:axId val="239936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018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Sheet9!$B$18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Sheet9!$A$19:$A$24</c:f>
              <c:strCache>
                <c:ptCount val="5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Central</c:v>
                </c:pt>
                <c:pt idx="4">
                  <c:v>West</c:v>
                </c:pt>
              </c:strCache>
            </c:strRef>
          </c:cat>
          <c:val>
            <c:numRef>
              <c:f>Sheet9!$B$19:$B$24</c:f>
              <c:numCache>
                <c:formatCode>General</c:formatCode>
                <c:ptCount val="5"/>
                <c:pt idx="0">
                  <c:v>311</c:v>
                </c:pt>
                <c:pt idx="1">
                  <c:v>295</c:v>
                </c:pt>
                <c:pt idx="2">
                  <c:v>309</c:v>
                </c:pt>
                <c:pt idx="3">
                  <c:v>301</c:v>
                </c:pt>
                <c:pt idx="4">
                  <c:v>284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Sheet9!$A$27:$A$33</c:f>
              <c:strCache>
                <c:ptCount val="6"/>
                <c:pt idx="0">
                  <c:v>Laptop</c:v>
                </c:pt>
                <c:pt idx="1">
                  <c:v>Phone</c:v>
                </c:pt>
                <c:pt idx="2">
                  <c:v>Desk</c:v>
                </c:pt>
                <c:pt idx="3">
                  <c:v>Chair</c:v>
                </c:pt>
                <c:pt idx="4">
                  <c:v>Monitor</c:v>
                </c:pt>
                <c:pt idx="5">
                  <c:v>Printer</c:v>
                </c:pt>
              </c:strCache>
            </c:strRef>
          </c:cat>
          <c:val>
            <c:numRef>
              <c:f>Sheet9!$B$27:$B$33</c:f>
              <c:numCache>
                <c:formatCode>General</c:formatCode>
                <c:ptCount val="6"/>
                <c:pt idx="0">
                  <c:v>226</c:v>
                </c:pt>
                <c:pt idx="1">
                  <c:v>195</c:v>
                </c:pt>
                <c:pt idx="2">
                  <c:v>207</c:v>
                </c:pt>
                <c:pt idx="3">
                  <c:v>209</c:v>
                </c:pt>
                <c:pt idx="4">
                  <c:v>212</c:v>
                </c:pt>
                <c:pt idx="5">
                  <c:v>211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55216717"/>
        <c:axId val="375940008"/>
      </c:barChart>
      <c:catAx>
        <c:axId val="4552167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940008"/>
        <c:crosses val="autoZero"/>
        <c:auto val="1"/>
        <c:lblAlgn val="ctr"/>
        <c:lblOffset val="100"/>
        <c:noMultiLvlLbl val="0"/>
      </c:catAx>
      <c:valAx>
        <c:axId val="37594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2167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Sheet9!$B$36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Sheet9!$A$37:$A$42</c:f>
              <c:strCache>
                <c:ptCount val="5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Central</c:v>
                </c:pt>
                <c:pt idx="4">
                  <c:v>West</c:v>
                </c:pt>
              </c:strCache>
            </c:strRef>
          </c:cat>
          <c:val>
            <c:numRef>
              <c:f>Sheet9!$B$37:$B$42</c:f>
              <c:numCache>
                <c:formatCode>General</c:formatCode>
                <c:ptCount val="5"/>
                <c:pt idx="0">
                  <c:v>947363.410000001</c:v>
                </c:pt>
                <c:pt idx="1">
                  <c:v>893128.87</c:v>
                </c:pt>
                <c:pt idx="2">
                  <c:v>1051081.78</c:v>
                </c:pt>
                <c:pt idx="3">
                  <c:v>914786.98</c:v>
                </c:pt>
                <c:pt idx="4">
                  <c:v>921531.9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Sheet9!$B$44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Sheet9!$A$45:$A$50</c:f>
              <c:strCache>
                <c:ptCount val="5"/>
                <c:pt idx="0">
                  <c:v>Online</c:v>
                </c:pt>
                <c:pt idx="1">
                  <c:v>Gift Card</c:v>
                </c:pt>
                <c:pt idx="2">
                  <c:v>Credit Card</c:v>
                </c:pt>
                <c:pt idx="3">
                  <c:v>Debit Card</c:v>
                </c:pt>
                <c:pt idx="4">
                  <c:v>Cash</c:v>
                </c:pt>
              </c:strCache>
            </c:strRef>
          </c:cat>
          <c:val>
            <c:numRef>
              <c:f>Sheet9!$B$45:$B$50</c:f>
              <c:numCache>
                <c:formatCode>General</c:formatCode>
                <c:ptCount val="5"/>
                <c:pt idx="0">
                  <c:v>1047602.7</c:v>
                </c:pt>
                <c:pt idx="1">
                  <c:v>882726.880000001</c:v>
                </c:pt>
                <c:pt idx="2">
                  <c:v>934798.370000001</c:v>
                </c:pt>
                <c:pt idx="3">
                  <c:v>831797.32</c:v>
                </c:pt>
                <c:pt idx="4">
                  <c:v>1030967.67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517637429"/>
        <c:axId val="218604092"/>
      </c:lineChart>
      <c:catAx>
        <c:axId val="5176374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604092"/>
        <c:crosses val="autoZero"/>
        <c:auto val="1"/>
        <c:lblAlgn val="ctr"/>
        <c:lblOffset val="100"/>
        <c:noMultiLvlLbl val="0"/>
      </c:catAx>
      <c:valAx>
        <c:axId val="2186040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76374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Month Wise Order data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176</c:v>
                </c:pt>
                <c:pt idx="1">
                  <c:v>149</c:v>
                </c:pt>
                <c:pt idx="2">
                  <c:v>174</c:v>
                </c:pt>
                <c:pt idx="3">
                  <c:v>144</c:v>
                </c:pt>
                <c:pt idx="4">
                  <c:v>140</c:v>
                </c:pt>
                <c:pt idx="5">
                  <c:v>154</c:v>
                </c:pt>
                <c:pt idx="6">
                  <c:v>98</c:v>
                </c:pt>
                <c:pt idx="7">
                  <c:v>102</c:v>
                </c:pt>
                <c:pt idx="8">
                  <c:v>89</c:v>
                </c:pt>
                <c:pt idx="9">
                  <c:v>89</c:v>
                </c:pt>
                <c:pt idx="10">
                  <c:v>98</c:v>
                </c:pt>
                <c:pt idx="11">
                  <c:v>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95018695"/>
        <c:axId val="239936023"/>
      </c:barChart>
      <c:catAx>
        <c:axId val="695018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936023"/>
        <c:crosses val="autoZero"/>
        <c:auto val="1"/>
        <c:lblAlgn val="ctr"/>
        <c:lblOffset val="100"/>
        <c:noMultiLvlLbl val="0"/>
      </c:catAx>
      <c:valAx>
        <c:axId val="239936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018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d35bdd-9d82-4872-a5da-4e0ac754ad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Region Wise Order data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Sheet9!$B$18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Sheet9!$A$19:$A$24</c:f>
              <c:strCache>
                <c:ptCount val="5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Central</c:v>
                </c:pt>
                <c:pt idx="4">
                  <c:v>West</c:v>
                </c:pt>
              </c:strCache>
            </c:strRef>
          </c:cat>
          <c:val>
            <c:numRef>
              <c:f>Sheet9!$B$19:$B$24</c:f>
              <c:numCache>
                <c:formatCode>General</c:formatCode>
                <c:ptCount val="5"/>
                <c:pt idx="0">
                  <c:v>311</c:v>
                </c:pt>
                <c:pt idx="1">
                  <c:v>295</c:v>
                </c:pt>
                <c:pt idx="2">
                  <c:v>309</c:v>
                </c:pt>
                <c:pt idx="3">
                  <c:v>301</c:v>
                </c:pt>
                <c:pt idx="4">
                  <c:v>284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ef03db-77cf-49cb-9827-0cc59ad0a6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[Product-Sales-Region.xlsx]Sheet9!PivotTable10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Sheet9!$A$27:$A$33</c:f>
              <c:strCache>
                <c:ptCount val="6"/>
                <c:pt idx="0">
                  <c:v>Laptop</c:v>
                </c:pt>
                <c:pt idx="1">
                  <c:v>Phone</c:v>
                </c:pt>
                <c:pt idx="2">
                  <c:v>Desk</c:v>
                </c:pt>
                <c:pt idx="3">
                  <c:v>Chair</c:v>
                </c:pt>
                <c:pt idx="4">
                  <c:v>Monitor</c:v>
                </c:pt>
                <c:pt idx="5">
                  <c:v>Printer</c:v>
                </c:pt>
              </c:strCache>
            </c:strRef>
          </c:cat>
          <c:val>
            <c:numRef>
              <c:f>Sheet9!$B$27:$B$33</c:f>
              <c:numCache>
                <c:formatCode>General</c:formatCode>
                <c:ptCount val="6"/>
                <c:pt idx="0">
                  <c:v>226</c:v>
                </c:pt>
                <c:pt idx="1">
                  <c:v>195</c:v>
                </c:pt>
                <c:pt idx="2">
                  <c:v>207</c:v>
                </c:pt>
                <c:pt idx="3">
                  <c:v>209</c:v>
                </c:pt>
                <c:pt idx="4">
                  <c:v>212</c:v>
                </c:pt>
                <c:pt idx="5">
                  <c:v>211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55216717"/>
        <c:axId val="375940008"/>
      </c:barChart>
      <c:catAx>
        <c:axId val="4552167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940008"/>
        <c:crosses val="autoZero"/>
        <c:auto val="1"/>
        <c:lblAlgn val="ctr"/>
        <c:lblOffset val="100"/>
        <c:noMultiLvlLbl val="0"/>
      </c:catAx>
      <c:valAx>
        <c:axId val="375940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21671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282c18-e90a-4d56-bdcf-c9cbe6a1a8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Region Wise Total Sale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Sheet9!$B$36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Sheet9!$A$37:$A$42</c:f>
              <c:strCache>
                <c:ptCount val="5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Central</c:v>
                </c:pt>
                <c:pt idx="4">
                  <c:v>West</c:v>
                </c:pt>
              </c:strCache>
            </c:strRef>
          </c:cat>
          <c:val>
            <c:numRef>
              <c:f>Sheet9!$B$37:$B$42</c:f>
              <c:numCache>
                <c:formatCode>General</c:formatCode>
                <c:ptCount val="5"/>
                <c:pt idx="0">
                  <c:v>947363.410000001</c:v>
                </c:pt>
                <c:pt idx="1">
                  <c:v>893128.87</c:v>
                </c:pt>
                <c:pt idx="2">
                  <c:v>1051081.78</c:v>
                </c:pt>
                <c:pt idx="3">
                  <c:v>914786.98</c:v>
                </c:pt>
                <c:pt idx="4">
                  <c:v>921531.9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1236d6-3dde-4c6c-bcc2-74c03407f3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[Product-Sales-Region.xlsx]Sheet9!PivotTable12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Sheet9!$B$44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Sheet9!$A$45:$A$50</c:f>
              <c:strCache>
                <c:ptCount val="5"/>
                <c:pt idx="0">
                  <c:v>Online</c:v>
                </c:pt>
                <c:pt idx="1">
                  <c:v>Gift Card</c:v>
                </c:pt>
                <c:pt idx="2">
                  <c:v>Credit Card</c:v>
                </c:pt>
                <c:pt idx="3">
                  <c:v>Debit Card</c:v>
                </c:pt>
                <c:pt idx="4">
                  <c:v>Cash</c:v>
                </c:pt>
              </c:strCache>
            </c:strRef>
          </c:cat>
          <c:val>
            <c:numRef>
              <c:f>Sheet9!$B$45:$B$50</c:f>
              <c:numCache>
                <c:formatCode>General</c:formatCode>
                <c:ptCount val="5"/>
                <c:pt idx="0">
                  <c:v>1047602.7</c:v>
                </c:pt>
                <c:pt idx="1">
                  <c:v>882726.880000001</c:v>
                </c:pt>
                <c:pt idx="2">
                  <c:v>934798.370000001</c:v>
                </c:pt>
                <c:pt idx="3">
                  <c:v>831797.32</c:v>
                </c:pt>
                <c:pt idx="4">
                  <c:v>1030967.67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517637429"/>
        <c:axId val="218604092"/>
      </c:lineChart>
      <c:catAx>
        <c:axId val="5176374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604092"/>
        <c:crosses val="autoZero"/>
        <c:auto val="1"/>
        <c:lblAlgn val="ctr"/>
        <c:lblOffset val="100"/>
        <c:noMultiLvlLbl val="0"/>
      </c:catAx>
      <c:valAx>
        <c:axId val="2186040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76374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1c6c6c5-d94a-474d-a63d-2541644def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57150</xdr:colOff>
      <xdr:row>1</xdr:row>
      <xdr:rowOff>133350</xdr:rowOff>
    </xdr:from>
    <xdr:to>
      <xdr:col>9</xdr:col>
      <xdr:colOff>50800</xdr:colOff>
      <xdr:row>16</xdr:row>
      <xdr:rowOff>114300</xdr:rowOff>
    </xdr:to>
    <xdr:graphicFrame>
      <xdr:nvGraphicFramePr>
        <xdr:cNvPr id="2" name="Chart 1"/>
        <xdr:cNvGraphicFramePr/>
      </xdr:nvGraphicFramePr>
      <xdr:xfrm>
        <a:off x="2044700" y="317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16</xdr:row>
      <xdr:rowOff>139700</xdr:rowOff>
    </xdr:from>
    <xdr:to>
      <xdr:col>8</xdr:col>
      <xdr:colOff>196850</xdr:colOff>
      <xdr:row>24</xdr:row>
      <xdr:rowOff>95885</xdr:rowOff>
    </xdr:to>
    <xdr:graphicFrame>
      <xdr:nvGraphicFramePr>
        <xdr:cNvPr id="3" name="Chart 2"/>
        <xdr:cNvGraphicFramePr/>
      </xdr:nvGraphicFramePr>
      <xdr:xfrm>
        <a:off x="2063750" y="3086100"/>
        <a:ext cx="4343400" cy="142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107950</xdr:colOff>
      <xdr:row>25</xdr:row>
      <xdr:rowOff>6350</xdr:rowOff>
    </xdr:from>
    <xdr:to>
      <xdr:col>8</xdr:col>
      <xdr:colOff>438150</xdr:colOff>
      <xdr:row>34</xdr:row>
      <xdr:rowOff>69850</xdr:rowOff>
    </xdr:to>
    <xdr:graphicFrame>
      <xdr:nvGraphicFramePr>
        <xdr:cNvPr id="4" name="Chart 3"/>
        <xdr:cNvGraphicFramePr/>
      </xdr:nvGraphicFramePr>
      <xdr:xfrm>
        <a:off x="2095500" y="4610100"/>
        <a:ext cx="4552950" cy="172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266700</xdr:colOff>
      <xdr:row>30</xdr:row>
      <xdr:rowOff>139700</xdr:rowOff>
    </xdr:from>
    <xdr:to>
      <xdr:col>9</xdr:col>
      <xdr:colOff>260350</xdr:colOff>
      <xdr:row>45</xdr:row>
      <xdr:rowOff>120650</xdr:rowOff>
    </xdr:to>
    <xdr:graphicFrame>
      <xdr:nvGraphicFramePr>
        <xdr:cNvPr id="5" name="Chart 4"/>
        <xdr:cNvGraphicFramePr/>
      </xdr:nvGraphicFramePr>
      <xdr:xfrm>
        <a:off x="2254250" y="5664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88900</xdr:colOff>
      <xdr:row>45</xdr:row>
      <xdr:rowOff>127000</xdr:rowOff>
    </xdr:from>
    <xdr:to>
      <xdr:col>9</xdr:col>
      <xdr:colOff>82550</xdr:colOff>
      <xdr:row>60</xdr:row>
      <xdr:rowOff>107950</xdr:rowOff>
    </xdr:to>
    <xdr:graphicFrame>
      <xdr:nvGraphicFramePr>
        <xdr:cNvPr id="6" name="Chart 5"/>
        <xdr:cNvGraphicFramePr/>
      </xdr:nvGraphicFramePr>
      <xdr:xfrm>
        <a:off x="2076450" y="8413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218440</xdr:colOff>
      <xdr:row>0</xdr:row>
      <xdr:rowOff>95250</xdr:rowOff>
    </xdr:from>
    <xdr:to>
      <xdr:col>12</xdr:col>
      <xdr:colOff>167640</xdr:colOff>
      <xdr:row>15</xdr:row>
      <xdr:rowOff>76200</xdr:rowOff>
    </xdr:to>
    <xdr:graphicFrame>
      <xdr:nvGraphicFramePr>
        <xdr:cNvPr id="2" name="Chart 1"/>
        <xdr:cNvGraphicFramePr/>
      </xdr:nvGraphicFramePr>
      <xdr:xfrm>
        <a:off x="2656840" y="95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186055</xdr:colOff>
      <xdr:row>0</xdr:row>
      <xdr:rowOff>110490</xdr:rowOff>
    </xdr:from>
    <xdr:to>
      <xdr:col>19</xdr:col>
      <xdr:colOff>306705</xdr:colOff>
      <xdr:row>15</xdr:row>
      <xdr:rowOff>110490</xdr:rowOff>
    </xdr:to>
    <xdr:graphicFrame>
      <xdr:nvGraphicFramePr>
        <xdr:cNvPr id="3" name="Chart 2"/>
        <xdr:cNvGraphicFramePr/>
      </xdr:nvGraphicFramePr>
      <xdr:xfrm>
        <a:off x="7501255" y="110490"/>
        <a:ext cx="438785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256540</xdr:colOff>
      <xdr:row>15</xdr:row>
      <xdr:rowOff>79375</xdr:rowOff>
    </xdr:from>
    <xdr:to>
      <xdr:col>12</xdr:col>
      <xdr:colOff>169545</xdr:colOff>
      <xdr:row>30</xdr:row>
      <xdr:rowOff>85090</xdr:rowOff>
    </xdr:to>
    <xdr:graphicFrame>
      <xdr:nvGraphicFramePr>
        <xdr:cNvPr id="4" name="Chart 3"/>
        <xdr:cNvGraphicFramePr/>
      </xdr:nvGraphicFramePr>
      <xdr:xfrm>
        <a:off x="2694940" y="2841625"/>
        <a:ext cx="4789805" cy="2767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149225</xdr:colOff>
      <xdr:row>15</xdr:row>
      <xdr:rowOff>85725</xdr:rowOff>
    </xdr:from>
    <xdr:to>
      <xdr:col>19</xdr:col>
      <xdr:colOff>287655</xdr:colOff>
      <xdr:row>30</xdr:row>
      <xdr:rowOff>74930</xdr:rowOff>
    </xdr:to>
    <xdr:graphicFrame>
      <xdr:nvGraphicFramePr>
        <xdr:cNvPr id="5" name="Chart 4"/>
        <xdr:cNvGraphicFramePr/>
      </xdr:nvGraphicFramePr>
      <xdr:xfrm>
        <a:off x="7464425" y="2847975"/>
        <a:ext cx="4405630" cy="2751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314960</xdr:colOff>
      <xdr:row>0</xdr:row>
      <xdr:rowOff>118110</xdr:rowOff>
    </xdr:from>
    <xdr:to>
      <xdr:col>27</xdr:col>
      <xdr:colOff>264160</xdr:colOff>
      <xdr:row>15</xdr:row>
      <xdr:rowOff>99060</xdr:rowOff>
    </xdr:to>
    <xdr:graphicFrame>
      <xdr:nvGraphicFramePr>
        <xdr:cNvPr id="6" name="Chart 5"/>
        <xdr:cNvGraphicFramePr/>
      </xdr:nvGraphicFramePr>
      <xdr:xfrm>
        <a:off x="11897360" y="1181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6350</xdr:colOff>
      <xdr:row>0</xdr:row>
      <xdr:rowOff>6350</xdr:rowOff>
    </xdr:from>
    <xdr:to>
      <xdr:col>4</xdr:col>
      <xdr:colOff>247650</xdr:colOff>
      <xdr:row>15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6350"/>
              <a:ext cx="2679700" cy="285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24130</xdr:colOff>
      <xdr:row>11</xdr:row>
      <xdr:rowOff>18415</xdr:rowOff>
    </xdr:from>
    <xdr:to>
      <xdr:col>4</xdr:col>
      <xdr:colOff>257175</xdr:colOff>
      <xdr:row>20</xdr:row>
      <xdr:rowOff>142240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30" y="2044065"/>
              <a:ext cx="2671445" cy="1781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14605</xdr:colOff>
      <xdr:row>20</xdr:row>
      <xdr:rowOff>141605</xdr:rowOff>
    </xdr:from>
    <xdr:to>
      <xdr:col>4</xdr:col>
      <xdr:colOff>303530</xdr:colOff>
      <xdr:row>30</xdr:row>
      <xdr:rowOff>86360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05" y="3824605"/>
              <a:ext cx="2727325" cy="1786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5499189815" refreshedBy="BAPS" recordCount="1500">
  <cacheSource type="worksheet">
    <worksheetSource name="Table2"/>
  </cacheSource>
  <cacheFields count="22">
    <cacheField name="Date" numFmtId="179">
      <sharedItems containsSemiMixedTypes="0" containsString="0" containsNonDate="0" containsDate="1" minDate="2023-01-01T00:00:00" maxDate="2025-06-30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</cacheField>
    <cacheField name="Month" numFmtId="0">
      <sharedItems count="12">
        <s v="February"/>
        <s v="December"/>
        <s v="May"/>
        <s v="June"/>
        <s v="January"/>
        <s v="October"/>
        <s v="March"/>
        <s v="April"/>
        <s v="July"/>
        <s v="November"/>
        <s v="August"/>
        <s v="September"/>
      </sharedItems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 count="20">
        <n v="14"/>
        <n v="1"/>
        <n v="18"/>
        <n v="2"/>
        <n v="7"/>
        <n v="3"/>
        <n v="5"/>
        <n v="15"/>
        <n v="19"/>
        <n v="17"/>
        <n v="11"/>
        <n v="20"/>
        <n v="10"/>
        <n v="12"/>
        <n v="13"/>
        <n v="4"/>
        <n v="6"/>
        <n v="9"/>
        <n v="16"/>
        <n v="8"/>
      </sharedItems>
    </cacheField>
    <cacheField name="UnitPrice" numFmtId="0">
      <sharedItems containsSemiMixedTypes="0" containsString="0" containsNumber="1" minValue="5.52" maxValue="599.72" count="1482">
        <n v="163.6"/>
        <n v="544.01"/>
        <n v="346.18"/>
        <n v="384.82"/>
        <n v="237.76"/>
        <n v="385.09"/>
        <n v="17.5"/>
        <n v="330.22"/>
        <n v="432.04"/>
        <n v="323.28"/>
        <n v="523.29"/>
        <n v="207.35"/>
        <n v="120.53"/>
        <n v="157.83"/>
        <n v="220.3"/>
        <n v="162.96"/>
        <n v="236.11"/>
        <n v="573.14"/>
        <n v="519.04"/>
        <n v="30.83"/>
        <n v="319.05"/>
        <n v="312.79"/>
        <n v="395.45"/>
        <n v="472.72"/>
        <n v="288.01"/>
        <n v="562.29"/>
        <n v="101.73"/>
        <n v="279.49"/>
        <n v="178.55"/>
        <n v="472.07"/>
        <n v="306.29"/>
        <n v="434.77"/>
        <n v="64.98"/>
        <n v="476.49"/>
        <n v="559.72"/>
        <n v="82.14"/>
        <n v="343.21"/>
        <n v="301.01"/>
        <n v="428.13"/>
        <n v="503.28"/>
        <n v="470.32"/>
        <n v="65.17"/>
        <n v="36.17"/>
        <n v="459.31"/>
        <n v="416.06"/>
        <n v="302.58"/>
        <n v="33.13"/>
        <n v="582.52"/>
        <n v="165.15"/>
        <n v="242.82"/>
        <n v="65.99"/>
        <n v="251.69"/>
        <n v="269.41"/>
        <n v="371.3"/>
        <n v="288.24"/>
        <n v="232.75"/>
        <n v="146.28"/>
        <n v="100.38"/>
        <n v="375.48"/>
        <n v="316.89"/>
        <n v="295.06"/>
        <n v="301.68"/>
        <n v="475.39"/>
        <n v="47.25"/>
        <n v="511.17"/>
        <n v="66.58"/>
        <n v="490.52"/>
        <n v="405.96"/>
        <n v="159.41"/>
        <n v="38.49"/>
        <n v="328.36"/>
        <n v="548.01"/>
        <n v="484.45"/>
        <n v="195.84"/>
        <n v="29.94"/>
        <n v="553.91"/>
        <n v="445.52"/>
        <n v="551.58"/>
        <n v="241.4"/>
        <n v="351.93"/>
        <n v="83.75"/>
        <n v="416.95"/>
        <n v="142.43"/>
        <n v="129.56"/>
        <n v="431.82"/>
        <n v="15.85"/>
        <n v="548.34"/>
        <n v="525.83"/>
        <n v="411.38"/>
        <n v="559.95"/>
        <n v="179.9"/>
        <n v="494.15"/>
        <n v="462.99"/>
        <n v="460.24"/>
        <n v="309.52"/>
        <n v="323.83"/>
        <n v="503.07"/>
        <n v="491.68"/>
        <n v="468.45"/>
        <n v="401.76"/>
        <n v="221"/>
        <n v="188.45"/>
        <n v="566.2"/>
        <n v="167.09"/>
        <n v="36.16"/>
        <n v="73.94"/>
        <n v="459.49"/>
        <n v="168.05"/>
        <n v="37.54"/>
        <n v="151.16"/>
        <n v="78.58"/>
        <n v="37.33"/>
        <n v="537.02"/>
        <n v="215.6"/>
        <n v="209.5"/>
        <n v="348.98"/>
        <n v="289.14"/>
        <n v="396.93"/>
        <n v="508.57"/>
        <n v="259.61"/>
        <n v="313.29"/>
        <n v="106.57"/>
        <n v="109"/>
        <n v="323.8"/>
        <n v="384.32"/>
        <n v="163.86"/>
        <n v="23.41"/>
        <n v="488.9"/>
        <n v="452.56"/>
        <n v="465.24"/>
        <n v="442.65"/>
        <n v="469.44"/>
        <n v="248.77"/>
        <n v="565.29"/>
        <n v="244.8"/>
        <n v="290.93"/>
        <n v="229.49"/>
        <n v="427.36"/>
        <n v="443.51"/>
        <n v="280.63"/>
        <n v="416.66"/>
        <n v="589.48"/>
        <n v="152.84"/>
        <n v="163.66"/>
        <n v="484.25"/>
        <n v="380.4"/>
        <n v="332.38"/>
        <n v="210.94"/>
        <n v="382.8"/>
        <n v="386.29"/>
        <n v="225.99"/>
        <n v="312.56"/>
        <n v="433.77"/>
        <n v="159.33"/>
        <n v="32.23"/>
        <n v="527.77"/>
        <n v="291.09"/>
        <n v="350.12"/>
        <n v="195.26"/>
        <n v="291.1"/>
        <n v="93.92"/>
        <n v="15.92"/>
        <n v="120.22"/>
        <n v="118.8"/>
        <n v="92.45"/>
        <n v="463.51"/>
        <n v="284.7"/>
        <n v="343.25"/>
        <n v="95.24"/>
        <n v="104.8"/>
        <n v="164.31"/>
        <n v="325.18"/>
        <n v="542.82"/>
        <n v="207.48"/>
        <n v="527.88"/>
        <n v="71.21"/>
        <n v="486.07"/>
        <n v="555.03"/>
        <n v="421.08"/>
        <n v="76.17"/>
        <n v="503.55"/>
        <n v="31.56"/>
        <n v="72.92"/>
        <n v="421.93"/>
        <n v="478.41"/>
        <n v="501.74"/>
        <n v="247.53"/>
        <n v="176.51"/>
        <n v="143.43"/>
        <n v="538.5"/>
        <n v="87.17"/>
        <n v="498.32"/>
        <n v="57.14"/>
        <n v="124.18"/>
        <n v="107.45"/>
        <n v="411.26"/>
        <n v="248.1"/>
        <n v="486.52"/>
        <n v="415.04"/>
        <n v="165.38"/>
        <n v="117.47"/>
        <n v="461.79"/>
        <n v="208.72"/>
        <n v="278.13"/>
        <n v="580.19"/>
        <n v="536.43"/>
        <n v="94.33"/>
        <n v="489.94"/>
        <n v="551.71"/>
        <n v="595.57"/>
        <n v="180.12"/>
        <n v="301.5"/>
        <n v="273.55"/>
        <n v="187.06"/>
        <n v="562.52"/>
        <n v="85.16"/>
        <n v="451.51"/>
        <n v="259.87"/>
        <n v="268.25"/>
        <n v="266.13"/>
        <n v="493.06"/>
        <n v="36.82"/>
        <n v="413.45"/>
        <n v="446.25"/>
        <n v="82.77"/>
        <n v="339.88"/>
        <n v="364.32"/>
        <n v="71.91"/>
        <n v="576.3"/>
        <n v="120.6"/>
        <n v="96.19"/>
        <n v="471.17"/>
        <n v="14.33"/>
        <n v="499.61"/>
        <n v="16.33"/>
        <n v="480.62"/>
        <n v="555.84"/>
        <n v="174.03"/>
        <n v="286.05"/>
        <n v="40.73"/>
        <n v="468.22"/>
        <n v="411.54"/>
        <n v="134.2"/>
        <n v="351.23"/>
        <n v="551.14"/>
        <n v="131.13"/>
        <n v="595.11"/>
        <n v="516.66"/>
        <n v="202.57"/>
        <n v="306.16"/>
        <n v="472.74"/>
        <n v="337.37"/>
        <n v="34.24"/>
        <n v="477.05"/>
        <n v="562.93"/>
        <n v="18.29"/>
        <n v="208.86"/>
        <n v="330.36"/>
        <n v="50.26"/>
        <n v="374.59"/>
        <n v="467.6"/>
        <n v="376.24"/>
        <n v="140.49"/>
        <n v="506.33"/>
        <n v="138.73"/>
        <n v="134.53"/>
        <n v="375.96"/>
        <n v="538.47"/>
        <n v="505.44"/>
        <n v="312.09"/>
        <n v="579.58"/>
        <n v="217.43"/>
        <n v="476.15"/>
        <n v="89.03"/>
        <n v="6.88"/>
        <n v="355.26"/>
        <n v="294.76"/>
        <n v="60.69"/>
        <n v="559.63"/>
        <n v="232.66"/>
        <n v="230.87"/>
        <n v="353.9"/>
        <n v="561.07"/>
        <n v="247.21"/>
        <n v="271.22"/>
        <n v="532.54"/>
        <n v="329.54"/>
        <n v="170.1"/>
        <n v="212.83"/>
        <n v="578.92"/>
        <n v="456.92"/>
        <n v="521.53"/>
        <n v="468.19"/>
        <n v="8.81"/>
        <n v="521.1"/>
        <n v="289.91"/>
        <n v="142.27"/>
        <n v="354.09"/>
        <n v="358.57"/>
        <n v="33.18"/>
        <n v="124.4"/>
        <n v="17.76"/>
        <n v="345.53"/>
        <n v="453.48"/>
        <n v="277.74"/>
        <n v="89.76"/>
        <n v="535.37"/>
        <n v="15.58"/>
        <n v="466.54"/>
        <n v="593"/>
        <n v="567.36"/>
        <n v="523.04"/>
        <n v="376.4"/>
        <n v="95.19"/>
        <n v="210.71"/>
        <n v="393.39"/>
        <n v="114.03"/>
        <n v="336.48"/>
        <n v="24.44"/>
        <n v="352.2"/>
        <n v="353.99"/>
        <n v="10.22"/>
        <n v="464.16"/>
        <n v="436.31"/>
        <n v="219.93"/>
        <n v="311.22"/>
        <n v="547.56"/>
        <n v="52.69"/>
        <n v="434.74"/>
        <n v="124.17"/>
        <n v="211.06"/>
        <n v="88.87"/>
        <n v="254.24"/>
        <n v="432.35"/>
        <n v="590"/>
        <n v="151.25"/>
        <n v="204.79"/>
        <n v="586.52"/>
        <n v="104.83"/>
        <n v="598.48"/>
        <n v="367.89"/>
        <n v="333.35"/>
        <n v="378.88"/>
        <n v="169.2"/>
        <n v="103.03"/>
        <n v="378.74"/>
        <n v="27.21"/>
        <n v="52.09"/>
        <n v="570.01"/>
        <n v="526.23"/>
        <n v="294.51"/>
        <n v="448.27"/>
        <n v="583.88"/>
        <n v="97.5"/>
        <n v="420.79"/>
        <n v="513.18"/>
        <n v="475.64"/>
        <n v="238.34"/>
        <n v="285.03"/>
        <n v="5.52"/>
        <n v="396.25"/>
        <n v="282.8"/>
        <n v="525.43"/>
        <n v="127.67"/>
        <n v="511.8"/>
        <n v="555.86"/>
        <n v="202.72"/>
        <n v="353.7"/>
        <n v="149.25"/>
        <n v="156.44"/>
        <n v="241.76"/>
        <n v="170.49"/>
        <n v="149.67"/>
        <n v="173.56"/>
        <n v="349.55"/>
        <n v="245.14"/>
        <n v="423.08"/>
        <n v="337.82"/>
        <n v="252.63"/>
        <n v="87.02"/>
        <n v="6.72"/>
        <n v="279.38"/>
        <n v="207.8"/>
        <n v="511.88"/>
        <n v="325.97"/>
        <n v="469.32"/>
        <n v="186.69"/>
        <n v="34.66"/>
        <n v="155.04"/>
        <n v="69.6"/>
        <n v="55.09"/>
        <n v="206.11"/>
        <n v="484.38"/>
        <n v="449.57"/>
        <n v="223.01"/>
        <n v="291.91"/>
        <n v="90.86"/>
        <n v="109.05"/>
        <n v="245.6"/>
        <n v="380.03"/>
        <n v="417.58"/>
        <n v="432.17"/>
        <n v="531.77"/>
        <n v="442.99"/>
        <n v="567.5"/>
        <n v="469.52"/>
        <n v="396.09"/>
        <n v="195.73"/>
        <n v="412.24"/>
        <n v="558.5"/>
        <n v="175.34"/>
        <n v="478.73"/>
        <n v="365.38"/>
        <n v="397.33"/>
        <n v="241.01"/>
        <n v="82.2"/>
        <n v="170.77"/>
        <n v="8.2"/>
        <n v="425.78"/>
        <n v="121.14"/>
        <n v="448.13"/>
        <n v="7.81"/>
        <n v="191.44"/>
        <n v="245.2"/>
        <n v="163.37"/>
        <n v="583.96"/>
        <n v="181.08"/>
        <n v="414.94"/>
        <n v="442.22"/>
        <n v="595.39"/>
        <n v="175.3"/>
        <n v="319.59"/>
        <n v="506.81"/>
        <n v="538.08"/>
        <n v="187.84"/>
        <n v="426.3"/>
        <n v="498.35"/>
        <n v="385.72"/>
        <n v="54.37"/>
        <n v="471.74"/>
        <n v="322.31"/>
        <n v="115.86"/>
        <n v="398.26"/>
        <n v="584.8"/>
        <n v="424.7"/>
        <n v="179.22"/>
        <n v="148.66"/>
        <n v="460.43"/>
        <n v="334.37"/>
        <n v="599.72"/>
        <n v="389.84"/>
        <n v="445.75"/>
        <n v="96.84"/>
        <n v="528.31"/>
        <n v="64.03"/>
        <n v="179.37"/>
        <n v="491.15"/>
        <n v="360.34"/>
        <n v="296.8"/>
        <n v="599.42"/>
        <n v="374.33"/>
        <n v="588.8"/>
        <n v="198.44"/>
        <n v="384.2"/>
        <n v="475.49"/>
        <n v="202.97"/>
        <n v="135.23"/>
        <n v="356.4"/>
        <n v="294.72"/>
        <n v="553.85"/>
        <n v="81.17"/>
        <n v="532.51"/>
        <n v="268.19"/>
        <n v="432.65"/>
        <n v="123.04"/>
        <n v="454.54"/>
        <n v="414.58"/>
        <n v="352.91"/>
        <n v="126.46"/>
        <n v="125.02"/>
        <n v="367.24"/>
        <n v="432.12"/>
        <n v="13.33"/>
        <n v="105.93"/>
        <n v="526.55"/>
        <n v="339.78"/>
        <n v="91.75"/>
        <n v="13.66"/>
        <n v="148.23"/>
        <n v="495.03"/>
        <n v="247.2"/>
        <n v="207.45"/>
        <n v="370.78"/>
        <n v="146.72"/>
        <n v="159.85"/>
        <n v="181.68"/>
        <n v="34.16"/>
        <n v="287.43"/>
        <n v="405.95"/>
        <n v="430.61"/>
        <n v="508.05"/>
        <n v="522.97"/>
        <n v="260.25"/>
        <n v="549.21"/>
        <n v="472.33"/>
        <n v="596.83"/>
        <n v="154.04"/>
        <n v="500.44"/>
        <n v="382.17"/>
        <n v="365.54"/>
        <n v="270.13"/>
        <n v="480.15"/>
        <n v="414.77"/>
        <n v="98.24"/>
        <n v="227.6"/>
        <n v="136.13"/>
        <n v="489.13"/>
        <n v="414.36"/>
        <n v="138.26"/>
        <n v="487.57"/>
        <n v="427.3"/>
        <n v="588.92"/>
        <n v="429.45"/>
        <n v="476"/>
        <n v="141.26"/>
        <n v="250.65"/>
        <n v="301.17"/>
        <n v="30.79"/>
        <n v="561.6"/>
        <n v="193.7"/>
        <n v="310.03"/>
        <n v="204.67"/>
        <n v="250.11"/>
        <n v="526.82"/>
        <n v="575.1"/>
        <n v="325.52"/>
        <n v="157.14"/>
        <n v="100.26"/>
        <n v="554.48"/>
        <n v="485.21"/>
        <n v="372.44"/>
        <n v="140.53"/>
        <n v="365.61"/>
        <n v="353.97"/>
        <n v="293.31"/>
        <n v="397.39"/>
        <n v="98.35"/>
        <n v="581.67"/>
        <n v="30.41"/>
        <n v="368.79"/>
        <n v="56.06"/>
        <n v="15.65"/>
        <n v="380.85"/>
        <n v="587.21"/>
        <n v="554.25"/>
        <n v="410.23"/>
        <n v="99.23"/>
        <n v="503.18"/>
        <n v="155.31"/>
        <n v="303.79"/>
        <n v="263.75"/>
        <n v="179.92"/>
        <n v="264"/>
        <n v="403.97"/>
        <n v="85.96"/>
        <n v="93.49"/>
        <n v="144.29"/>
        <n v="553.23"/>
        <n v="228.3"/>
        <n v="235.94"/>
        <n v="369.52"/>
        <n v="142.09"/>
        <n v="497.61"/>
        <n v="9.48"/>
        <n v="55.27"/>
        <n v="25.95"/>
        <n v="209.65"/>
        <n v="75.77"/>
        <n v="307.84"/>
        <n v="6.5"/>
        <n v="70.79"/>
        <n v="584.7"/>
        <n v="23.27"/>
        <n v="440.93"/>
        <n v="278.45"/>
        <n v="382.19"/>
        <n v="232.49"/>
        <n v="15.01"/>
        <n v="29.41"/>
        <n v="486.19"/>
        <n v="266.67"/>
        <n v="300.8"/>
        <n v="79.63"/>
        <n v="505.7"/>
        <n v="569.62"/>
        <n v="90.85"/>
        <n v="296.91"/>
        <n v="6.19"/>
        <n v="75.27"/>
        <n v="136.15"/>
        <n v="544.66"/>
        <n v="561.9"/>
        <n v="313.47"/>
        <n v="418.45"/>
        <n v="420.75"/>
        <n v="514.36"/>
        <n v="297.2"/>
        <n v="278"/>
        <n v="583.17"/>
        <n v="75.62"/>
        <n v="561.62"/>
        <n v="359.61"/>
        <n v="115.48"/>
        <n v="596.26"/>
        <n v="401.68"/>
        <n v="112.88"/>
        <n v="370.08"/>
        <n v="119.86"/>
        <n v="271.44"/>
        <n v="363.39"/>
        <n v="533.77"/>
        <n v="192.03"/>
        <n v="504.22"/>
        <n v="193.66"/>
        <n v="270.83"/>
        <n v="62.08"/>
        <n v="505.96"/>
        <n v="62.46"/>
        <n v="480.08"/>
        <n v="60.66"/>
        <n v="249.09"/>
        <n v="400.05"/>
        <n v="130.87"/>
        <n v="133.08"/>
        <n v="448.68"/>
        <n v="36.23"/>
        <n v="113.77"/>
        <n v="89.6"/>
        <n v="391.92"/>
        <n v="418.93"/>
        <n v="303.09"/>
        <n v="209.95"/>
        <n v="283.63"/>
        <n v="18.36"/>
        <n v="475.38"/>
        <n v="591.92"/>
        <n v="93.23"/>
        <n v="298.71"/>
        <n v="52.37"/>
        <n v="104.19"/>
        <n v="493.09"/>
        <n v="291.58"/>
        <n v="103.13"/>
        <n v="541.9"/>
        <n v="61.81"/>
        <n v="355.15"/>
        <n v="119.84"/>
        <n v="318.32"/>
        <n v="446.49"/>
        <n v="258.82"/>
        <n v="272.68"/>
        <n v="438.77"/>
        <n v="267.63"/>
        <n v="115.94"/>
        <n v="275.78"/>
        <n v="255.93"/>
        <n v="381.21"/>
        <n v="38.23"/>
        <n v="225.86"/>
        <n v="548.02"/>
        <n v="485.3"/>
        <n v="414.31"/>
        <n v="50.72"/>
        <n v="83.26"/>
        <n v="51.85"/>
        <n v="122.51"/>
        <n v="222.13"/>
        <n v="204.84"/>
        <n v="536.97"/>
        <n v="553.01"/>
        <n v="284.82"/>
        <n v="523.87"/>
        <n v="232.13"/>
        <n v="179.32"/>
        <n v="396.35"/>
        <n v="108.48"/>
        <n v="506.41"/>
        <n v="345.9"/>
        <n v="342.04"/>
        <n v="404.88"/>
        <n v="292.46"/>
        <n v="547.53"/>
        <n v="348.88"/>
        <n v="486.03"/>
        <n v="159.09"/>
        <n v="173.79"/>
        <n v="439.75"/>
        <n v="265.43"/>
        <n v="290.28"/>
        <n v="88.7"/>
        <n v="239.69"/>
        <n v="39.79"/>
        <n v="206.8"/>
        <n v="175.81"/>
        <n v="547.36"/>
        <n v="374.8"/>
        <n v="507.74"/>
        <n v="223.56"/>
        <n v="294.27"/>
        <n v="319.49"/>
        <n v="243.96"/>
        <n v="48.48"/>
        <n v="87.47"/>
        <n v="465.6"/>
        <n v="427.68"/>
        <n v="281.73"/>
        <n v="185"/>
        <n v="380.82"/>
        <n v="444.87"/>
        <n v="590.79"/>
        <n v="34.58"/>
        <n v="438.22"/>
        <n v="84.91"/>
        <n v="322.11"/>
        <n v="231.96"/>
        <n v="242.07"/>
        <n v="48.02"/>
        <n v="534.28"/>
        <n v="98.15"/>
        <n v="61.85"/>
        <n v="268.34"/>
        <n v="529.03"/>
        <n v="107.32"/>
        <n v="500.96"/>
        <n v="549.78"/>
        <n v="58.51"/>
        <n v="504.08"/>
        <n v="419.63"/>
        <n v="267.36"/>
        <n v="298.06"/>
        <n v="132.97"/>
        <n v="476.28"/>
        <n v="294.88"/>
        <n v="596.03"/>
        <n v="182.4"/>
        <n v="400.95"/>
        <n v="373.66"/>
        <n v="355.66"/>
        <n v="260.31"/>
        <n v="370.99"/>
        <n v="548.72"/>
        <n v="343.53"/>
        <n v="494.78"/>
        <n v="36.62"/>
        <n v="216.2"/>
        <n v="128.99"/>
        <n v="183.11"/>
        <n v="277.95"/>
        <n v="554.08"/>
        <n v="23.32"/>
        <n v="20.96"/>
        <n v="132.29"/>
        <n v="199.65"/>
        <n v="307"/>
        <n v="315.93"/>
        <n v="596.97"/>
        <n v="376.98"/>
        <n v="208.64"/>
        <n v="307.82"/>
        <n v="382.48"/>
        <n v="188.03"/>
        <n v="238.17"/>
        <n v="450.71"/>
        <n v="413.36"/>
        <n v="536.71"/>
        <n v="206.42"/>
        <n v="256.83"/>
        <n v="247.04"/>
        <n v="583.38"/>
        <n v="341.38"/>
        <n v="267.03"/>
        <n v="77.69"/>
        <n v="312.43"/>
        <n v="14.1"/>
        <n v="266.83"/>
        <n v="248.11"/>
        <n v="316.76"/>
        <n v="169.62"/>
        <n v="35.38"/>
        <n v="264.08"/>
        <n v="137.56"/>
        <n v="157.93"/>
        <n v="126.86"/>
        <n v="240.05"/>
        <n v="37.63"/>
        <n v="393.1"/>
        <n v="83.86"/>
        <n v="110.07"/>
        <n v="288.98"/>
        <n v="451.14"/>
        <n v="509.08"/>
        <n v="582.73"/>
        <n v="115.24"/>
        <n v="565.45"/>
        <n v="121.54"/>
        <n v="160.15"/>
        <n v="175.66"/>
        <n v="437.97"/>
        <n v="411.59"/>
        <n v="163.29"/>
        <n v="538.52"/>
        <n v="255.95"/>
        <n v="290.22"/>
        <n v="198.95"/>
        <n v="577.1"/>
        <n v="50.1"/>
        <n v="554.5"/>
        <n v="117.31"/>
        <n v="193.98"/>
        <n v="386.86"/>
        <n v="81.33"/>
        <n v="550.65"/>
        <n v="473.91"/>
        <n v="25.22"/>
        <n v="437.04"/>
        <n v="448.86"/>
        <n v="299.94"/>
        <n v="224.18"/>
        <n v="327.69"/>
        <n v="432.27"/>
        <n v="249.98"/>
        <n v="194.31"/>
        <n v="69.29"/>
        <n v="306.91"/>
        <n v="390.3"/>
        <n v="61.83"/>
        <n v="83.32"/>
        <n v="563.06"/>
        <n v="256.35"/>
        <n v="303.26"/>
        <n v="440.48"/>
        <n v="469.25"/>
        <n v="491.76"/>
        <n v="465.27"/>
        <n v="343.68"/>
        <n v="472.51"/>
        <n v="142.52"/>
        <n v="31.42"/>
        <n v="572.29"/>
        <n v="333.6"/>
        <n v="90.87"/>
        <n v="588.59"/>
        <n v="153.28"/>
        <n v="194.97"/>
        <n v="367.61"/>
        <n v="575.5"/>
        <n v="229.45"/>
        <n v="391.63"/>
        <n v="67.35"/>
        <n v="453.86"/>
        <n v="537.7"/>
        <n v="32.56"/>
        <n v="196.7"/>
        <n v="369.45"/>
        <n v="181.96"/>
        <n v="32.07"/>
        <n v="39.93"/>
        <n v="374.43"/>
        <n v="101.87"/>
        <n v="343.45"/>
        <n v="144.11"/>
        <n v="403.68"/>
        <n v="346.57"/>
        <n v="392.79"/>
        <n v="70.83"/>
        <n v="274.37"/>
        <n v="19.73"/>
        <n v="465.72"/>
        <n v="62.07"/>
        <n v="529.2"/>
        <n v="387.31"/>
        <n v="152.75"/>
        <n v="72.48"/>
        <n v="194.09"/>
        <n v="159.3"/>
        <n v="303.37"/>
        <n v="541.96"/>
        <n v="41.57"/>
        <n v="217.74"/>
        <n v="19.17"/>
        <n v="293.34"/>
        <n v="204.58"/>
        <n v="324.58"/>
        <n v="393.61"/>
        <n v="141.28"/>
        <n v="227.64"/>
        <n v="341.07"/>
        <n v="324.55"/>
        <n v="301.07"/>
        <n v="285.28"/>
        <n v="18.04"/>
        <n v="495.44"/>
        <n v="276.42"/>
        <n v="228.32"/>
        <n v="498.19"/>
        <n v="375.83"/>
        <n v="130.36"/>
        <n v="585.88"/>
        <n v="278.04"/>
        <n v="267.91"/>
        <n v="369.54"/>
        <n v="284.3"/>
        <n v="427.1"/>
        <n v="200.3"/>
        <n v="75.8"/>
        <n v="518.43"/>
        <n v="181.18"/>
        <n v="197.17"/>
        <n v="81.96"/>
        <n v="59.78"/>
        <n v="211.66"/>
        <n v="69.97"/>
        <n v="438.33"/>
        <n v="241.81"/>
        <n v="466.64"/>
        <n v="472.84"/>
        <n v="586.49"/>
        <n v="462.85"/>
        <n v="176.17"/>
        <n v="71.24"/>
        <n v="62.43"/>
        <n v="569.89"/>
        <n v="34.06"/>
        <n v="502.6"/>
        <n v="89.72"/>
        <n v="403.53"/>
        <n v="171.91"/>
        <n v="535.88"/>
        <n v="248.13"/>
        <n v="482.1"/>
        <n v="382.01"/>
        <n v="135.98"/>
        <n v="562.54"/>
        <n v="509.48"/>
        <n v="470.09"/>
        <n v="280.8"/>
        <n v="251.43"/>
        <n v="408.28"/>
        <n v="27.43"/>
        <n v="321.72"/>
        <n v="186.32"/>
        <n v="390.28"/>
        <n v="174.9"/>
        <n v="419.13"/>
        <n v="116.96"/>
        <n v="323.72"/>
        <n v="155.49"/>
        <n v="270.2"/>
        <n v="482.08"/>
        <n v="431.51"/>
        <n v="302.76"/>
        <n v="344.92"/>
        <n v="511.46"/>
        <n v="150.6"/>
        <n v="158.02"/>
        <n v="536.18"/>
        <n v="571.26"/>
        <n v="134.42"/>
        <n v="563.7"/>
        <n v="546.57"/>
        <n v="364.88"/>
        <n v="368.27"/>
        <n v="537.28"/>
        <n v="103.09"/>
        <n v="97.56"/>
        <n v="338.75"/>
        <n v="239.04"/>
        <n v="362.44"/>
        <n v="551.13"/>
        <n v="82.06"/>
        <n v="498.46"/>
        <n v="253.41"/>
        <n v="144.07"/>
        <n v="201.09"/>
        <n v="585.45"/>
        <n v="448.77"/>
        <n v="184.43"/>
        <n v="594.1"/>
        <n v="482.07"/>
        <n v="75.45"/>
        <n v="494.22"/>
        <n v="112.82"/>
        <n v="121.56"/>
        <n v="465.94"/>
        <n v="187.8"/>
        <n v="561.3"/>
        <n v="178.26"/>
        <n v="552.83"/>
        <n v="458.25"/>
        <n v="129.43"/>
        <n v="448.21"/>
        <n v="262.62"/>
        <n v="124.91"/>
        <n v="391"/>
        <n v="204.15"/>
        <n v="13.64"/>
        <n v="524.9"/>
        <n v="143.95"/>
        <n v="576.84"/>
        <n v="250.98"/>
        <n v="335.41"/>
        <n v="204.5"/>
        <n v="542.63"/>
        <n v="204.54"/>
        <n v="419.58"/>
        <n v="87.88"/>
        <n v="386.88"/>
        <n v="242.8"/>
        <n v="410.59"/>
        <n v="10.93"/>
        <n v="150.16"/>
        <n v="394.41"/>
        <n v="535.38"/>
        <n v="407.82"/>
        <n v="120.83"/>
        <n v="39.53"/>
        <n v="224.08"/>
        <n v="382.08"/>
        <n v="88.49"/>
        <n v="139.1"/>
        <n v="322.35"/>
        <n v="334.55"/>
        <n v="332.48"/>
        <n v="123.4"/>
        <n v="88.26"/>
        <n v="50.51"/>
        <n v="237.99"/>
        <n v="294.95"/>
        <n v="384.3"/>
        <n v="378.35"/>
        <n v="461.35"/>
        <n v="354.9"/>
        <n v="438.41"/>
        <n v="542.6"/>
        <n v="238.82"/>
        <n v="332.19"/>
        <n v="454.6"/>
        <n v="540.54"/>
        <n v="147.37"/>
        <n v="421.12"/>
        <n v="436.32"/>
        <n v="436.83"/>
        <n v="327.57"/>
        <n v="166.92"/>
        <n v="300.38"/>
        <n v="232.29"/>
        <n v="173.44"/>
        <n v="256.14"/>
        <n v="461.3"/>
        <n v="193.08"/>
        <n v="312.97"/>
        <n v="214.14"/>
        <n v="59.8"/>
        <n v="418"/>
        <n v="80.96"/>
        <n v="42.12"/>
        <n v="366.65"/>
        <n v="534.92"/>
        <n v="494.52"/>
        <n v="344.67"/>
        <n v="489.14"/>
        <n v="256.23"/>
        <n v="99.76"/>
        <n v="575.66"/>
        <n v="176.52"/>
        <n v="485.66"/>
        <n v="141.61"/>
        <n v="215.29"/>
        <n v="497.22"/>
        <n v="347.73"/>
        <n v="371.21"/>
        <n v="434.33"/>
        <n v="426.65"/>
        <n v="294.97"/>
        <n v="130.9"/>
        <n v="539.98"/>
        <n v="149.37"/>
        <n v="411.24"/>
        <n v="462.86"/>
        <n v="506.38"/>
        <n v="25.61"/>
        <n v="467.45"/>
        <n v="140.5"/>
        <n v="57.85"/>
        <n v="539.64"/>
        <n v="476.32"/>
        <n v="143.85"/>
        <n v="323.63"/>
        <n v="37.4"/>
        <n v="418.98"/>
        <n v="108.35"/>
        <n v="256.42"/>
        <n v="544.91"/>
        <n v="113.42"/>
        <n v="522.73"/>
        <n v="448.03"/>
        <n v="208.51"/>
        <n v="423.64"/>
        <n v="552.26"/>
        <n v="182.11"/>
        <n v="466.36"/>
        <n v="140.54"/>
        <n v="460.31"/>
        <n v="132.87"/>
        <n v="209.86"/>
        <n v="31.35"/>
        <n v="335.11"/>
        <n v="277.43"/>
        <n v="287.72"/>
        <n v="459.61"/>
        <n v="396.73"/>
        <n v="516.43"/>
        <n v="299.66"/>
        <n v="31.72"/>
        <n v="588.58"/>
        <n v="203.15"/>
        <n v="139.14"/>
        <n v="158.99"/>
        <n v="387.63"/>
        <n v="202.12"/>
        <n v="334.57"/>
        <n v="486.71"/>
        <n v="188.29"/>
        <n v="260.72"/>
        <n v="358.27"/>
        <n v="492.66"/>
        <n v="348.38"/>
        <n v="437.59"/>
        <n v="118.09"/>
        <n v="188.57"/>
        <n v="200.74"/>
        <n v="576.12"/>
        <n v="96.97"/>
        <n v="218.04"/>
        <n v="153.33"/>
        <n v="316.12"/>
        <n v="153.57"/>
        <n v="208.31"/>
        <n v="160.96"/>
        <n v="373.77"/>
        <n v="200.7"/>
        <n v="115.77"/>
        <n v="535.41"/>
        <n v="103.59"/>
        <n v="176.32"/>
        <n v="112.44"/>
        <n v="19.3"/>
        <n v="233.11"/>
        <n v="66.48"/>
        <n v="504.63"/>
        <n v="97.84"/>
        <n v="468.14"/>
        <n v="476.69"/>
        <n v="160.73"/>
        <n v="228.98"/>
        <n v="336.5"/>
        <n v="431.49"/>
        <n v="495.39"/>
        <n v="149.3"/>
        <n v="179.97"/>
        <n v="381.14"/>
        <n v="454.62"/>
        <n v="226.56"/>
        <n v="132.91"/>
        <n v="35.69"/>
        <n v="451.93"/>
        <n v="270.47"/>
        <n v="55.46"/>
        <n v="515.12"/>
        <n v="256.63"/>
        <n v="423.99"/>
        <n v="77.89"/>
        <n v="11.95"/>
        <n v="67.05"/>
        <n v="118.15"/>
        <n v="114.47"/>
        <n v="36.21"/>
        <n v="52.58"/>
        <n v="272.26"/>
        <n v="124.97"/>
        <n v="228.62"/>
        <n v="282.91"/>
        <n v="129.62"/>
        <n v="162.35"/>
        <n v="209.82"/>
        <n v="293.44"/>
        <n v="185.52"/>
        <n v="268.38"/>
        <n v="547.05"/>
        <n v="354.21"/>
        <n v="250.93"/>
        <n v="587.25"/>
        <n v="438.06"/>
        <n v="6.1"/>
        <n v="80.14"/>
        <n v="66.97"/>
        <n v="181.34"/>
        <n v="570"/>
        <n v="587.79"/>
        <n v="196.31"/>
        <n v="430.06"/>
        <n v="429.72"/>
        <n v="127.34"/>
        <n v="421.97"/>
        <n v="225.69"/>
        <n v="209.3"/>
        <n v="326.16"/>
        <n v="515.42"/>
        <n v="129.83"/>
        <n v="376.15"/>
        <n v="385.46"/>
        <n v="474.13"/>
        <n v="506.17"/>
        <n v="67.38"/>
        <n v="274.3"/>
        <n v="334.48"/>
        <n v="562.6"/>
        <n v="14.34"/>
        <n v="34.72"/>
        <n v="15.06"/>
        <n v="488.17"/>
        <n v="268.39"/>
        <n v="64.18"/>
        <n v="466.55"/>
        <n v="505.34"/>
        <n v="100.75"/>
        <n v="352.72"/>
        <n v="526.26"/>
        <n v="519.42"/>
        <n v="108.46"/>
        <n v="420.68"/>
        <n v="5.91"/>
        <n v="452.77"/>
        <n v="157"/>
        <n v="550.86"/>
        <n v="172.65"/>
        <n v="145.3"/>
        <n v="141.13"/>
        <n v="534.61"/>
        <n v="560.04"/>
        <n v="275.32"/>
        <n v="105.73"/>
        <n v="568.81"/>
        <n v="190.39"/>
        <n v="433.39"/>
        <n v="92.72"/>
        <n v="263.28"/>
        <n v="358.59"/>
        <n v="595.53"/>
        <n v="574.32"/>
        <n v="444.13"/>
        <n v="431.47"/>
        <n v="67.49"/>
        <n v="25.67"/>
        <n v="368.69"/>
        <n v="257.01"/>
        <n v="85.54"/>
        <n v="267.6"/>
        <n v="261.85"/>
        <n v="199.57"/>
        <n v="504.96"/>
        <n v="28.34"/>
        <n v="495.13"/>
        <n v="142.05"/>
        <n v="504.36"/>
        <n v="122.2"/>
        <n v="338.42"/>
        <n v="224.75"/>
        <n v="509.71"/>
        <n v="297.56"/>
        <n v="365.11"/>
        <n v="139.13"/>
        <n v="543.89"/>
        <n v="219.7"/>
        <n v="94.34"/>
        <n v="486.58"/>
        <n v="578.86"/>
        <n v="196.88"/>
        <n v="446.32"/>
        <n v="447.38"/>
        <n v="275.34"/>
        <n v="27.64"/>
        <n v="439.3"/>
        <n v="573.81"/>
        <n v="360.06"/>
        <n v="535.2"/>
        <n v="161.13"/>
        <n v="29.6"/>
        <n v="172.89"/>
        <n v="48.06"/>
        <n v="55.76"/>
        <n v="24.58"/>
        <n v="504.82"/>
        <n v="275.89"/>
        <n v="130.57"/>
        <n v="312.72"/>
        <n v="222.66"/>
        <n v="374.05"/>
        <n v="331.29"/>
        <n v="533.52"/>
        <n v="492.24"/>
        <n v="543.57"/>
        <n v="141.76"/>
        <n v="502.7"/>
        <n v="155.43"/>
        <n v="203.73"/>
        <n v="464.11"/>
        <n v="442.03"/>
        <n v="82.91"/>
        <n v="468.16"/>
        <n v="11.32"/>
        <n v="378.36"/>
        <n v="61.06"/>
        <n v="98.06"/>
        <n v="123.86"/>
        <n v="90.3"/>
        <n v="470.91"/>
        <n v="383.45"/>
        <n v="293.94"/>
        <n v="454.01"/>
        <n v="163.55"/>
        <n v="332.18"/>
        <n v="463.96"/>
        <n v="68.27"/>
        <n v="27.01"/>
        <n v="78.8"/>
        <n v="174.68"/>
        <n v="306.06"/>
        <n v="164.22"/>
        <n v="336.29"/>
        <n v="180.25"/>
        <n v="21.75"/>
        <n v="149.16"/>
        <n v="220.9"/>
        <n v="364.27"/>
        <n v="306.42"/>
        <n v="589"/>
        <n v="249.45"/>
        <n v="440.32"/>
        <n v="101.34"/>
        <n v="311.61"/>
        <n v="441.18"/>
        <n v="286.66"/>
        <n v="483.63"/>
        <n v="304.15"/>
        <n v="452.21"/>
        <n v="248.16"/>
        <n v="520"/>
        <n v="571.07"/>
        <n v="65.57"/>
        <n v="397.02"/>
        <n v="169.35"/>
        <n v="340.44"/>
        <n v="120.2"/>
        <n v="169.39"/>
        <n v="170.72"/>
        <n v="323.77"/>
        <n v="481.86"/>
        <n v="78.05"/>
        <n v="57.4"/>
        <n v="454.98"/>
        <n v="365.75"/>
        <n v="106.88"/>
        <n v="591.29"/>
        <n v="369.79"/>
        <n v="166.24"/>
        <n v="260.76"/>
        <n v="348.63"/>
        <n v="473.28"/>
        <n v="401.83"/>
        <n v="269.29"/>
        <n v="323.02"/>
        <n v="439.89"/>
        <n v="483.09"/>
        <n v="27.39"/>
        <n v="432.52"/>
        <n v="360.93"/>
        <n v="68.04"/>
        <n v="407.99"/>
        <n v="274.77"/>
        <n v="31.81"/>
        <n v="268.32"/>
        <n v="329.15"/>
        <n v="577.07"/>
        <n v="544.33"/>
        <n v="331.45"/>
        <n v="421.26"/>
        <n v="555.02"/>
        <n v="254.03"/>
        <n v="533.93"/>
        <n v="241.35"/>
        <n v="160.37"/>
        <n v="419.1"/>
        <n v="138.72"/>
        <n v="461.04"/>
        <n v="524.19"/>
        <n v="305.21"/>
        <n v="438.71"/>
        <n v="193.96"/>
        <n v="580.42"/>
        <n v="91.55"/>
        <n v="113.78"/>
        <n v="477.91"/>
        <n v="306.39"/>
        <n v="8.33"/>
        <n v="346.86"/>
        <n v="223.26"/>
        <n v="529.1"/>
        <n v="97.34"/>
        <n v="422.89"/>
        <n v="557.17"/>
        <n v="459.65"/>
        <n v="493.35"/>
        <n v="428.59"/>
        <n v="242.11"/>
        <n v="477.38"/>
        <n v="261.6"/>
        <n v="416.2"/>
        <n v="99.66"/>
        <n v="55.56"/>
        <n v="243.47"/>
        <n v="185.59"/>
        <n v="347.38"/>
        <n v="318.03"/>
        <n v="242.35"/>
        <n v="82.09"/>
        <n v="285.73"/>
        <n v="341.52"/>
        <n v="216.4"/>
        <n v="231.76"/>
        <n v="61.47"/>
        <n v="434.44"/>
        <n v="484.01"/>
        <n v="55.08"/>
        <n v="223.44"/>
        <n v="548.08"/>
        <n v="133.64"/>
        <n v="368.85"/>
        <n v="115.98"/>
        <n v="55.04"/>
        <n v="159.54"/>
        <n v="150.15"/>
        <n v="57.93"/>
        <n v="438.58"/>
        <n v="536.24"/>
        <n v="444.77"/>
        <n v="212.1"/>
        <n v="509.44"/>
        <n v="236.17"/>
        <n v="147.4"/>
        <n v="279.74"/>
        <n v="304.61"/>
        <n v="238.32"/>
        <n v="483.37"/>
        <n v="159.53"/>
        <n v="280.6"/>
        <n v="389.98"/>
        <n v="472.24"/>
        <n v="143.53"/>
        <n v="159.92"/>
        <n v="447.34"/>
        <n v="196.8"/>
        <n v="485.81"/>
        <n v="183.62"/>
        <n v="373.07"/>
        <n v="527.68"/>
        <n v="201.29"/>
        <n v="134.56"/>
        <n v="209.75"/>
        <n v="272.5"/>
        <n v="262.67"/>
        <n v="221.39"/>
      </sharedItems>
    </cacheField>
    <cacheField name=" Total sale " numFmtId="178">
      <sharedItems containsSemiMixedTypes="0" containsString="0" containsNumber="1" minValue="8.2" maxValue="11526" count="1497">
        <n v="2290.4"/>
        <n v="544.01"/>
        <n v="4846.52"/>
        <n v="6926.76"/>
        <n v="4279.68"/>
        <n v="770.18"/>
        <n v="122.5"/>
        <n v="990.66"/>
        <n v="1296.12"/>
        <n v="1616.4"/>
        <n v="7849.35"/>
        <n v="3939.65"/>
        <n v="120.53"/>
        <n v="157.83"/>
        <n v="3304.5"/>
        <n v="2770.32"/>
        <n v="4486.09"/>
        <n v="6304.54"/>
        <n v="10380.8"/>
        <n v="431.62"/>
        <n v="3190.5"/>
        <n v="4379.06"/>
        <n v="5536.3"/>
        <n v="5672.64"/>
        <n v="1440.05"/>
        <n v="7309.77"/>
        <n v="101.73"/>
        <n v="1117.96"/>
        <n v="178.55"/>
        <n v="472.07"/>
        <n v="3675.48"/>
        <n v="3043.39"/>
        <n v="389.88"/>
        <n v="8100.33"/>
        <n v="2238.88"/>
        <n v="1149.96"/>
        <n v="3088.89"/>
        <n v="2107.07"/>
        <n v="5993.82"/>
        <n v="1006.56"/>
        <n v="2351.6"/>
        <n v="1303.4"/>
        <n v="434.04"/>
        <n v="1837.24"/>
        <n v="832.12"/>
        <n v="4841.28"/>
        <n v="364.43"/>
        <n v="4660.16"/>
        <n v="825.75"/>
        <n v="3399.48"/>
        <n v="857.87"/>
        <n v="503.38"/>
        <n v="269.41"/>
        <n v="742.6"/>
        <n v="3170.64"/>
        <n v="2560.25"/>
        <n v="2486.76"/>
        <n v="501.9"/>
        <n v="4130.28"/>
        <n v="5704.02"/>
        <n v="5901.2"/>
        <n v="2413.44"/>
        <n v="1426.17"/>
        <n v="756"/>
        <n v="7667.55"/>
        <n v="199.74"/>
        <n v="2452.6"/>
        <n v="3247.68"/>
        <n v="159.41"/>
        <n v="615.84"/>
        <n v="4925.4"/>
        <n v="10960.2"/>
        <n v="6297.85"/>
        <n v="2545.92"/>
        <n v="568.86"/>
        <n v="5539.1"/>
        <n v="6237.28"/>
        <n v="2757.9"/>
        <n v="3138.2"/>
        <n v="6686.67"/>
        <n v="335"/>
        <n v="2084.75"/>
        <n v="2563.74"/>
        <n v="6990.24"/>
        <n v="2591.2"/>
        <n v="7340.94"/>
        <n v="237.75"/>
        <n v="10966.8"/>
        <n v="8413.28"/>
        <n v="6170.7"/>
        <n v="10639.05"/>
        <n v="1439.2"/>
        <n v="5929.8"/>
        <n v="4629.9"/>
        <n v="3221.68"/>
        <n v="5261.84"/>
        <n v="323.83"/>
        <n v="5030.7"/>
        <n v="9833.6"/>
        <n v="7963.65"/>
        <n v="4419.36"/>
        <n v="663"/>
        <n v="1130.7"/>
        <n v="1698.6"/>
        <n v="2339.26"/>
        <n v="578.56"/>
        <n v="147.88"/>
        <n v="7351.84"/>
        <n v="504.15"/>
        <n v="525.56"/>
        <n v="604.64"/>
        <n v="1335.86"/>
        <n v="559.95"/>
        <n v="9666.36"/>
        <n v="1078"/>
        <n v="3771"/>
        <n v="2791.84"/>
        <n v="578.28"/>
        <n v="1984.65"/>
        <n v="5085.7"/>
        <n v="2855.71"/>
        <n v="2819.61"/>
        <n v="532.85"/>
        <n v="109"/>
        <n v="2590.4"/>
        <n v="6149.12"/>
        <n v="2621.76"/>
        <n v="117.05"/>
        <n v="9778"/>
        <n v="3167.92"/>
        <n v="5117.64"/>
        <n v="6197.1"/>
        <n v="5633.28"/>
        <n v="3482.78"/>
        <n v="2261.16"/>
        <n v="2937.6"/>
        <n v="3782.09"/>
        <n v="2524.39"/>
        <n v="854.72"/>
        <n v="887.02"/>
        <n v="3648.19"/>
        <n v="5416.58"/>
        <n v="6484.28"/>
        <n v="2751.12"/>
        <n v="654.64"/>
        <n v="9200.75"/>
        <n v="3423.6"/>
        <n v="5650.46"/>
        <n v="3164.1"/>
        <n v="3445.2"/>
        <n v="1158.87"/>
        <n v="1129.95"/>
        <n v="6251.2"/>
        <n v="5639.01"/>
        <n v="3186.6"/>
        <n v="580.14"/>
        <n v="1583.31"/>
        <n v="4075.26"/>
        <n v="2800.96"/>
        <n v="1952.6"/>
        <n v="3784.3"/>
        <n v="563.52"/>
        <n v="79.6"/>
        <n v="1923.52"/>
        <n v="1306.8"/>
        <n v="924.5"/>
        <n v="8806.69"/>
        <n v="1992.9"/>
        <n v="6865"/>
        <n v="571.44"/>
        <n v="1362.4"/>
        <n v="1971.72"/>
        <n v="3251.8"/>
        <n v="9227.94"/>
        <n v="2904.72"/>
        <n v="8973.96"/>
        <n v="783.31"/>
        <n v="3888.56"/>
        <n v="3330.18"/>
        <n v="5474.04"/>
        <n v="1218.72"/>
        <n v="1510.65"/>
        <n v="157.8"/>
        <n v="1166.72"/>
        <n v="7594.74"/>
        <n v="7176.15"/>
        <n v="4515.66"/>
        <n v="1732.71"/>
        <n v="1059.06"/>
        <n v="286.86"/>
        <n v="6462"/>
        <n v="435.85"/>
        <n v="3488.24"/>
        <n v="857.1"/>
        <n v="2235.24"/>
        <n v="1289.4"/>
        <n v="3290.08"/>
        <n v="1736.7"/>
        <n v="1459.56"/>
        <n v="7470.72"/>
        <n v="3142.22"/>
        <n v="234.94"/>
        <n v="4156.11"/>
        <n v="3965.68"/>
        <n v="4450.08"/>
        <n v="1160.38"/>
        <n v="4291.44"/>
        <n v="94.33"/>
        <n v="7839.04"/>
        <n v="2206.84"/>
        <n v="10124.69"/>
        <n v="180.12"/>
        <n v="3618"/>
        <n v="5471"/>
        <n v="1122.36"/>
        <n v="9000.32"/>
        <n v="340.64"/>
        <n v="5418.12"/>
        <n v="259.87"/>
        <n v="5365"/>
        <n v="2661.3"/>
        <n v="8875.08"/>
        <n v="147.28"/>
        <n v="4961.4"/>
        <n v="8478.75"/>
        <n v="579.39"/>
        <n v="5777.96"/>
        <n v="6922.08"/>
        <n v="215.73"/>
        <n v="11526"/>
        <n v="844.2"/>
        <n v="769.52"/>
        <n v="6596.38"/>
        <n v="286.6"/>
        <n v="8992.98"/>
        <n v="228.62"/>
        <n v="8170.54"/>
        <n v="2779.2"/>
        <n v="3132.54"/>
        <n v="3146.55"/>
        <n v="651.68"/>
        <n v="5150.42"/>
        <n v="411.54"/>
        <n v="1744.6"/>
        <n v="3512.3"/>
        <n v="7715.96"/>
        <n v="262.26"/>
        <n v="3570.66"/>
        <n v="3099.96"/>
        <n v="1215.42"/>
        <n v="3980.08"/>
        <n v="5200.14"/>
        <n v="6747.4"/>
        <n v="410.88"/>
        <n v="1908.2"/>
        <n v="3377.58"/>
        <n v="365.8"/>
        <n v="1462.02"/>
        <n v="3964.32"/>
        <n v="351.82"/>
        <n v="749.18"/>
        <n v="3273.2"/>
        <n v="1128.72"/>
        <n v="1826.37"/>
        <n v="1518.99"/>
        <n v="1109.84"/>
        <n v="807.18"/>
        <n v="6767.28"/>
        <n v="5384.7"/>
        <n v="7581.6"/>
        <n v="1248.36"/>
        <n v="8693.7"/>
        <n v="2174.3"/>
        <n v="7142.25"/>
        <n v="445.15"/>
        <n v="116.96"/>
        <n v="2131.56"/>
        <n v="2358.08"/>
        <n v="971.04"/>
        <n v="1119.26"/>
        <n v="930.64"/>
        <n v="2308.7"/>
        <n v="2477.3"/>
        <n v="6732.84"/>
        <n v="3708.15"/>
        <n v="5153.18"/>
        <n v="3195.24"/>
        <n v="5272.64"/>
        <n v="1020.6"/>
        <n v="4043.77"/>
        <n v="2894.6"/>
        <n v="1370.76"/>
        <n v="6258.36"/>
        <n v="7959.23"/>
        <n v="79.29"/>
        <n v="3126.6"/>
        <n v="2899.1"/>
        <n v="426.81"/>
        <n v="5311.35"/>
        <n v="7171.4"/>
        <n v="530.88"/>
        <n v="248.8"/>
        <n v="213.12"/>
        <n v="5528.48"/>
        <n v="5895.24"/>
        <n v="2777.4"/>
        <n v="1436.16"/>
        <n v="5889.07"/>
        <n v="140.22"/>
        <n v="6065.02"/>
        <n v="9488"/>
        <n v="3404.16"/>
        <n v="8891.68"/>
        <n v="6398.8"/>
        <n v="475.95"/>
        <n v="421.42"/>
        <n v="2753.73"/>
        <n v="1482.39"/>
        <n v="6056.64"/>
        <n v="219.96"/>
        <n v="4226.4"/>
        <n v="2477.93"/>
        <n v="153.3"/>
        <n v="7890.72"/>
        <n v="6980.96"/>
        <n v="1979.37"/>
        <n v="1556.1"/>
        <n v="2190.24"/>
        <n v="474.21"/>
        <n v="3912.66"/>
        <n v="1117.53"/>
        <n v="750.96"/>
        <n v="2743.78"/>
        <n v="622.09"/>
        <n v="1271.2"/>
        <n v="2161.75"/>
        <n v="11210"/>
        <n v="1663.75"/>
        <n v="614.37"/>
        <n v="9384.32"/>
        <n v="1677.28"/>
        <n v="9575.68"/>
        <n v="2943.12"/>
        <n v="3333.5"/>
        <n v="3031.04"/>
        <n v="2030.4"/>
        <n v="721.21"/>
        <n v="1136.22"/>
        <n v="408.15"/>
        <n v="729.26"/>
        <n v="3990.07"/>
        <n v="9998.37"/>
        <n v="2356.08"/>
        <n v="8068.86"/>
        <n v="9925.96"/>
        <n v="195"/>
        <n v="6732.64"/>
        <n v="6671.34"/>
        <n v="9037.16"/>
        <n v="3098.42"/>
        <n v="3990.42"/>
        <n v="27.6"/>
        <n v="7132.5"/>
        <n v="2545.2"/>
        <n v="3152.58"/>
        <n v="1915.05"/>
        <n v="8700.6"/>
        <n v="2223.44"/>
        <n v="3040.8"/>
        <n v="1414.8"/>
        <n v="447.75"/>
        <n v="2972.36"/>
        <n v="1692.32"/>
        <n v="3409.8"/>
        <n v="1646.37"/>
        <n v="173.56"/>
        <n v="2446.85"/>
        <n v="2206.26"/>
        <n v="423.08"/>
        <n v="6418.58"/>
        <n v="2526.3"/>
        <n v="261.06"/>
        <n v="73.92"/>
        <n v="558.76"/>
        <n v="1870.2"/>
        <n v="7678.2"/>
        <n v="3259.7"/>
        <n v="7978.44"/>
        <n v="2426.97"/>
        <n v="554.56"/>
        <n v="2790.72"/>
        <n v="278.4"/>
        <n v="716.17"/>
        <n v="2679.43"/>
        <n v="6781.32"/>
        <n v="2697.42"/>
        <n v="2007.09"/>
        <n v="4086.74"/>
        <n v="1181.18"/>
        <n v="436.2"/>
        <n v="2947.2"/>
        <n v="5700.45"/>
        <n v="1252.74"/>
        <n v="6482.55"/>
        <n v="6913.01"/>
        <n v="5758.87"/>
        <n v="7377.5"/>
        <n v="7042.8"/>
        <n v="396.09"/>
        <n v="2348.76"/>
        <n v="2061.2"/>
        <n v="6143.5"/>
        <n v="701.36"/>
        <n v="9095.87"/>
        <n v="1826.9"/>
        <n v="3973.3"/>
        <n v="4097.17"/>
        <n v="1397.4"/>
        <n v="2732.32"/>
        <n v="8.2"/>
        <n v="5109.36"/>
        <n v="2422.8"/>
        <n v="8514.47"/>
        <n v="62.48"/>
        <n v="3637.36"/>
        <n v="1226"/>
        <n v="2777.29"/>
        <n v="8175.44"/>
        <n v="2897.28"/>
        <n v="3319.52"/>
        <n v="7075.52"/>
        <n v="8335.46"/>
        <n v="1051.8"/>
        <n v="2237.13"/>
        <n v="7602.15"/>
        <n v="9147.36"/>
        <n v="3005.44"/>
        <n v="7673.4"/>
        <n v="498.35"/>
        <n v="7328.68"/>
        <n v="163.11"/>
        <n v="2830.44"/>
        <n v="6123.89"/>
        <n v="1506.18"/>
        <n v="7168.68"/>
        <n v="2339.2"/>
        <n v="8494"/>
        <n v="2867.52"/>
        <n v="1783.92"/>
        <n v="7366.88"/>
        <n v="1671.85"/>
        <n v="1799.16"/>
        <n v="4288.24"/>
        <n v="4903.25"/>
        <n v="1743.12"/>
        <n v="528.31"/>
        <n v="1024.48"/>
        <n v="2331.81"/>
        <n v="9331.85"/>
        <n v="1801.7"/>
        <n v="5936"/>
        <n v="1798.26"/>
        <n v="374.33"/>
        <n v="7654.4"/>
        <n v="2579.72"/>
        <n v="4610.4"/>
        <n v="1901.96"/>
        <n v="1217.82"/>
        <n v="2434.14"/>
        <n v="7128"/>
        <n v="884.16"/>
        <n v="11077"/>
        <n v="1055.21"/>
        <n v="1065.02"/>
        <n v="268.19"/>
        <n v="7355.05"/>
        <n v="1722.56"/>
        <n v="7272.64"/>
        <n v="4560.38"/>
        <n v="3176.19"/>
        <n v="1264.6"/>
        <n v="875.14"/>
        <n v="7344.8"/>
        <n v="3456.96"/>
        <n v="39.99"/>
        <n v="1377.09"/>
        <n v="10531"/>
        <n v="3737.58"/>
        <n v="917.5"/>
        <n v="204.9"/>
        <n v="889.38"/>
        <n v="5445.33"/>
        <n v="1483.2"/>
        <n v="3941.55"/>
        <n v="741.56"/>
        <n v="1320.48"/>
        <n v="1918.2"/>
        <n v="2361.84"/>
        <n v="546.56"/>
        <n v="574.86"/>
        <n v="6089.25"/>
        <n v="430.61"/>
        <n v="2540.25"/>
        <n v="6798.61"/>
        <n v="4424.25"/>
        <n v="3295.26"/>
        <n v="8029.61"/>
        <n v="5371.47"/>
        <n v="2310.6"/>
        <n v="9007.92"/>
        <n v="1910.85"/>
        <n v="1096.62"/>
        <n v="1350.65"/>
        <n v="960.3"/>
        <n v="7465.86"/>
        <n v="982.4"/>
        <n v="1365.6"/>
        <n v="680.65"/>
        <n v="2445.65"/>
        <n v="1657.44"/>
        <n v="829.56"/>
        <n v="5850.84"/>
        <n v="8546"/>
        <n v="9422.72"/>
        <n v="2576.7"/>
        <n v="476"/>
        <n v="1836.38"/>
        <n v="751.95"/>
        <n v="5722.23"/>
        <n v="215.53"/>
        <n v="561.6"/>
        <n v="3099.2"/>
        <n v="5270.51"/>
        <n v="2660.71"/>
        <n v="750.33"/>
        <n v="6321.84"/>
        <n v="10351.8"/>
        <n v="2604.16"/>
        <n v="2199.96"/>
        <n v="1002.6"/>
        <n v="4990.32"/>
        <n v="1503.84"/>
        <n v="6792.94"/>
        <n v="3351.96"/>
        <n v="983.71"/>
        <n v="5484.15"/>
        <n v="7079.4"/>
        <n v="4106.34"/>
        <n v="3973.9"/>
        <n v="196.7"/>
        <n v="3490.02"/>
        <n v="577.79"/>
        <n v="5531.85"/>
        <n v="224.24"/>
        <n v="109.55"/>
        <n v="3427.65"/>
        <n v="6459.31"/>
        <n v="9422.25"/>
        <n v="1230.69"/>
        <n v="496.15"/>
        <n v="4528.62"/>
        <n v="2640.27"/>
        <n v="2126.53"/>
        <n v="4483.75"/>
        <n v="719.68"/>
        <n v="528"/>
        <n v="1615.88"/>
        <n v="343.84"/>
        <n v="186.98"/>
        <n v="1587.19"/>
        <n v="9958.14"/>
        <n v="2054.7"/>
        <n v="1651.58"/>
        <n v="6281.84"/>
        <n v="1136.72"/>
        <n v="1492.83"/>
        <n v="442.16"/>
        <n v="441.15"/>
        <n v="3773.7"/>
        <n v="985.01"/>
        <n v="1539.2"/>
        <n v="84.5"/>
        <n v="566.32"/>
        <n v="9939.9"/>
        <n v="93.08"/>
        <n v="2204.65"/>
        <n v="2784.5"/>
        <n v="5350.66"/>
        <n v="3254.86"/>
        <n v="255.17"/>
        <n v="323.51"/>
        <n v="486.19"/>
        <n v="1600.02"/>
        <n v="902.4"/>
        <n v="875.93"/>
        <n v="3034.2"/>
        <n v="2848.1"/>
        <n v="1726.15"/>
        <n v="593.82"/>
        <n v="12.38"/>
        <n v="3732.3"/>
        <n v="376.35"/>
        <n v="408.45"/>
        <n v="2723.3"/>
        <n v="4495.2"/>
        <n v="6269.4"/>
        <n v="418.45"/>
        <n v="3366"/>
        <n v="8229.76"/>
        <n v="594.4"/>
        <n v="2780"/>
        <n v="4665.36"/>
        <n v="1209.92"/>
        <n v="7301.06"/>
        <n v="1798.05"/>
        <n v="1732.2"/>
        <n v="7155.12"/>
        <n v="7631.92"/>
        <n v="1467.44"/>
        <n v="2220.48"/>
        <n v="1797.9"/>
        <n v="1357.2"/>
        <n v="3270.51"/>
        <n v="6405.24"/>
        <n v="2304.36"/>
        <n v="10084.4"/>
        <n v="1355.62"/>
        <n v="812.49"/>
        <n v="1117.44"/>
        <n v="5565.56"/>
        <n v="249.84"/>
        <n v="3360.56"/>
        <n v="1091.88"/>
        <n v="1494.54"/>
        <n v="8001"/>
        <n v="130.87"/>
        <n v="1463.88"/>
        <n v="5832.84"/>
        <n v="688.37"/>
        <n v="1592.78"/>
        <n v="179.2"/>
        <n v="1175.76"/>
        <n v="4189.3"/>
        <n v="3637.08"/>
        <n v="2099.5"/>
        <n v="2269.04"/>
        <n v="128.52"/>
        <n v="4278.42"/>
        <n v="7103.04"/>
        <n v="652.61"/>
        <n v="4480.65"/>
        <n v="785.55"/>
        <n v="625.14"/>
        <n v="3944.72"/>
        <n v="1749.48"/>
        <n v="103.13"/>
        <n v="541.9"/>
        <n v="3333.99"/>
        <n v="679.91"/>
        <n v="2841.2"/>
        <n v="1318.24"/>
        <n v="5093.12"/>
        <n v="4018.41"/>
        <n v="4141.12"/>
        <n v="2454.12"/>
        <n v="5265.24"/>
        <n v="4817.34"/>
        <n v="695.64"/>
        <n v="5239.82"/>
        <n v="3071.16"/>
        <n v="381.21"/>
        <n v="191.15"/>
        <n v="1581.02"/>
        <n v="4384.16"/>
        <n v="8735.4"/>
        <n v="7871.89"/>
        <n v="405.76"/>
        <n v="1415.42"/>
        <n v="1037"/>
        <n v="1470.12"/>
        <n v="2443.43"/>
        <n v="1638.72"/>
        <n v="1610.91"/>
        <n v="8295.15"/>
        <n v="5696.4"/>
        <n v="9429.66"/>
        <n v="696.39"/>
        <n v="3048.44"/>
        <n v="396.35"/>
        <n v="1844.16"/>
        <n v="1496.7"/>
        <n v="506.41"/>
        <n v="2075.4"/>
        <n v="5130.6"/>
        <n v="4453.68"/>
        <n v="2632.14"/>
        <n v="2737.65"/>
        <n v="4186.56"/>
        <n v="7290.45"/>
        <n v="2227.26"/>
        <n v="2085.48"/>
        <n v="5716.75"/>
        <n v="2388.87"/>
        <n v="3483.36"/>
        <n v="532.2"/>
        <n v="479.38"/>
        <n v="318.32"/>
        <n v="3722.4"/>
        <n v="3164.58"/>
        <n v="7663.04"/>
        <n v="7121.2"/>
        <n v="4569.66"/>
        <n v="223.56"/>
        <n v="588.54"/>
        <n v="319.49"/>
        <n v="3415.44"/>
        <n v="290.88"/>
        <n v="1749.4"/>
        <n v="7915.2"/>
        <n v="4749.46"/>
        <n v="6842.88"/>
        <n v="4225.95"/>
        <n v="2775"/>
        <n v="7235.58"/>
        <n v="1779.48"/>
        <n v="4135.53"/>
        <n v="172.9"/>
        <n v="3943.98"/>
        <n v="424.55"/>
        <n v="2254.77"/>
        <n v="463.92"/>
        <n v="3631.05"/>
        <n v="96.04"/>
        <n v="534.28"/>
        <n v="294.45"/>
        <n v="742.2"/>
        <n v="1610.04"/>
        <n v="2116.12"/>
        <n v="214.64"/>
        <n v="500.96"/>
        <n v="9346.26"/>
        <n v="175.53"/>
        <n v="8569.36"/>
        <n v="7133.71"/>
        <n v="534.72"/>
        <n v="596.12"/>
        <n v="1728.61"/>
        <n v="6667.92"/>
        <n v="4718.08"/>
        <n v="11324.57"/>
        <n v="1094.4"/>
        <n v="4009.5"/>
        <n v="2615.62"/>
        <n v="2489.62"/>
        <n v="3123.72"/>
        <n v="3709.9"/>
        <n v="1097.44"/>
        <n v="2748.24"/>
        <n v="6432.14"/>
        <n v="329.58"/>
        <n v="3026.8"/>
        <n v="1418.89"/>
        <n v="2014.21"/>
        <n v="3057.45"/>
        <n v="7757.12"/>
        <n v="349.8"/>
        <n v="83.84"/>
        <n v="2381.22"/>
        <n v="3793.35"/>
        <n v="4912"/>
        <n v="315.93"/>
        <n v="2984.85"/>
        <n v="6408.66"/>
        <n v="1251.84"/>
        <n v="2154.74"/>
        <n v="4972.24"/>
        <n v="1692.27"/>
        <n v="4048.89"/>
        <n v="4507.1"/>
        <n v="826.72"/>
        <n v="10734.2"/>
        <n v="1032.1"/>
        <n v="1027.32"/>
        <n v="247.04"/>
        <n v="1750.14"/>
        <n v="4437.94"/>
        <n v="5073.57"/>
        <n v="543.83"/>
        <n v="6248.6"/>
        <n v="267.9"/>
        <n v="4536.11"/>
        <n v="4962.2"/>
        <n v="1583.8"/>
        <n v="339.24"/>
        <n v="672.22"/>
        <n v="792.24"/>
        <n v="687.8"/>
        <n v="1263.44"/>
        <n v="761.16"/>
        <n v="3600.75"/>
        <n v="112.89"/>
        <n v="5110.3"/>
        <n v="838.6"/>
        <n v="1100.7"/>
        <n v="1733.88"/>
        <n v="4511.4"/>
        <n v="8145.28"/>
        <n v="2330.92"/>
        <n v="1037.16"/>
        <n v="7916.3"/>
        <n v="1336.94"/>
        <n v="1441.35"/>
        <n v="2459.24"/>
        <n v="1313.91"/>
        <n v="4939.08"/>
        <n v="163.29"/>
        <n v="2692.6"/>
        <n v="2815.45"/>
        <n v="2031.54"/>
        <n v="3979"/>
        <n v="6348.1"/>
        <n v="501"/>
        <n v="10535.5"/>
        <n v="1642.34"/>
        <n v="581.94"/>
        <n v="7737.2"/>
        <n v="975.96"/>
        <n v="2753.25"/>
        <n v="1895.64"/>
        <n v="479.18"/>
        <n v="874.08"/>
        <n v="2244.3"/>
        <n v="4199.16"/>
        <n v="1793.44"/>
        <n v="1966.14"/>
        <n v="3458.16"/>
        <n v="999.92"/>
        <n v="2720.34"/>
        <n v="346.45"/>
        <n v="4603.65"/>
        <n v="1561.2"/>
        <n v="432.81"/>
        <n v="583.24"/>
        <n v="2252.24"/>
        <n v="3332.55"/>
        <n v="2729.34"/>
        <n v="7977.25"/>
        <n v="8851.68"/>
        <n v="8840.13"/>
        <n v="6186.24"/>
        <n v="6615.14"/>
        <n v="2850.4"/>
        <n v="31.42"/>
        <n v="9728.93"/>
        <n v="6004.8"/>
        <n v="817.83"/>
        <n v="5297.31"/>
        <n v="2759.04"/>
        <n v="3314.49"/>
        <n v="1838.05"/>
        <n v="9783.5"/>
        <n v="688.35"/>
        <n v="1174.89"/>
        <n v="1010.25"/>
        <n v="2723.16"/>
        <n v="10216.3"/>
        <n v="162.8"/>
        <n v="393.4"/>
        <n v="4433.4"/>
        <n v="2183.52"/>
        <n v="96.21"/>
        <n v="598.95"/>
        <n v="2621.01"/>
        <n v="203.74"/>
        <n v="4464.85"/>
        <n v="2161.65"/>
        <n v="7266.24"/>
        <n v="4851.98"/>
        <n v="2749.53"/>
        <n v="1133.28"/>
        <n v="5487.4"/>
        <n v="197.3"/>
        <n v="4657.2"/>
        <n v="1179.33"/>
        <n v="5821.2"/>
        <n v="2711.17"/>
        <n v="152.75"/>
        <n v="579.84"/>
        <n v="776.36"/>
        <n v="477.9"/>
        <n v="1213.48"/>
        <n v="8671.36"/>
        <n v="290.99"/>
        <n v="3483.84"/>
        <n v="287.55"/>
        <n v="4400.1"/>
        <n v="3682.44"/>
        <n v="4868.7"/>
        <n v="4329.71"/>
        <n v="1130.24"/>
        <n v="2959.32"/>
        <n v="6480.33"/>
        <n v="6491"/>
        <n v="4817.12"/>
        <n v="3708.64"/>
        <n v="270.6"/>
        <n v="5449.84"/>
        <n v="3317.04"/>
        <n v="1598.24"/>
        <n v="498.19"/>
        <n v="6764.94"/>
        <n v="2346.48"/>
        <n v="7616.44"/>
        <n v="5282.76"/>
        <n v="2947.01"/>
        <n v="4434.48"/>
        <n v="3695.9"/>
        <n v="5125.2"/>
        <n v="2203.3"/>
        <n v="303.2"/>
        <n v="2073.72"/>
        <n v="3442.42"/>
        <n v="591.51"/>
        <n v="491.76"/>
        <n v="179.34"/>
        <n v="2539.92"/>
        <n v="909.61"/>
        <n v="3068.31"/>
        <n v="1692.67"/>
        <n v="1399.92"/>
        <n v="4255.56"/>
        <n v="11143.31"/>
        <n v="6942.75"/>
        <n v="176.17"/>
        <n v="71.24"/>
        <n v="374.58"/>
        <n v="3989.23"/>
        <n v="170.3"/>
        <n v="8544.2"/>
        <n v="269.16"/>
        <n v="7263.54"/>
        <n v="389.94"/>
        <n v="2062.92"/>
        <n v="9109.96"/>
        <n v="2977.56"/>
        <n v="964.2"/>
        <n v="6876.18"/>
        <n v="1767.74"/>
        <n v="5062.86"/>
        <n v="3056.88"/>
        <n v="1410.27"/>
        <n v="2808"/>
        <n v="2262.87"/>
        <n v="1633.12"/>
        <n v="54.86"/>
        <n v="3538.92"/>
        <n v="931.6"/>
        <n v="1170.84"/>
        <n v="2273.7"/>
        <n v="3353.04"/>
        <n v="1403.52"/>
        <n v="3560.92"/>
        <n v="1710.39"/>
        <n v="5404"/>
        <n v="7231.2"/>
        <n v="4746.61"/>
        <n v="1513.8"/>
        <n v="6553.48"/>
        <n v="3580.22"/>
        <n v="1054.2"/>
        <n v="1264.16"/>
        <n v="1072.36"/>
        <n v="9140.16"/>
        <n v="1613.04"/>
        <n v="2818.5"/>
        <n v="6012.27"/>
        <n v="3283.92"/>
        <n v="2577.89"/>
        <n v="10745.6"/>
        <n v="309.27"/>
        <n v="878.04"/>
        <n v="3387.5"/>
        <n v="478.08"/>
        <n v="5074.16"/>
        <n v="3306.78"/>
        <n v="82.06"/>
        <n v="3489.22"/>
        <n v="506.82"/>
        <n v="2305.12"/>
        <n v="2211.99"/>
        <n v="6439.95"/>
        <n v="1346.31"/>
        <n v="1659.87"/>
        <n v="9505.6"/>
        <n v="9159.33"/>
        <n v="1509"/>
        <n v="988.44"/>
        <n v="1692.3"/>
        <n v="364.68"/>
        <n v="5591.28"/>
        <n v="2253.6"/>
        <n v="561.3"/>
        <n v="1247.82"/>
        <n v="11056.6"/>
        <n v="916.5"/>
        <n v="258.86"/>
        <n v="8515.99"/>
        <n v="7047.68"/>
        <n v="2100.96"/>
        <n v="1873.65"/>
        <n v="3519"/>
        <n v="2449.8"/>
        <n v="272.8"/>
        <n v="7348.6"/>
        <n v="1151.6"/>
        <n v="1153.68"/>
        <n v="3513.72"/>
        <n v="2347.87"/>
        <n v="2249.5"/>
        <n v="542.63"/>
        <n v="204.54"/>
        <n v="4195.8"/>
        <n v="615.16"/>
        <n v="2708.16"/>
        <n v="971.2"/>
        <n v="1642.36"/>
        <n v="32.79"/>
        <n v="3003.2"/>
        <n v="394.41"/>
        <n v="3212.28"/>
        <n v="7748.58"/>
        <n v="1933.28"/>
        <n v="276.71"/>
        <n v="448.16"/>
        <n v="4202.88"/>
        <n v="796.41"/>
        <n v="2782"/>
        <n v="6124.65"/>
        <n v="5352.8"/>
        <n v="6649.6"/>
        <n v="123.4"/>
        <n v="264.78"/>
        <n v="656.63"/>
        <n v="2617.89"/>
        <n v="2064.65"/>
        <n v="3074.4"/>
        <n v="378.35"/>
        <n v="461.35"/>
        <n v="7098"/>
        <n v="3068.87"/>
        <n v="7596.4"/>
        <n v="716.46"/>
        <n v="5315.04"/>
        <n v="4091.4"/>
        <n v="3243.24"/>
        <n v="2063.18"/>
        <n v="2947.84"/>
        <n v="8726.4"/>
        <n v="7862.94"/>
        <n v="655.14"/>
        <n v="3004.56"/>
        <n v="4205.32"/>
        <n v="1161.45"/>
        <n v="173.44"/>
        <n v="2305.26"/>
        <n v="5535.6"/>
        <n v="193.08"/>
        <n v="938.91"/>
        <n v="1284.84"/>
        <n v="239.2"/>
        <n v="3762"/>
        <n v="80.96"/>
        <n v="842.4"/>
        <n v="1099.95"/>
        <n v="10163.48"/>
        <n v="494.52"/>
        <n v="2068.02"/>
        <n v="5869.68"/>
        <n v="4612.14"/>
        <n v="1695.92"/>
        <n v="8059.24"/>
        <n v="1059.12"/>
        <n v="2913.96"/>
        <n v="1132.88"/>
        <n v="1937.61"/>
        <n v="8949.96"/>
        <n v="4520.49"/>
        <n v="1113.63"/>
        <n v="5211.96"/>
        <n v="6826.4"/>
        <n v="1769.82"/>
        <n v="1570.8"/>
        <n v="9719.64"/>
        <n v="1792.44"/>
        <n v="2056.2"/>
        <n v="7405.76"/>
        <n v="8608.46"/>
        <n v="486.59"/>
        <n v="1869.8"/>
        <n v="1405"/>
        <n v="462.8"/>
        <n v="4856.76"/>
        <n v="8573.76"/>
        <n v="1582.35"/>
        <n v="1294.52"/>
        <n v="598.4"/>
        <n v="418.98"/>
        <n v="1300.2"/>
        <n v="1282.1"/>
        <n v="8718.56"/>
        <n v="2154.98"/>
        <n v="5227.3"/>
        <n v="8064.54"/>
        <n v="3127.65"/>
        <n v="5507.32"/>
        <n v="2761.3"/>
        <n v="182.11"/>
        <n v="3264.52"/>
        <n v="2108.1"/>
        <n v="7825.27"/>
        <n v="664.35"/>
        <n v="2518.32"/>
        <n v="282.15"/>
        <n v="3686.21"/>
        <n v="2219.44"/>
        <n v="1726.32"/>
        <n v="6434.54"/>
        <n v="3967.3"/>
        <n v="10328.6"/>
        <n v="299.66"/>
        <n v="380.64"/>
        <n v="10005.86"/>
        <n v="2234.65"/>
        <n v="2504.52"/>
        <n v="317.98"/>
        <n v="1162.89"/>
        <n v="1010.6"/>
        <n v="1338.28"/>
        <n v="7787.36"/>
        <n v="376.58"/>
        <n v="782.16"/>
        <n v="2149.62"/>
        <n v="6404.58"/>
        <n v="1045.14"/>
        <n v="2625.54"/>
        <n v="2243.71"/>
        <n v="2828.55"/>
        <n v="1605.92"/>
        <n v="426.27"/>
        <n v="8641.8"/>
        <n v="872.73"/>
        <n v="3706.68"/>
        <n v="306.66"/>
        <n v="2528.96"/>
        <n v="1996.41"/>
        <n v="1458.17"/>
        <n v="321.92"/>
        <n v="1121.31"/>
        <n v="4014"/>
        <n v="1620.78"/>
        <n v="6424.92"/>
        <n v="1243.08"/>
        <n v="3173.76"/>
        <n v="562.2"/>
        <n v="386"/>
        <n v="2097.99"/>
        <n v="1130.16"/>
        <n v="8578.71"/>
        <n v="1076.24"/>
        <n v="3276.98"/>
        <n v="9533.8"/>
        <n v="321.46"/>
        <n v="2060.82"/>
        <n v="6393.5"/>
        <n v="7408.62"/>
        <n v="431.49"/>
        <n v="8917.02"/>
        <n v="597.2"/>
        <n v="3239.46"/>
        <n v="4192.54"/>
        <n v="2273.1"/>
        <n v="3851.52"/>
        <n v="265.82"/>
        <n v="71.38"/>
        <n v="2711.58"/>
        <n v="1893.29"/>
        <n v="720.98"/>
        <n v="8757.04"/>
        <n v="256.63"/>
        <n v="1695.96"/>
        <n v="1168.35"/>
        <n v="143.4"/>
        <n v="469.35"/>
        <n v="2244.85"/>
        <n v="1831.52"/>
        <n v="325.89"/>
        <n v="525.8"/>
        <n v="1633.56"/>
        <n v="1249.7"/>
        <n v="2057.58"/>
        <n v="5658.2"/>
        <n v="2203.54"/>
        <n v="974.1"/>
        <n v="2937.48"/>
        <n v="4695.04"/>
        <n v="2040.72"/>
        <n v="4830.84"/>
        <n v="9846.9"/>
        <n v="354.21"/>
        <n v="4516.74"/>
        <n v="10570.5"/>
        <n v="876.12"/>
        <n v="85.4"/>
        <n v="160.28"/>
        <n v="736.67"/>
        <n v="1088.04"/>
        <n v="8550"/>
        <n v="5290.11"/>
        <n v="1177.86"/>
        <n v="3440.48"/>
        <n v="6016.08"/>
        <n v="1655.42"/>
        <n v="2531.82"/>
        <n v="1128.45"/>
        <n v="3221.1"/>
        <n v="837.2"/>
        <n v="5218.56"/>
        <n v="6700.46"/>
        <n v="908.81"/>
        <n v="6394.55"/>
        <n v="3083.68"/>
        <n v="948.26"/>
        <n v="7592.55"/>
        <n v="67.38"/>
        <n v="4114.5"/>
        <n v="668.96"/>
        <n v="3938.2"/>
        <n v="100.38"/>
        <n v="381.92"/>
        <n v="105.42"/>
        <n v="5369.87"/>
        <n v="2683.9"/>
        <n v="320.9"/>
        <n v="6998.25"/>
        <n v="4042.72"/>
        <n v="604.5"/>
        <n v="2821.76"/>
        <n v="4736.34"/>
        <n v="9349.56"/>
        <n v="1952.28"/>
        <n v="5468.84"/>
        <n v="100.47"/>
        <n v="1811.08"/>
        <n v="1099"/>
        <n v="6059.46"/>
        <n v="863.25"/>
        <n v="2324.8"/>
        <n v="673.8"/>
        <n v="2116.95"/>
        <n v="534.61"/>
        <n v="5040.36"/>
        <n v="2202.56"/>
        <n v="317.19"/>
        <n v="8532.15"/>
        <n v="3807.8"/>
        <n v="8234.41"/>
        <n v="92.72"/>
        <n v="263.28"/>
        <n v="3944.49"/>
        <n v="10719.54"/>
        <n v="8040.48"/>
        <n v="7994.34"/>
        <n v="8197.93"/>
        <n v="1282.31"/>
        <n v="282.37"/>
        <n v="1474.76"/>
        <n v="1799.07"/>
        <n v="1197.56"/>
        <n v="2408.4"/>
        <n v="3927.75"/>
        <n v="2195.27"/>
        <n v="2524.8"/>
        <n v="226.72"/>
        <n v="8417.21"/>
        <n v="1988.7"/>
        <n v="8069.76"/>
        <n v="855.4"/>
        <n v="2368.94"/>
        <n v="899"/>
        <n v="8155.36"/>
        <n v="4165.84"/>
        <n v="4746.43"/>
        <n v="139.13"/>
        <n v="3263.34"/>
        <n v="4174.3"/>
        <n v="566.04"/>
        <n v="4379.22"/>
        <n v="6946.32"/>
        <n v="1378.16"/>
        <n v="3124.24"/>
        <n v="4921.18"/>
        <n v="3854.76"/>
        <n v="55.28"/>
        <n v="7468.1"/>
        <n v="8607.15"/>
        <n v="6841.14"/>
        <n v="3746.4"/>
        <n v="3061.47"/>
        <n v="325.6"/>
        <n v="2766.24"/>
        <n v="240.3"/>
        <n v="390.32"/>
        <n v="98.32"/>
        <n v="1009.64"/>
        <n v="4690.13"/>
        <n v="1175.13"/>
        <n v="3752.64"/>
        <n v="4007.88"/>
        <n v="4862.65"/>
        <n v="3644.19"/>
        <n v="2667.6"/>
        <n v="4922.4"/>
        <n v="4892.13"/>
        <n v="2409.92"/>
        <n v="6032.4"/>
        <n v="1554.3"/>
        <n v="3667.14"/>
        <n v="1392.33"/>
        <n v="884.06"/>
        <n v="580.37"/>
        <n v="6086.08"/>
        <n v="33.96"/>
        <n v="378.36"/>
        <n v="366.36"/>
        <n v="1372.84"/>
        <n v="1981.76"/>
        <n v="1444.8"/>
        <n v="8476.38"/>
        <n v="4601.4"/>
        <n v="5878.8"/>
        <n v="908.02"/>
        <n v="817.75"/>
        <n v="1699.32"/>
        <n v="1993.08"/>
        <n v="6495.44"/>
        <n v="682.7"/>
        <n v="216.08"/>
        <n v="709.2"/>
        <n v="2794.88"/>
        <n v="1224.24"/>
        <n v="1970.64"/>
        <n v="6725.8"/>
        <n v="1261.75"/>
        <n v="21.75"/>
        <n v="1939.08"/>
        <n v="1546.3"/>
        <n v="364.27"/>
        <n v="2757.78"/>
        <n v="10602"/>
        <n v="3991.2"/>
        <n v="8806.4"/>
        <n v="304.02"/>
        <n v="5297.37"/>
        <n v="882.36"/>
        <n v="5733.2"/>
        <n v="6287.19"/>
        <n v="2433.2"/>
        <n v="4522.1"/>
        <n v="992.64"/>
        <n v="2080"/>
        <n v="6281.77"/>
        <n v="721.27"/>
        <n v="1588.08"/>
        <n v="1693.5"/>
        <n v="3063.96"/>
        <n v="120.2"/>
        <n v="2202.07"/>
        <n v="1707.2"/>
        <n v="2913.93"/>
        <n v="1927.44"/>
        <n v="312.2"/>
        <n v="344.4"/>
        <n v="4094.82"/>
        <n v="4023.25"/>
        <n v="748.16"/>
        <n v="501.96"/>
        <n v="4730.32"/>
        <n v="6656.22"/>
        <n v="2493.6"/>
        <n v="3129.12"/>
        <n v="3486.3"/>
        <n v="2366.4"/>
        <n v="6429.28"/>
        <n v="2692.9"/>
        <n v="1292.08"/>
        <n v="6598.35"/>
        <n v="7729.44"/>
        <n v="356.07"/>
        <n v="7785.36"/>
        <n v="1082.79"/>
        <n v="2072.9"/>
        <n v="272.16"/>
        <n v="4079.9"/>
        <n v="4121.55"/>
        <n v="477.15"/>
        <n v="3756.48"/>
        <n v="6652.28"/>
        <n v="2962.35"/>
        <n v="577.07"/>
        <n v="3265.98"/>
        <n v="5966.1"/>
        <n v="421.26"/>
        <n v="2220.08"/>
        <n v="4826.57"/>
        <n v="4805.37"/>
        <n v="1689.45"/>
        <n v="1764.07"/>
        <n v="419.1"/>
        <n v="1803.36"/>
        <n v="3688.32"/>
        <n v="3145.14"/>
        <n v="4883.36"/>
        <n v="7019.36"/>
        <n v="1939.6"/>
        <n v="10447.56"/>
        <n v="1647.9"/>
        <n v="1479.14"/>
        <n v="7646.56"/>
        <n v="4289.46"/>
        <n v="141.61"/>
        <n v="2081.16"/>
        <n v="3125.64"/>
        <n v="3174.6"/>
        <n v="1070.74"/>
        <n v="4651.79"/>
        <n v="2228.68"/>
        <n v="4136.85"/>
        <n v="3946.8"/>
        <n v="5571.67"/>
        <n v="1694.77"/>
        <n v="8115.46"/>
        <n v="784.8"/>
        <n v="2497.2"/>
        <n v="1494.9"/>
        <n v="888.96"/>
        <n v="4869.4"/>
        <n v="2041.49"/>
        <n v="3821.18"/>
        <n v="4770.45"/>
        <n v="3635.25"/>
        <n v="246.27"/>
        <n v="2857.3"/>
        <n v="5805.84"/>
        <n v="3029.6"/>
        <n v="3708.16"/>
        <n v="430.29"/>
        <n v="6516.6"/>
        <n v="7744.16"/>
        <n v="110.16"/>
        <n v="6028.88"/>
        <n v="1470.04"/>
        <n v="7008.15"/>
        <n v="1623.72"/>
        <n v="495.36"/>
        <n v="638.16"/>
        <n v="2252.25"/>
        <n v="521.37"/>
        <n v="1754.32"/>
        <n v="3217.44"/>
        <n v="8895.4"/>
        <n v="2121"/>
        <n v="4584.96"/>
        <n v="1889.36"/>
        <n v="147.4"/>
        <n v="2237.92"/>
        <n v="913.83"/>
        <n v="2144.88"/>
        <n v="7733.92"/>
        <n v="957.18"/>
        <n v="5331.4"/>
        <n v="779.96"/>
        <n v="8250.1"/>
        <n v="1888.96"/>
        <n v="1148.24"/>
        <n v="799.6"/>
        <n v="5815.42"/>
        <n v="2558.4"/>
        <n v="1457.43"/>
        <n v="2937.92"/>
        <n v="746.14"/>
        <n v="8970.56"/>
        <n v="1006.45"/>
        <n v="1749.28"/>
        <n v="3775.5"/>
        <n v="272.5"/>
        <n v="3677.38"/>
        <n v="2878.07"/>
      </sharedItems>
    </cacheField>
    <cacheField name="StoreLocation" numFmtId="0">
      <sharedItems count="4">
        <s v="Store B"/>
        <s v="Store A"/>
        <s v="Store C"/>
        <s v="Store D"/>
      </sharedItems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 count="4">
        <n v="0"/>
        <n v="0.1"/>
        <n v="0.15"/>
        <n v="0.05"/>
      </sharedItems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 TotalPrice " numFmtId="178">
      <sharedItems containsSemiMixedTypes="0" containsString="0" containsNumber="1" minValue="6.97" maxValue="11077" count="1500">
        <n v="2290.4"/>
        <n v="544.01"/>
        <n v="4361.868"/>
        <n v="5887.746"/>
        <n v="4279.68"/>
        <n v="654.653"/>
        <n v="110.25"/>
        <n v="842.061"/>
        <n v="1231.314"/>
        <n v="1454.76"/>
        <n v="6671.9475"/>
        <n v="3545.685"/>
        <n v="114.5035"/>
        <n v="134.1555"/>
        <n v="2808.825"/>
        <n v="2631.804"/>
        <n v="4486.09"/>
        <n v="5989.313"/>
        <n v="8823.68"/>
        <n v="431.62"/>
        <n v="3190.5"/>
        <n v="4160.107"/>
        <n v="5536.3"/>
        <n v="4821.744"/>
        <n v="1440.05"/>
        <n v="7309.77"/>
        <n v="101.73"/>
        <n v="1117.96"/>
        <n v="151.7675"/>
        <n v="424.863"/>
        <n v="3675.48"/>
        <n v="2586.8815"/>
        <n v="389.88"/>
        <n v="8100.33"/>
        <n v="1903.048"/>
        <n v="1149.96"/>
        <n v="2934.4455"/>
        <n v="1791.0095"/>
        <n v="5394.438"/>
        <n v="855.576"/>
        <n v="2116.44"/>
        <n v="1238.23"/>
        <n v="434.04"/>
        <n v="1561.654"/>
        <n v="790.514"/>
        <n v="4841.28"/>
        <n v="309.7655"/>
        <n v="3961.136"/>
        <n v="743.175"/>
        <n v="2889.558"/>
        <n v="772.083"/>
        <n v="503.38"/>
        <n v="242.469"/>
        <n v="705.47"/>
        <n v="2695.044"/>
        <n v="2432.2375"/>
        <n v="2113.746"/>
        <n v="451.71"/>
        <n v="3923.766"/>
        <n v="5418.819"/>
        <n v="5016.02"/>
        <n v="2413.44"/>
        <n v="1283.553"/>
        <n v="642.6"/>
        <n v="7667.55"/>
        <n v="179.766"/>
        <n v="2329.97"/>
        <n v="3085.296"/>
        <n v="143.469"/>
        <n v="523.464"/>
        <n v="4186.59"/>
        <n v="9864.18"/>
        <n v="5982.9575"/>
        <n v="2418.624"/>
        <n v="483.531"/>
        <n v="4985.19"/>
        <n v="5613.552"/>
        <n v="2344.215"/>
        <n v="3138.2"/>
        <n v="6686.67"/>
        <n v="318.25"/>
        <n v="1772.0375"/>
        <n v="2435.553"/>
        <n v="6990.24"/>
        <n v="2202.52"/>
        <n v="7340.94"/>
        <n v="237.75"/>
        <n v="9870.12"/>
        <n v="7992.616"/>
        <n v="5862.165"/>
        <n v="9575.145"/>
        <n v="1367.24"/>
        <n v="5040.33"/>
        <n v="4629.9"/>
        <n v="3060.596"/>
        <n v="4998.748"/>
        <n v="307.6385"/>
        <n v="5030.7"/>
        <n v="8358.56"/>
        <n v="7565.4675"/>
        <n v="3756.456"/>
        <n v="663"/>
        <n v="1074.165"/>
        <n v="1698.6"/>
        <n v="2222.297"/>
        <n v="520.704"/>
        <n v="140.486"/>
        <n v="6616.656"/>
        <n v="504.15"/>
        <n v="446.726"/>
        <n v="604.64"/>
        <n v="1202.274"/>
        <n v="531.9525"/>
        <n v="8216.406"/>
        <n v="1078"/>
        <n v="3771"/>
        <n v="2512.656"/>
        <n v="549.366"/>
        <n v="1984.65"/>
        <n v="4831.415"/>
        <n v="2570.139"/>
        <n v="2819.61"/>
        <n v="479.565"/>
        <n v="92.65"/>
        <n v="2590.4"/>
        <n v="5841.664"/>
        <n v="2228.496"/>
        <n v="117.05"/>
        <n v="8311.3"/>
        <n v="3009.524"/>
        <n v="5117.64"/>
        <n v="6197.1"/>
        <n v="5633.28"/>
        <n v="3308.641"/>
        <n v="2148.102"/>
        <n v="2790.72"/>
        <n v="3592.9855"/>
        <n v="2271.951"/>
        <n v="811.984"/>
        <n v="842.669"/>
        <n v="3100.9615"/>
        <n v="4604.093"/>
        <n v="6484.28"/>
        <n v="2338.452"/>
        <n v="654.64"/>
        <n v="7820.6375"/>
        <n v="3081.24"/>
        <n v="5085.414"/>
        <n v="3005.895"/>
        <n v="3445.2"/>
        <n v="985.0395"/>
        <n v="1129.95"/>
        <n v="5313.52"/>
        <n v="5357.0595"/>
        <n v="3186.6"/>
        <n v="551.133"/>
        <n v="1424.979"/>
        <n v="4075.26"/>
        <n v="2800.96"/>
        <n v="1854.97"/>
        <n v="3784.3"/>
        <n v="478.992"/>
        <n v="79.6"/>
        <n v="1634.992"/>
        <n v="1241.46"/>
        <n v="832.05"/>
        <n v="8806.69"/>
        <n v="1893.255"/>
        <n v="6521.75"/>
        <n v="485.724"/>
        <n v="1294.28"/>
        <n v="1774.548"/>
        <n v="2926.62"/>
        <n v="9227.94"/>
        <n v="2759.484"/>
        <n v="8525.262"/>
        <n v="744.1445"/>
        <n v="3888.56"/>
        <n v="2997.162"/>
        <n v="5474.04"/>
        <n v="1096.848"/>
        <n v="1359.585"/>
        <n v="157.8"/>
        <n v="1108.384"/>
        <n v="7215.003"/>
        <n v="6458.535"/>
        <n v="4515.66"/>
        <n v="1472.8035"/>
        <n v="900.201"/>
        <n v="286.86"/>
        <n v="6138.9"/>
        <n v="435.85"/>
        <n v="3139.416"/>
        <n v="728.535"/>
        <n v="1899.954"/>
        <n v="1160.46"/>
        <n v="2961.072"/>
        <n v="1736.7"/>
        <n v="1313.604"/>
        <n v="6723.648"/>
        <n v="2670.887"/>
        <n v="234.94"/>
        <n v="3532.6935"/>
        <n v="3767.396"/>
        <n v="3782.568"/>
        <n v="1102.361"/>
        <n v="4291.44"/>
        <n v="94.33"/>
        <n v="7055.136"/>
        <n v="2096.498"/>
        <n v="8605.9865"/>
        <n v="162.108"/>
        <n v="3075.3"/>
        <n v="4650.35"/>
        <n v="1010.124"/>
        <n v="9000.32"/>
        <n v="306.576"/>
        <n v="4605.402"/>
        <n v="220.8895"/>
        <n v="5096.75"/>
        <n v="2661.3"/>
        <n v="8431.326"/>
        <n v="139.916"/>
        <n v="4217.19"/>
        <n v="7630.875"/>
        <n v="492.4815"/>
        <n v="5777.96"/>
        <n v="5883.768"/>
        <n v="215.73"/>
        <n v="10949.7"/>
        <n v="844.2"/>
        <n v="731.044"/>
        <n v="6266.561"/>
        <n v="257.94"/>
        <n v="7644.033"/>
        <n v="205.758"/>
        <n v="6944.959"/>
        <n v="2640.24"/>
        <n v="2819.286"/>
        <n v="2831.895"/>
        <n v="651.68"/>
        <n v="5150.42"/>
        <n v="370.386"/>
        <n v="1657.37"/>
        <n v="2985.455"/>
        <n v="6944.364"/>
        <n v="236.034"/>
        <n v="3570.66"/>
        <n v="2944.962"/>
        <n v="1154.649"/>
        <n v="3383.068"/>
        <n v="4420.119"/>
        <n v="6072.66"/>
        <n v="369.792"/>
        <n v="1908.2"/>
        <n v="3377.58"/>
        <n v="365.8"/>
        <n v="1462.02"/>
        <n v="3766.104"/>
        <n v="299.047"/>
        <n v="636.803"/>
        <n v="2945.88"/>
        <n v="1072.284"/>
        <n v="1826.37"/>
        <n v="1291.1415"/>
        <n v="1054.348"/>
        <n v="686.103"/>
        <n v="6428.916"/>
        <n v="4846.23"/>
        <n v="6823.44"/>
        <n v="1061.106"/>
        <n v="7389.645"/>
        <n v="1848.155"/>
        <n v="6785.1375"/>
        <n v="400.635"/>
        <n v="105.264"/>
        <n v="1918.404"/>
        <n v="2122.272"/>
        <n v="971.04"/>
        <n v="1007.334"/>
        <n v="837.576"/>
        <n v="1962.395"/>
        <n v="2105.705"/>
        <n v="6732.84"/>
        <n v="3337.335"/>
        <n v="4637.862"/>
        <n v="3195.24"/>
        <n v="4481.744"/>
        <n v="1020.6"/>
        <n v="3437.2045"/>
        <n v="2894.6"/>
        <n v="1233.684"/>
        <n v="6258.36"/>
        <n v="7561.2685"/>
        <n v="67.3965"/>
        <n v="2657.61"/>
        <n v="2609.19"/>
        <n v="405.4695"/>
        <n v="5045.7825"/>
        <n v="7171.4"/>
        <n v="504.336"/>
        <n v="248.8"/>
        <n v="191.808"/>
        <n v="4699.208"/>
        <n v="5600.478"/>
        <n v="2360.79"/>
        <n v="1436.16"/>
        <n v="5889.07"/>
        <n v="126.198"/>
        <n v="6065.02"/>
        <n v="8539.2"/>
        <n v="3233.952"/>
        <n v="8447.096"/>
        <n v="6398.8"/>
        <n v="404.5575"/>
        <n v="358.207"/>
        <n v="2478.357"/>
        <n v="1482.39"/>
        <n v="6056.64"/>
        <n v="186.966"/>
        <n v="4015.08"/>
        <n v="2354.0335"/>
        <n v="153.3"/>
        <n v="6707.112"/>
        <n v="6631.912"/>
        <n v="1880.4015"/>
        <n v="1322.685"/>
        <n v="1861.704"/>
        <n v="403.0785"/>
        <n v="3521.394"/>
        <n v="1117.53"/>
        <n v="713.412"/>
        <n v="2469.402"/>
        <n v="622.09"/>
        <n v="1207.64"/>
        <n v="1945.575"/>
        <n v="10649.5"/>
        <n v="1497.375"/>
        <n v="552.933"/>
        <n v="9384.32"/>
        <n v="1677.28"/>
        <n v="8618.112"/>
        <n v="2795.964"/>
        <n v="2833.475"/>
        <n v="2727.936"/>
        <n v="1928.88"/>
        <n v="649.089"/>
        <n v="965.787"/>
        <n v="408.15"/>
        <n v="729.26"/>
        <n v="3990.07"/>
        <n v="9998.37"/>
        <n v="2002.668"/>
        <n v="7665.417"/>
        <n v="8933.364"/>
        <n v="175.5"/>
        <n v="5722.744"/>
        <n v="6671.34"/>
        <n v="8133.444"/>
        <n v="2788.578"/>
        <n v="3591.378"/>
        <n v="26.22"/>
        <n v="6419.25"/>
        <n v="2417.94"/>
        <n v="2994.951"/>
        <n v="1723.545"/>
        <n v="8265.57"/>
        <n v="2112.268"/>
        <n v="2888.76"/>
        <n v="1414.8"/>
        <n v="447.75"/>
        <n v="2675.124"/>
        <n v="1692.32"/>
        <n v="3409.8"/>
        <n v="1481.733"/>
        <n v="156.204"/>
        <n v="2324.5075"/>
        <n v="2206.26"/>
        <n v="401.926"/>
        <n v="5455.793"/>
        <n v="2147.355"/>
        <n v="234.954"/>
        <n v="70.224"/>
        <n v="502.884"/>
        <n v="1683.18"/>
        <n v="7294.29"/>
        <n v="3259.7"/>
        <n v="7978.44"/>
        <n v="2426.97"/>
        <n v="526.832"/>
        <n v="2372.112"/>
        <n v="264.48"/>
        <n v="608.7445"/>
        <n v="2277.5155"/>
        <n v="6442.254"/>
        <n v="2697.42"/>
        <n v="2007.09"/>
        <n v="3473.729"/>
        <n v="1181.18"/>
        <n v="436.2"/>
        <n v="2947.2"/>
        <n v="5700.45"/>
        <n v="1190.103"/>
        <n v="5510.1675"/>
        <n v="6221.709"/>
        <n v="5470.9265"/>
        <n v="7377.5"/>
        <n v="7042.8"/>
        <n v="336.6765"/>
        <n v="2231.322"/>
        <n v="1752.02"/>
        <n v="5221.975"/>
        <n v="596.156"/>
        <n v="9095.87"/>
        <n v="1552.865"/>
        <n v="3377.305"/>
        <n v="3687.453"/>
        <n v="1397.4"/>
        <n v="2459.088"/>
        <n v="6.97"/>
        <n v="4598.424"/>
        <n v="2180.52"/>
        <n v="8514.47"/>
        <n v="56.232"/>
        <n v="3091.756"/>
        <n v="1042.1"/>
        <n v="2360.6965"/>
        <n v="8175.44"/>
        <n v="2607.552"/>
        <n v="3319.52"/>
        <n v="7075.52"/>
        <n v="7501.914"/>
        <n v="894.03"/>
        <n v="1901.5605"/>
        <n v="6461.8275"/>
        <n v="8689.992"/>
        <n v="3005.44"/>
        <n v="6522.39"/>
        <n v="448.515"/>
        <n v="6962.246"/>
        <n v="146.799"/>
        <n v="2405.874"/>
        <n v="5205.3065"/>
        <n v="1355.562"/>
        <n v="6451.812"/>
        <n v="2105.28"/>
        <n v="7219.9"/>
        <n v="2580.768"/>
        <n v="1783.92"/>
        <n v="6261.848"/>
        <n v="1588.2575"/>
        <n v="1529.286"/>
        <n v="4288.24"/>
        <n v="4412.925"/>
        <n v="1481.652"/>
        <n v="475.479"/>
        <n v="1024.48"/>
        <n v="2215.2195"/>
        <n v="9331.85"/>
        <n v="1801.7"/>
        <n v="5342.4"/>
        <n v="1618.434"/>
        <n v="374.33"/>
        <n v="6506.24"/>
        <n v="2579.72"/>
        <n v="4610.4"/>
        <n v="1616.666"/>
        <n v="1096.038"/>
        <n v="2434.14"/>
        <n v="6771.6"/>
        <n v="839.952"/>
        <n v="11077"/>
        <n v="949.689"/>
        <n v="1065.02"/>
        <n v="241.371"/>
        <n v="6251.7925"/>
        <n v="1550.304"/>
        <n v="6545.376"/>
        <n v="4332.361"/>
        <n v="2858.571"/>
        <n v="1138.14"/>
        <n v="875.14"/>
        <n v="6977.56"/>
        <n v="3456.96"/>
        <n v="35.991"/>
        <n v="1377.09"/>
        <n v="10531"/>
        <n v="3550.701"/>
        <n v="779.875"/>
        <n v="184.41"/>
        <n v="800.442"/>
        <n v="4628.5305"/>
        <n v="1409.04"/>
        <n v="3744.4725"/>
        <n v="630.326"/>
        <n v="1188.432"/>
        <n v="1726.38"/>
        <n v="2243.748"/>
        <n v="464.576"/>
        <n v="517.374"/>
        <n v="5175.8625"/>
        <n v="430.61"/>
        <n v="2540.25"/>
        <n v="5778.8185"/>
        <n v="3981.825"/>
        <n v="2965.734"/>
        <n v="6825.1685"/>
        <n v="5371.47"/>
        <n v="2079.54"/>
        <n v="8107.128"/>
        <n v="1910.85"/>
        <n v="932.127"/>
        <n v="1148.0525"/>
        <n v="816.255"/>
        <n v="6719.274"/>
        <n v="982.4"/>
        <n v="1297.32"/>
        <n v="578.5525"/>
        <n v="2201.085"/>
        <n v="1657.44"/>
        <n v="705.126"/>
        <n v="5558.298"/>
        <n v="8118.7"/>
        <n v="8009.312"/>
        <n v="2319.03"/>
        <n v="404.6"/>
        <n v="1836.38"/>
        <n v="639.1575"/>
        <n v="5436.1185"/>
        <n v="193.977"/>
        <n v="477.36"/>
        <n v="2634.32"/>
        <n v="5006.9845"/>
        <n v="2261.6035"/>
        <n v="750.33"/>
        <n v="6321.84"/>
        <n v="10351.8"/>
        <n v="2343.744"/>
        <n v="1869.966"/>
        <n v="952.47"/>
        <n v="4990.32"/>
        <n v="1278.264"/>
        <n v="6792.94"/>
        <n v="3184.362"/>
        <n v="983.71"/>
        <n v="4661.5275"/>
        <n v="6017.49"/>
        <n v="4106.34"/>
        <n v="3377.815"/>
        <n v="196.7"/>
        <n v="3490.02"/>
        <n v="548.9005"/>
        <n v="4978.665"/>
        <n v="190.604"/>
        <n v="109.55"/>
        <n v="3427.65"/>
        <n v="6459.31"/>
        <n v="8480.025"/>
        <n v="1046.0865"/>
        <n v="496.15"/>
        <n v="4528.62"/>
        <n v="2244.2295"/>
        <n v="1807.5505"/>
        <n v="4483.75"/>
        <n v="647.712"/>
        <n v="528"/>
        <n v="1535.086"/>
        <n v="309.456"/>
        <n v="168.282"/>
        <n v="1507.8305"/>
        <n v="9958.14"/>
        <n v="1951.965"/>
        <n v="1486.422"/>
        <n v="6281.84"/>
        <n v="1136.72"/>
        <n v="1268.9055"/>
        <n v="180.12"/>
        <n v="375.836"/>
        <n v="419.0925"/>
        <n v="3396.33"/>
        <n v="837.2585"/>
        <n v="1385.28"/>
        <n v="84.5"/>
        <n v="566.32"/>
        <n v="8945.91"/>
        <n v="79.118"/>
        <n v="1984.185"/>
        <n v="2784.5"/>
        <n v="5083.127"/>
        <n v="3092.117"/>
        <n v="216.8945"/>
        <n v="307.3345"/>
        <n v="461.8805"/>
        <n v="1520.019"/>
        <n v="812.16"/>
        <n v="832.1335"/>
        <n v="3034.2"/>
        <n v="2848.1"/>
        <n v="1639.8425"/>
        <n v="564.129"/>
        <n v="11.142"/>
        <n v="3172.455"/>
        <n v="376.35"/>
        <n v="367.605"/>
        <n v="2450.97"/>
        <n v="3820.92"/>
        <n v="5328.99"/>
        <n v="355.6825"/>
        <n v="3029.4"/>
        <n v="8229.76"/>
        <n v="534.96"/>
        <n v="2780"/>
        <n v="4198.824"/>
        <n v="1088.928"/>
        <n v="6936.007"/>
        <n v="1798.05"/>
        <n v="1472.37"/>
        <n v="6081.852"/>
        <n v="7250.324"/>
        <n v="1467.44"/>
        <n v="1887.408"/>
        <n v="1528.215"/>
        <n v="1153.62"/>
        <n v="3106.9845"/>
        <n v="5444.454"/>
        <n v="2073.924"/>
        <n v="10084.4"/>
        <n v="1220.058"/>
        <n v="731.241"/>
        <n v="1117.44"/>
        <n v="4730.726"/>
        <n v="212.364"/>
        <n v="3024.504"/>
        <n v="1091.88"/>
        <n v="1419.813"/>
        <n v="7200.9"/>
        <n v="124.3265"/>
        <n v="1244.298"/>
        <n v="5249.556"/>
        <n v="688.37"/>
        <n v="1592.78"/>
        <n v="179.2"/>
        <n v="999.396"/>
        <n v="3770.37"/>
        <n v="3637.08"/>
        <n v="1889.55"/>
        <n v="2042.136"/>
        <n v="115.668"/>
        <n v="3850.578"/>
        <n v="7103.04"/>
        <n v="619.9795"/>
        <n v="4480.65"/>
        <n v="667.7175"/>
        <n v="562.626"/>
        <n v="3747.484"/>
        <n v="1749.48"/>
        <n v="103.13"/>
        <n v="514.805"/>
        <n v="3000.591"/>
        <n v="645.9145"/>
        <n v="2557.08"/>
        <n v="1186.416"/>
        <n v="4838.464"/>
        <n v="3415.6485"/>
        <n v="3727.008"/>
        <n v="2331.414"/>
        <n v="5265.24"/>
        <n v="4817.34"/>
        <n v="660.858"/>
        <n v="5239.82"/>
        <n v="3071.16"/>
        <n v="324.0285"/>
        <n v="162.4775"/>
        <n v="1581.02"/>
        <n v="4164.952"/>
        <n v="8298.63"/>
        <n v="7084.701"/>
        <n v="385.472"/>
        <n v="1203.107"/>
        <n v="881.45"/>
        <n v="1396.614"/>
        <n v="2076.9155"/>
        <n v="1638.72"/>
        <n v="1610.91"/>
        <n v="7465.635"/>
        <n v="5126.76"/>
        <n v="8015.211"/>
        <n v="626.751"/>
        <n v="2743.596"/>
        <n v="336.8975"/>
        <n v="1659.744"/>
        <n v="1347.03"/>
        <n v="506.41"/>
        <n v="1764.09"/>
        <n v="4361.01"/>
        <n v="4230.996"/>
        <n v="2500.533"/>
        <n v="2463.885"/>
        <n v="4186.56"/>
        <n v="7290.45"/>
        <n v="1893.171"/>
        <n v="1772.658"/>
        <n v="5716.75"/>
        <n v="2269.4265"/>
        <n v="3135.024"/>
        <n v="532.2"/>
        <n v="479.38"/>
        <n v="286.488"/>
        <n v="3536.28"/>
        <n v="3164.58"/>
        <n v="6513.584"/>
        <n v="6765.14"/>
        <n v="3884.211"/>
        <n v="190.026"/>
        <n v="529.686"/>
        <n v="271.5665"/>
        <n v="3244.668"/>
        <n v="261.792"/>
        <n v="1749.4"/>
        <n v="7123.68"/>
        <n v="4511.987"/>
        <n v="6158.592"/>
        <n v="3803.355"/>
        <n v="2775"/>
        <n v="6512.022"/>
        <n v="1512.558"/>
        <n v="3928.7535"/>
        <n v="155.61"/>
        <n v="3746.781"/>
        <n v="382.095"/>
        <n v="2029.293"/>
        <n v="417.528"/>
        <n v="3086.3925"/>
        <n v="91.238"/>
        <n v="480.852"/>
        <n v="250.2825"/>
        <n v="705.09"/>
        <n v="1449.036"/>
        <n v="2010.314"/>
        <n v="203.908"/>
        <n v="475.912"/>
        <n v="8878.947"/>
        <n v="166.7535"/>
        <n v="7712.424"/>
        <n v="7133.71"/>
        <n v="507.984"/>
        <n v="596.12"/>
        <n v="1642.1795"/>
        <n v="6001.128"/>
        <n v="4482.176"/>
        <n v="9625.8845"/>
        <n v="1094.4"/>
        <n v="3809.025"/>
        <n v="2484.839"/>
        <n v="2116.177"/>
        <n v="2811.348"/>
        <n v="3153.415"/>
        <n v="987.696"/>
        <n v="2748.24"/>
        <n v="5467.319"/>
        <n v="296.622"/>
        <n v="3026.8"/>
        <n v="1347.9455"/>
        <n v="1712.0785"/>
        <n v="2904.5775"/>
        <n v="7369.264"/>
        <n v="332.31"/>
        <n v="79.648"/>
        <n v="2262.159"/>
        <n v="3414.015"/>
        <n v="4912"/>
        <n v="268.5405"/>
        <n v="2984.85"/>
        <n v="6088.227"/>
        <n v="1126.656"/>
        <n v="2154.74"/>
        <n v="4723.628"/>
        <n v="1692.27"/>
        <n v="3441.5565"/>
        <n v="4056.39"/>
        <n v="744.048"/>
        <n v="9124.07"/>
        <n v="980.495"/>
        <n v="873.222"/>
        <n v="247.04"/>
        <n v="1487.619"/>
        <n v="3772.249"/>
        <n v="4312.5345"/>
        <n v="543.83"/>
        <n v="6248.6"/>
        <n v="254.505"/>
        <n v="4309.3045"/>
        <n v="4714.09"/>
        <n v="1504.61"/>
        <n v="305.316"/>
        <n v="571.387"/>
        <n v="713.016"/>
        <n v="584.63"/>
        <n v="1073.924"/>
        <n v="723.102"/>
        <n v="3420.7125"/>
        <n v="101.601"/>
        <n v="4599.27"/>
        <n v="712.81"/>
        <n v="1100.7"/>
        <n v="1473.798"/>
        <n v="4511.4"/>
        <n v="8145.28"/>
        <n v="2214.374"/>
        <n v="1037.16"/>
        <n v="7124.67"/>
        <n v="1336.94"/>
        <n v="1297.215"/>
        <n v="2336.278"/>
        <n v="1248.2145"/>
        <n v="4198.218"/>
        <n v="163.29"/>
        <n v="2557.97"/>
        <n v="2533.905"/>
        <n v="1828.386"/>
        <n v="3581.1"/>
        <n v="5395.885"/>
        <n v="450.9"/>
        <n v="8955.175"/>
        <n v="1642.34"/>
        <n v="581.94"/>
        <n v="7350.34"/>
        <n v="975.96"/>
        <n v="2340.2625"/>
        <n v="1800.858"/>
        <n v="479.18"/>
        <n v="874.08"/>
        <n v="1907.655"/>
        <n v="4199.16"/>
        <n v="1524.424"/>
        <n v="1867.833"/>
        <n v="3285.252"/>
        <n v="849.932"/>
        <n v="2312.289"/>
        <n v="346.45"/>
        <n v="4603.65"/>
        <n v="1327.02"/>
        <n v="432.81"/>
        <n v="554.078"/>
        <n v="2139.628"/>
        <n v="2832.6675"/>
        <n v="2592.873"/>
        <n v="3369.672"/>
        <n v="7578.3875"/>
        <n v="7523.928"/>
        <n v="8398.1235"/>
        <n v="6186.24"/>
        <n v="6284.383"/>
        <n v="2565.36"/>
        <n v="29.849"/>
        <n v="8269.5905"/>
        <n v="5404.32"/>
        <n v="695.1555"/>
        <n v="5032.4445"/>
        <n v="2621.088"/>
        <n v="2817.3165"/>
        <n v="1838.05"/>
        <n v="9294.325"/>
        <n v="585.0975"/>
        <n v="1174.89"/>
        <n v="909.225"/>
        <n v="2314.686"/>
        <n v="10216.3"/>
        <n v="154.66"/>
        <n v="393.4"/>
        <n v="3990.06"/>
        <n v="1855.992"/>
        <n v="81.7785"/>
        <n v="509.1075"/>
        <n v="2227.8585"/>
        <n v="203.74"/>
        <n v="4241.6075"/>
        <n v="2161.65"/>
        <n v="6176.304"/>
        <n v="4366.782"/>
        <n v="2749.53"/>
        <n v="1076.616"/>
        <n v="4938.66"/>
        <n v="177.57"/>
        <n v="4424.34"/>
        <n v="1061.397"/>
        <n v="5530.14"/>
        <n v="2440.053"/>
        <n v="152.75"/>
        <n v="521.856"/>
        <n v="698.724"/>
        <n v="454.005"/>
        <n v="1092.132"/>
        <n v="7804.224"/>
        <n v="290.99"/>
        <n v="2961.264"/>
        <n v="287.55"/>
        <n v="3960.09"/>
        <n v="3314.196"/>
        <n v="4138.395"/>
        <n v="4113.2245"/>
        <n v="1073.728"/>
        <n v="2515.422"/>
        <n v="5832.297"/>
        <n v="6166.45"/>
        <n v="4335.408"/>
        <n v="3708.64"/>
        <n v="270.6"/>
        <n v="5449.84"/>
        <n v="2819.484"/>
        <n v="1358.504"/>
        <n v="448.371"/>
        <n v="6088.446"/>
        <n v="2346.48"/>
        <n v="6473.974"/>
        <n v="5018.622"/>
        <n v="2947.01"/>
        <n v="4212.756"/>
        <n v="3511.105"/>
        <n v="5125.2"/>
        <n v="1982.97"/>
        <n v="257.72"/>
        <n v="2073.72"/>
        <n v="3270.299"/>
        <n v="561.9345"/>
        <n v="467.172"/>
        <n v="179.34"/>
        <n v="2285.928"/>
        <n v="864.1295"/>
        <n v="2761.479"/>
        <n v="1523.403"/>
        <n v="1189.932"/>
        <n v="4042.782"/>
        <n v="10028.979"/>
        <n v="5901.3375"/>
        <n v="167.3615"/>
        <n v="64.116"/>
        <n v="374.58"/>
        <n v="3590.307"/>
        <n v="161.785"/>
        <n v="7689.78"/>
        <n v="242.244"/>
        <n v="6537.186"/>
        <n v="389.94"/>
        <n v="1959.774"/>
        <n v="8654.462"/>
        <n v="2828.682"/>
        <n v="964.2"/>
        <n v="6188.562"/>
        <n v="1767.74"/>
        <n v="5062.86"/>
        <n v="3056.88"/>
        <n v="1410.27"/>
        <n v="2808"/>
        <n v="2036.583"/>
        <n v="1388.152"/>
        <n v="46.631"/>
        <n v="3185.028"/>
        <n v="838.44"/>
        <n v="1170.84"/>
        <n v="1932.645"/>
        <n v="3017.736"/>
        <n v="1403.52"/>
        <n v="3204.828"/>
        <n v="1624.8705"/>
        <n v="5404"/>
        <n v="6508.08"/>
        <n v="4271.949"/>
        <n v="1513.8"/>
        <n v="6553.48"/>
        <n v="3222.198"/>
        <n v="896.07"/>
        <n v="1074.536"/>
        <n v="965.124"/>
        <n v="7769.136"/>
        <n v="1451.736"/>
        <n v="2818.5"/>
        <n v="5110.4295"/>
        <n v="3119.724"/>
        <n v="2191.2065"/>
        <n v="10745.6"/>
        <n v="309.27"/>
        <n v="878.04"/>
        <n v="2879.375"/>
        <n v="478.08"/>
        <n v="4566.744"/>
        <n v="3306.78"/>
        <n v="73.854"/>
        <n v="2965.837"/>
        <n v="456.138"/>
        <n v="2074.608"/>
        <n v="1880.1915"/>
        <n v="5795.955"/>
        <n v="1346.31"/>
        <n v="1659.87"/>
        <n v="9505.6"/>
        <n v="8243.397"/>
        <n v="1433.55"/>
        <n v="889.596"/>
        <n v="1607.685"/>
        <n v="364.68"/>
        <n v="5591.28"/>
        <n v="1915.56"/>
        <n v="477.105"/>
        <n v="1060.647"/>
        <n v="9398.11"/>
        <n v="916.5"/>
        <n v="245.917"/>
        <n v="7664.391"/>
        <n v="6695.296"/>
        <n v="2100.96"/>
        <n v="1686.285"/>
        <n v="3167.1"/>
        <n v="2327.31"/>
        <n v="231.88"/>
        <n v="6981.17"/>
        <n v="1036.44"/>
        <n v="1038.312"/>
        <n v="3513.72"/>
        <n v="2347.87"/>
        <n v="2249.5"/>
        <n v="515.4985"/>
        <n v="184.086"/>
        <n v="3566.43"/>
        <n v="522.886"/>
        <n v="2572.752"/>
        <n v="922.64"/>
        <n v="1642.36"/>
        <n v="27.8715"/>
        <n v="3003.2"/>
        <n v="354.969"/>
        <n v="2730.438"/>
        <n v="7361.151"/>
        <n v="1836.616"/>
        <n v="249.039"/>
        <n v="425.752"/>
        <n v="3992.736"/>
        <n v="756.5895"/>
        <n v="2642.9"/>
        <n v="5512.185"/>
        <n v="4817.52"/>
        <n v="6649.6"/>
        <n v="123.4"/>
        <n v="251.541"/>
        <n v="590.967"/>
        <n v="2486.9955"/>
        <n v="2064.65"/>
        <n v="2766.96"/>
        <n v="359.4325"/>
        <n v="461.35"/>
        <n v="7098"/>
        <n v="2761.983"/>
        <n v="7216.58"/>
        <n v="644.814"/>
        <n v="4783.536"/>
        <n v="3886.83"/>
        <n v="3081.078"/>
        <n v="1753.703"/>
        <n v="2505.664"/>
        <n v="8726.4"/>
        <n v="7076.646"/>
        <n v="622.383"/>
        <n v="2854.332"/>
        <n v="3784.788"/>
        <n v="1161.45"/>
        <n v="173.44"/>
        <n v="1959.471"/>
        <n v="4705.26"/>
        <n v="183.426"/>
        <n v="891.9645"/>
        <n v="1220.598"/>
        <n v="215.28"/>
        <n v="3762"/>
        <n v="80.96"/>
        <n v="716.04"/>
        <n v="1099.95"/>
        <n v="10163.48"/>
        <n v="494.52"/>
        <n v="1861.218"/>
        <n v="4989.228"/>
        <n v="4381.533"/>
        <n v="1695.92"/>
        <n v="7253.316"/>
        <n v="900.252"/>
        <n v="2768.262"/>
        <n v="1019.592"/>
        <n v="1743.849"/>
        <n v="8502.462"/>
        <n v="4294.4655"/>
        <n v="1002.267"/>
        <n v="4430.166"/>
        <n v="6143.76"/>
        <n v="1681.329"/>
        <n v="1335.18"/>
        <n v="8261.694"/>
        <n v="1613.196"/>
        <n v="1747.77"/>
        <n v="7035.472"/>
        <n v="8608.46"/>
        <n v="486.59"/>
        <n v="1776.31"/>
        <n v="1194.25"/>
        <n v="462.8"/>
        <n v="4128.246"/>
        <n v="8573.76"/>
        <n v="1424.115"/>
        <n v="1165.068"/>
        <n v="568.48"/>
        <n v="377.082"/>
        <n v="1300.2"/>
        <n v="1282.1"/>
        <n v="7846.704"/>
        <n v="2154.98"/>
        <n v="4704.57"/>
        <n v="6854.859"/>
        <n v="2971.2675"/>
        <n v="4956.588"/>
        <n v="2347.105"/>
        <n v="163.899"/>
        <n v="3101.294"/>
        <n v="1897.29"/>
        <n v="6651.4795"/>
        <n v="664.35"/>
        <n v="2392.404"/>
        <n v="253.935"/>
        <n v="3686.21"/>
        <n v="2219.44"/>
        <n v="1640.004"/>
        <n v="6112.813"/>
        <n v="3570.57"/>
        <n v="10328.6"/>
        <n v="269.694"/>
        <n v="380.64"/>
        <n v="9505.567"/>
        <n v="2011.185"/>
        <n v="2504.52"/>
        <n v="317.98"/>
        <n v="1162.89"/>
        <n v="909.54"/>
        <n v="1137.538"/>
        <n v="6619.256"/>
        <n v="320.093"/>
        <n v="664.836"/>
        <n v="1934.658"/>
        <n v="5764.122"/>
        <n v="1045.14"/>
        <n v="2494.263"/>
        <n v="2019.339"/>
        <n v="2687.1225"/>
        <n v="1605.92"/>
        <n v="362.3295"/>
        <n v="7777.62"/>
        <n v="741.8205"/>
        <n v="3150.678"/>
        <n v="291.327"/>
        <n v="2276.064"/>
        <n v="1896.5895"/>
        <n v="1385.2615"/>
        <n v="289.728"/>
        <n v="1009.179"/>
        <n v="3612.6"/>
        <n v="1377.663"/>
        <n v="5782.428"/>
        <n v="1118.772"/>
        <n v="3015.072"/>
        <n v="505.98"/>
        <n v="386"/>
        <n v="1993.0905"/>
        <n v="960.636"/>
        <n v="7720.839"/>
        <n v="1022.428"/>
        <n v="2785.433"/>
        <n v="9057.11"/>
        <n v="273.241"/>
        <n v="1751.697"/>
        <n v="6393.5"/>
        <n v="7408.62"/>
        <n v="366.7665"/>
        <n v="8917.02"/>
        <n v="537.48"/>
        <n v="2915.514"/>
        <n v="3982.913"/>
        <n v="2159.445"/>
        <n v="3466.368"/>
        <n v="265.82"/>
        <n v="71.38"/>
        <n v="2304.843"/>
        <n v="1798.6255"/>
        <n v="684.931"/>
        <n v="7443.484"/>
        <n v="256.63"/>
        <n v="1611.162"/>
        <n v="1109.9325"/>
        <n v="136.23"/>
        <n v="422.415"/>
        <n v="1908.1225"/>
        <n v="1556.792"/>
        <n v="277.0065"/>
        <n v="473.22"/>
        <n v="1470.204"/>
        <n v="1062.245"/>
        <n v="1954.701"/>
        <n v="4809.47"/>
        <n v="1873.009"/>
        <n v="925.395"/>
        <n v="2937.48"/>
        <n v="4460.288"/>
        <n v="1734.612"/>
        <n v="4106.214"/>
        <n v="8862.21"/>
        <n v="301.0785"/>
        <n v="4290.903"/>
        <n v="8984.925"/>
        <n v="876.12"/>
        <n v="72.59"/>
        <n v="160.28"/>
        <n v="626.1695"/>
        <n v="1088.04"/>
        <n v="8122.5"/>
        <n v="4496.5935"/>
        <n v="1060.074"/>
        <n v="3268.456"/>
        <n v="5414.472"/>
        <n v="1655.42"/>
        <n v="2405.229"/>
        <n v="959.1825"/>
        <n v="2737.935"/>
        <n v="795.34"/>
        <n v="4696.704"/>
        <n v="6700.46"/>
        <n v="908.81"/>
        <n v="6074.8225"/>
        <n v="3083.68"/>
        <n v="948.26"/>
        <n v="7212.9225"/>
        <n v="57.273"/>
        <n v="3497.325"/>
        <n v="668.96"/>
        <n v="3347.47"/>
        <n v="95.361"/>
        <n v="343.728"/>
        <n v="105.42"/>
        <n v="5101.3765"/>
        <n v="2549.705"/>
        <n v="288.81"/>
        <n v="6648.3375"/>
        <n v="3840.584"/>
        <n v="544.05"/>
        <n v="2680.672"/>
        <n v="4736.34"/>
        <n v="7947.126"/>
        <n v="1854.666"/>
        <n v="5195.398"/>
        <n v="85.3995"/>
        <n v="1811.08"/>
        <n v="934.15"/>
        <n v="5453.514"/>
        <n v="733.7625"/>
        <n v="2324.8"/>
        <n v="606.42"/>
        <n v="2116.95"/>
        <n v="507.8795"/>
        <n v="4788.342"/>
        <n v="1982.304"/>
        <n v="301.3305"/>
        <n v="7678.935"/>
        <n v="3427.02"/>
        <n v="7822.6895"/>
        <n v="78.812"/>
        <n v="236.952"/>
        <n v="3944.49"/>
        <n v="10719.54"/>
        <n v="6834.408"/>
        <n v="7994.34"/>
        <n v="7378.137"/>
        <n v="1282.31"/>
        <n v="240.0145"/>
        <n v="1474.76"/>
        <n v="1709.1165"/>
        <n v="1197.56"/>
        <n v="2047.14"/>
        <n v="3338.5875"/>
        <n v="2085.5065"/>
        <n v="2398.56"/>
        <n v="215.384"/>
        <n v="7575.489"/>
        <n v="1889.265"/>
        <n v="8069.76"/>
        <n v="855.4"/>
        <n v="2013.599"/>
        <n v="899"/>
        <n v="7339.824"/>
        <n v="3749.256"/>
        <n v="4509.1085"/>
        <n v="139.13"/>
        <n v="3263.34"/>
        <n v="4174.3"/>
        <n v="537.738"/>
        <n v="3722.337"/>
        <n v="5904.372"/>
        <n v="1378.16"/>
        <n v="2811.816"/>
        <n v="4921.18"/>
        <n v="3469.284"/>
        <n v="46.988"/>
        <n v="7468.1"/>
        <n v="8607.15"/>
        <n v="6499.083"/>
        <n v="3371.76"/>
        <n v="3061.47"/>
        <n v="276.76"/>
        <n v="2351.304"/>
        <n v="240.3"/>
        <n v="351.288"/>
        <n v="83.572"/>
        <n v="1009.64"/>
        <n v="4221.117"/>
        <n v="1057.617"/>
        <n v="3752.64"/>
        <n v="3807.486"/>
        <n v="4619.5175"/>
        <n v="3279.771"/>
        <n v="2667.6"/>
        <n v="4922.4"/>
        <n v="4158.3105"/>
        <n v="2168.928"/>
        <n v="5429.16"/>
        <n v="1476.585"/>
        <n v="3667.14"/>
        <n v="1183.4805"/>
        <n v="751.451"/>
        <n v="551.3515"/>
        <n v="5173.168"/>
        <n v="32.262"/>
        <n v="359.442"/>
        <n v="366.36"/>
        <n v="1235.556"/>
        <n v="1684.496"/>
        <n v="1372.56"/>
        <n v="7628.742"/>
        <n v="4601.4"/>
        <n v="4996.98"/>
        <n v="908.02"/>
        <n v="776.8625"/>
        <n v="1699.32"/>
        <n v="1793.772"/>
        <n v="5521.124"/>
        <n v="580.295"/>
        <n v="205.276"/>
        <n v="638.28"/>
        <n v="2375.648"/>
        <n v="1163.028"/>
        <n v="1970.64"/>
        <n v="6725.8"/>
        <n v="1135.575"/>
        <n v="21.75"/>
        <n v="1745.172"/>
        <n v="1314.355"/>
        <n v="327.843"/>
        <n v="2757.78"/>
        <n v="9541.8"/>
        <n v="3592.08"/>
        <n v="8366.08"/>
        <n v="304.02"/>
        <n v="5032.5015"/>
        <n v="750.006"/>
        <n v="5159.88"/>
        <n v="5972.8305"/>
        <n v="2311.54"/>
        <n v="4069.89"/>
        <n v="893.376"/>
        <n v="2080"/>
        <n v="6281.77"/>
        <n v="649.143"/>
        <n v="1588.08"/>
        <n v="1608.825"/>
        <n v="2910.762"/>
        <n v="114.19"/>
        <n v="1871.7595"/>
        <n v="1621.84"/>
        <n v="2476.8405"/>
        <n v="1927.44"/>
        <n v="312.2"/>
        <n v="309.96"/>
        <n v="3480.597"/>
        <n v="3822.0875"/>
        <n v="710.752"/>
        <n v="451.764"/>
        <n v="4257.288"/>
        <n v="6323.409"/>
        <n v="2244.24"/>
        <n v="2659.752"/>
        <n v="3311.985"/>
        <n v="2366.4"/>
        <n v="6429.28"/>
        <n v="2692.9"/>
        <n v="1227.476"/>
        <n v="5608.5975"/>
        <n v="7342.968"/>
        <n v="302.6595"/>
        <n v="7396.092"/>
        <n v="920.3715"/>
        <n v="1865.61"/>
        <n v="272.16"/>
        <n v="3467.915"/>
        <n v="4121.55"/>
        <n v="405.5775"/>
        <n v="3756.48"/>
        <n v="6319.666"/>
        <n v="2814.2325"/>
        <n v="548.2165"/>
        <n v="2939.382"/>
        <n v="5071.185"/>
        <n v="379.134"/>
        <n v="1998.072"/>
        <n v="4826.57"/>
        <n v="4084.5645"/>
        <n v="1520.505"/>
        <n v="1675.8665"/>
        <n v="377.19"/>
        <n v="1532.856"/>
        <n v="3688.32"/>
        <n v="2673.369"/>
        <n v="4395.024"/>
        <n v="7019.36"/>
        <n v="1745.64"/>
        <n v="9925.182"/>
        <n v="1483.11"/>
        <n v="1331.226"/>
        <n v="7646.56"/>
        <n v="3860.514"/>
        <n v="134.5295"/>
        <n v="1977.102"/>
        <n v="2813.076"/>
        <n v="3174.6"/>
        <n v="963.666"/>
        <n v="4186.611"/>
        <n v="2117.246"/>
        <n v="3723.165"/>
        <n v="3552.12"/>
        <n v="5571.67"/>
        <n v="1610.0315"/>
        <n v="7709.687"/>
        <n v="745.56"/>
        <n v="2372.34"/>
        <n v="1494.9"/>
        <n v="755.616"/>
        <n v="4625.93"/>
        <n v="1837.341"/>
        <n v="3630.121"/>
        <n v="4531.9275"/>
        <n v="3089.9625"/>
        <n v="209.3295"/>
        <n v="2428.705"/>
        <n v="5225.256"/>
        <n v="2726.64"/>
        <n v="3151.936"/>
        <n v="365.7465"/>
        <n v="6516.6"/>
        <n v="7744.16"/>
        <n v="110.16"/>
        <n v="2469.012"/>
        <n v="5727.436"/>
        <n v="1470.04"/>
        <n v="6307.335"/>
        <n v="1623.72"/>
        <n v="421.056"/>
        <n v="606.252"/>
        <n v="2252.25"/>
        <n v="521.37"/>
        <n v="1666.604"/>
        <n v="3217.44"/>
        <n v="8005.86"/>
        <n v="1802.85"/>
        <n v="3897.216"/>
        <n v="1605.956"/>
        <n v="147.4"/>
        <n v="2126.024"/>
        <n v="868.1385"/>
        <n v="2144.88"/>
        <n v="6960.528"/>
        <n v="909.321"/>
        <n v="4798.26"/>
        <n v="740.962"/>
        <n v="7012.585"/>
        <n v="1888.96"/>
        <n v="1148.24"/>
        <n v="799.6"/>
        <n v="5524.649"/>
        <n v="2302.56"/>
        <n v="1311.687"/>
        <n v="2791.024"/>
        <n v="708.833"/>
        <n v="8970.56"/>
        <n v="1006.45"/>
        <n v="1661.816"/>
        <n v="3209.175"/>
        <n v="272.5"/>
        <n v="3493.511"/>
        <n v="2878.07"/>
      </sharedItems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 containsBlank="1" count="4">
        <s v="FREESHIP"/>
        <s v="SAVE10"/>
        <s v="WINTER15"/>
        <m/>
      </sharedItems>
    </cacheField>
    <cacheField name="Returned" numFmtId="0">
      <sharedItems containsSemiMixedTypes="0" containsString="0" containsNumber="1" containsInteger="1" minValue="0" maxValue="1" count="2">
        <n v="0"/>
        <n v="1"/>
      </sharedItems>
    </cacheField>
    <cacheField name="OrderID" numFmtId="0">
      <sharedItems count="1500">
        <s v="REG100000"/>
        <s v="REG100001"/>
        <s v="REG100002"/>
        <s v="REG100003"/>
        <s v="REG100004"/>
        <s v="REG100005"/>
        <s v="REG100006"/>
        <s v="REG100007"/>
        <s v="REG100008"/>
        <s v="REG100009"/>
        <s v="REG100010"/>
        <s v="REG100011"/>
        <s v="REG100012"/>
        <s v="REG100013"/>
        <s v="REG100014"/>
        <s v="REG100015"/>
        <s v="REG100016"/>
        <s v="REG100017"/>
        <s v="REG100018"/>
        <s v="REG100019"/>
        <s v="REG100020"/>
        <s v="REG100021"/>
        <s v="REG100022"/>
        <s v="REG100023"/>
        <s v="REG100024"/>
        <s v="REG100025"/>
        <s v="REG100026"/>
        <s v="REG100027"/>
        <s v="REG100028"/>
        <s v="REG100029"/>
        <s v="REG100030"/>
        <s v="REG100031"/>
        <s v="REG100032"/>
        <s v="REG100033"/>
        <s v="REG100034"/>
        <s v="REG100035"/>
        <s v="REG100036"/>
        <s v="REG100037"/>
        <s v="REG100038"/>
        <s v="REG100039"/>
        <s v="REG100040"/>
        <s v="REG100041"/>
        <s v="REG100042"/>
        <s v="REG100043"/>
        <s v="REG100044"/>
        <s v="REG100045"/>
        <s v="REG100046"/>
        <s v="REG100047"/>
        <s v="REG100048"/>
        <s v="REG100049"/>
        <s v="REG100050"/>
        <s v="REG100051"/>
        <s v="REG100052"/>
        <s v="REG100053"/>
        <s v="REG100054"/>
        <s v="REG100055"/>
        <s v="REG100056"/>
        <s v="REG100057"/>
        <s v="REG100058"/>
        <s v="REG100059"/>
        <s v="REG100060"/>
        <s v="REG100061"/>
        <s v="REG100062"/>
        <s v="REG100063"/>
        <s v="REG100064"/>
        <s v="REG100065"/>
        <s v="REG100066"/>
        <s v="REG100067"/>
        <s v="REG100068"/>
        <s v="REG100069"/>
        <s v="REG100070"/>
        <s v="REG100071"/>
        <s v="REG100072"/>
        <s v="REG100073"/>
        <s v="REG100074"/>
        <s v="REG100075"/>
        <s v="REG100076"/>
        <s v="REG100077"/>
        <s v="REG100078"/>
        <s v="REG100079"/>
        <s v="REG100080"/>
        <s v="REG100081"/>
        <s v="REG100082"/>
        <s v="REG100083"/>
        <s v="REG100084"/>
        <s v="REG100085"/>
        <s v="REG100086"/>
        <s v="REG100087"/>
        <s v="REG100088"/>
        <s v="REG100089"/>
        <s v="REG100090"/>
        <s v="REG100091"/>
        <s v="REG100092"/>
        <s v="REG100093"/>
        <s v="REG100094"/>
        <s v="REG100095"/>
        <s v="REG100096"/>
        <s v="REG100097"/>
        <s v="REG100098"/>
        <s v="REG100099"/>
        <s v="REG100100"/>
        <s v="REG100101"/>
        <s v="REG100102"/>
        <s v="REG100103"/>
        <s v="REG100104"/>
        <s v="REG100105"/>
        <s v="REG100106"/>
        <s v="REG100107"/>
        <s v="REG100108"/>
        <s v="REG100109"/>
        <s v="REG100110"/>
        <s v="REG100111"/>
        <s v="REG100112"/>
        <s v="REG100113"/>
        <s v="REG100114"/>
        <s v="REG100115"/>
        <s v="REG100116"/>
        <s v="REG100117"/>
        <s v="REG100118"/>
        <s v="REG100119"/>
        <s v="REG100120"/>
        <s v="REG100121"/>
        <s v="REG100122"/>
        <s v="REG100123"/>
        <s v="REG100124"/>
        <s v="REG100125"/>
        <s v="REG100126"/>
        <s v="REG100127"/>
        <s v="REG100128"/>
        <s v="REG100129"/>
        <s v="REG100130"/>
        <s v="REG100131"/>
        <s v="REG100132"/>
        <s v="REG100133"/>
        <s v="REG100134"/>
        <s v="REG100135"/>
        <s v="REG100136"/>
        <s v="REG100137"/>
        <s v="REG100138"/>
        <s v="REG100139"/>
        <s v="REG100140"/>
        <s v="REG100141"/>
        <s v="REG100142"/>
        <s v="REG100143"/>
        <s v="REG100144"/>
        <s v="REG100145"/>
        <s v="REG100146"/>
        <s v="REG100147"/>
        <s v="REG100148"/>
        <s v="REG100149"/>
        <s v="REG100150"/>
        <s v="REG100151"/>
        <s v="REG100152"/>
        <s v="REG100153"/>
        <s v="REG100154"/>
        <s v="REG100155"/>
        <s v="REG100156"/>
        <s v="REG100157"/>
        <s v="REG100158"/>
        <s v="REG100159"/>
        <s v="REG100160"/>
        <s v="REG100161"/>
        <s v="REG100162"/>
        <s v="REG100163"/>
        <s v="REG100164"/>
        <s v="REG100165"/>
        <s v="REG100166"/>
        <s v="REG100167"/>
        <s v="REG100168"/>
        <s v="REG100169"/>
        <s v="REG100170"/>
        <s v="REG100171"/>
        <s v="REG100172"/>
        <s v="REG100173"/>
        <s v="REG100174"/>
        <s v="REG100175"/>
        <s v="REG100176"/>
        <s v="REG100177"/>
        <s v="REG100178"/>
        <s v="REG100179"/>
        <s v="REG100180"/>
        <s v="REG100181"/>
        <s v="REG100182"/>
        <s v="REG100183"/>
        <s v="REG100184"/>
        <s v="REG100185"/>
        <s v="REG100186"/>
        <s v="REG100187"/>
        <s v="REG100188"/>
        <s v="REG100189"/>
        <s v="REG100190"/>
        <s v="REG100191"/>
        <s v="REG100192"/>
        <s v="REG100193"/>
        <s v="REG100194"/>
        <s v="REG100195"/>
        <s v="REG100196"/>
        <s v="REG100197"/>
        <s v="REG100198"/>
        <s v="REG100199"/>
        <s v="REG100200"/>
        <s v="REG100201"/>
        <s v="REG100202"/>
        <s v="REG100203"/>
        <s v="REG100204"/>
        <s v="REG100205"/>
        <s v="REG100206"/>
        <s v="REG100207"/>
        <s v="REG100208"/>
        <s v="REG100209"/>
        <s v="REG100210"/>
        <s v="REG100211"/>
        <s v="REG100212"/>
        <s v="REG100213"/>
        <s v="REG100214"/>
        <s v="REG100215"/>
        <s v="REG100216"/>
        <s v="REG100217"/>
        <s v="REG100218"/>
        <s v="REG100219"/>
        <s v="REG100220"/>
        <s v="REG100221"/>
        <s v="REG100222"/>
        <s v="REG100223"/>
        <s v="REG100224"/>
        <s v="REG100225"/>
        <s v="REG100226"/>
        <s v="REG100227"/>
        <s v="REG100228"/>
        <s v="REG100229"/>
        <s v="REG100230"/>
        <s v="REG100231"/>
        <s v="REG100232"/>
        <s v="REG100233"/>
        <s v="REG100234"/>
        <s v="REG100235"/>
        <s v="REG100236"/>
        <s v="REG100237"/>
        <s v="REG100238"/>
        <s v="REG100239"/>
        <s v="REG100240"/>
        <s v="REG100241"/>
        <s v="REG100242"/>
        <s v="REG100243"/>
        <s v="REG100244"/>
        <s v="REG100245"/>
        <s v="REG100246"/>
        <s v="REG100247"/>
        <s v="REG100248"/>
        <s v="REG100249"/>
        <s v="REG100250"/>
        <s v="REG100251"/>
        <s v="REG100252"/>
        <s v="REG100253"/>
        <s v="REG100254"/>
        <s v="REG100255"/>
        <s v="REG100256"/>
        <s v="REG100257"/>
        <s v="REG100258"/>
        <s v="REG100259"/>
        <s v="REG100260"/>
        <s v="REG100261"/>
        <s v="REG100262"/>
        <s v="REG100263"/>
        <s v="REG100264"/>
        <s v="REG100265"/>
        <s v="REG100266"/>
        <s v="REG100267"/>
        <s v="REG100268"/>
        <s v="REG100269"/>
        <s v="REG100270"/>
        <s v="REG100271"/>
        <s v="REG100272"/>
        <s v="REG100273"/>
        <s v="REG100274"/>
        <s v="REG100275"/>
        <s v="REG100276"/>
        <s v="REG100277"/>
        <s v="REG100278"/>
        <s v="REG100279"/>
        <s v="REG100280"/>
        <s v="REG100281"/>
        <s v="REG100282"/>
        <s v="REG100283"/>
        <s v="REG100284"/>
        <s v="REG100285"/>
        <s v="REG100286"/>
        <s v="REG100287"/>
        <s v="REG100288"/>
        <s v="REG100289"/>
        <s v="REG100290"/>
        <s v="REG100291"/>
        <s v="REG100292"/>
        <s v="REG100293"/>
        <s v="REG100294"/>
        <s v="REG100295"/>
        <s v="REG100296"/>
        <s v="REG100297"/>
        <s v="REG100298"/>
        <s v="REG100299"/>
        <s v="REG100300"/>
        <s v="REG100301"/>
        <s v="REG100302"/>
        <s v="REG100303"/>
        <s v="REG100304"/>
        <s v="REG100305"/>
        <s v="REG100306"/>
        <s v="REG100307"/>
        <s v="REG100308"/>
        <s v="REG100309"/>
        <s v="REG100310"/>
        <s v="REG100311"/>
        <s v="REG100312"/>
        <s v="REG100313"/>
        <s v="REG100314"/>
        <s v="REG100315"/>
        <s v="REG100316"/>
        <s v="REG100317"/>
        <s v="REG100318"/>
        <s v="REG100319"/>
        <s v="REG100320"/>
        <s v="REG100321"/>
        <s v="REG100322"/>
        <s v="REG100323"/>
        <s v="REG100324"/>
        <s v="REG100325"/>
        <s v="REG100326"/>
        <s v="REG100327"/>
        <s v="REG100328"/>
        <s v="REG100329"/>
        <s v="REG100330"/>
        <s v="REG100331"/>
        <s v="REG100332"/>
        <s v="REG100333"/>
        <s v="REG100334"/>
        <s v="REG100335"/>
        <s v="REG100336"/>
        <s v="REG100337"/>
        <s v="REG100338"/>
        <s v="REG100339"/>
        <s v="REG100340"/>
        <s v="REG100341"/>
        <s v="REG100342"/>
        <s v="REG100343"/>
        <s v="REG100344"/>
        <s v="REG100345"/>
        <s v="REG100346"/>
        <s v="REG100347"/>
        <s v="REG100348"/>
        <s v="REG100349"/>
        <s v="REG100350"/>
        <s v="REG100351"/>
        <s v="REG100352"/>
        <s v="REG100353"/>
        <s v="REG100354"/>
        <s v="REG100355"/>
        <s v="REG100356"/>
        <s v="REG100357"/>
        <s v="REG100358"/>
        <s v="REG100359"/>
        <s v="REG100360"/>
        <s v="REG100361"/>
        <s v="REG100362"/>
        <s v="REG100363"/>
        <s v="REG100364"/>
        <s v="REG100365"/>
        <s v="REG100366"/>
        <s v="REG100367"/>
        <s v="REG100368"/>
        <s v="REG100369"/>
        <s v="REG100370"/>
        <s v="REG100371"/>
        <s v="REG100372"/>
        <s v="REG100373"/>
        <s v="REG100374"/>
        <s v="REG100375"/>
        <s v="REG100376"/>
        <s v="REG100377"/>
        <s v="REG100378"/>
        <s v="REG100379"/>
        <s v="REG100380"/>
        <s v="REG100381"/>
        <s v="REG100382"/>
        <s v="REG100383"/>
        <s v="REG100384"/>
        <s v="REG100385"/>
        <s v="REG100386"/>
        <s v="REG100387"/>
        <s v="REG100388"/>
        <s v="REG100389"/>
        <s v="REG100390"/>
        <s v="REG100391"/>
        <s v="REG100392"/>
        <s v="REG100393"/>
        <s v="REG100394"/>
        <s v="REG100395"/>
        <s v="REG100396"/>
        <s v="REG100397"/>
        <s v="REG100398"/>
        <s v="REG100399"/>
        <s v="REG100400"/>
        <s v="REG100401"/>
        <s v="REG100402"/>
        <s v="REG100403"/>
        <s v="REG100404"/>
        <s v="REG100405"/>
        <s v="REG100406"/>
        <s v="REG100407"/>
        <s v="REG100408"/>
        <s v="REG100409"/>
        <s v="REG100410"/>
        <s v="REG100411"/>
        <s v="REG100412"/>
        <s v="REG100413"/>
        <s v="REG100414"/>
        <s v="REG100415"/>
        <s v="REG100416"/>
        <s v="REG100417"/>
        <s v="REG100418"/>
        <s v="REG100419"/>
        <s v="REG100420"/>
        <s v="REG100421"/>
        <s v="REG100422"/>
        <s v="REG100423"/>
        <s v="REG100424"/>
        <s v="REG100425"/>
        <s v="REG100426"/>
        <s v="REG100427"/>
        <s v="REG100428"/>
        <s v="REG100429"/>
        <s v="REG100430"/>
        <s v="REG100431"/>
        <s v="REG100432"/>
        <s v="REG100433"/>
        <s v="REG100434"/>
        <s v="REG100435"/>
        <s v="REG100436"/>
        <s v="REG100437"/>
        <s v="REG100438"/>
        <s v="REG100439"/>
        <s v="REG100440"/>
        <s v="REG100441"/>
        <s v="REG100442"/>
        <s v="REG100443"/>
        <s v="REG100444"/>
        <s v="REG100445"/>
        <s v="REG100446"/>
        <s v="REG100447"/>
        <s v="REG100448"/>
        <s v="REG100449"/>
        <s v="REG100450"/>
        <s v="REG100451"/>
        <s v="REG100452"/>
        <s v="REG100453"/>
        <s v="REG100454"/>
        <s v="REG100455"/>
        <s v="REG100456"/>
        <s v="REG100457"/>
        <s v="REG100458"/>
        <s v="REG100459"/>
        <s v="REG100460"/>
        <s v="REG100461"/>
        <s v="REG100462"/>
        <s v="REG100463"/>
        <s v="REG100464"/>
        <s v="REG100465"/>
        <s v="REG100466"/>
        <s v="REG100467"/>
        <s v="REG100468"/>
        <s v="REG100469"/>
        <s v="REG100470"/>
        <s v="REG100471"/>
        <s v="REG100472"/>
        <s v="REG100473"/>
        <s v="REG100474"/>
        <s v="REG100475"/>
        <s v="REG100476"/>
        <s v="REG100477"/>
        <s v="REG100478"/>
        <s v="REG100479"/>
        <s v="REG100480"/>
        <s v="REG100481"/>
        <s v="REG100482"/>
        <s v="REG100483"/>
        <s v="REG100484"/>
        <s v="REG100485"/>
        <s v="REG100486"/>
        <s v="REG100487"/>
        <s v="REG100488"/>
        <s v="REG100489"/>
        <s v="REG100490"/>
        <s v="REG100491"/>
        <s v="REG100492"/>
        <s v="REG100493"/>
        <s v="REG100494"/>
        <s v="REG100495"/>
        <s v="REG100496"/>
        <s v="REG100497"/>
        <s v="REG100498"/>
        <s v="REG100499"/>
        <s v="REG100500"/>
        <s v="REG100501"/>
        <s v="REG100502"/>
        <s v="REG100503"/>
        <s v="REG100504"/>
        <s v="REG100505"/>
        <s v="REG100506"/>
        <s v="REG100507"/>
        <s v="REG100508"/>
        <s v="REG100509"/>
        <s v="REG100510"/>
        <s v="REG100511"/>
        <s v="REG100512"/>
        <s v="REG100513"/>
        <s v="REG100514"/>
        <s v="REG100515"/>
        <s v="REG100516"/>
        <s v="REG100517"/>
        <s v="REG100518"/>
        <s v="REG100519"/>
        <s v="REG100520"/>
        <s v="REG100521"/>
        <s v="REG100522"/>
        <s v="REG100523"/>
        <s v="REG100524"/>
        <s v="REG100525"/>
        <s v="REG100526"/>
        <s v="REG100527"/>
        <s v="REG100528"/>
        <s v="REG100529"/>
        <s v="REG100530"/>
        <s v="REG100531"/>
        <s v="REG100532"/>
        <s v="REG100533"/>
        <s v="REG100534"/>
        <s v="REG100535"/>
        <s v="REG100536"/>
        <s v="REG100537"/>
        <s v="REG100538"/>
        <s v="REG100539"/>
        <s v="REG100540"/>
        <s v="REG100541"/>
        <s v="REG100542"/>
        <s v="REG100543"/>
        <s v="REG100544"/>
        <s v="REG100545"/>
        <s v="REG100546"/>
        <s v="REG100547"/>
        <s v="REG100548"/>
        <s v="REG100549"/>
        <s v="REG100550"/>
        <s v="REG100551"/>
        <s v="REG100552"/>
        <s v="REG100553"/>
        <s v="REG100554"/>
        <s v="REG100555"/>
        <s v="REG100556"/>
        <s v="REG100557"/>
        <s v="REG100558"/>
        <s v="REG100559"/>
        <s v="REG100560"/>
        <s v="REG100561"/>
        <s v="REG100562"/>
        <s v="REG100563"/>
        <s v="REG100564"/>
        <s v="REG100565"/>
        <s v="REG100566"/>
        <s v="REG100567"/>
        <s v="REG100568"/>
        <s v="REG100569"/>
        <s v="REG100570"/>
        <s v="REG100571"/>
        <s v="REG100572"/>
        <s v="REG100573"/>
        <s v="REG100574"/>
        <s v="REG100575"/>
        <s v="REG100576"/>
        <s v="REG100577"/>
        <s v="REG100578"/>
        <s v="REG100579"/>
        <s v="REG100580"/>
        <s v="REG100581"/>
        <s v="REG100582"/>
        <s v="REG100583"/>
        <s v="REG100584"/>
        <s v="REG100585"/>
        <s v="REG100586"/>
        <s v="REG100587"/>
        <s v="REG100588"/>
        <s v="REG100589"/>
        <s v="REG100590"/>
        <s v="REG100591"/>
        <s v="REG100592"/>
        <s v="REG100593"/>
        <s v="REG100594"/>
        <s v="REG100595"/>
        <s v="REG100596"/>
        <s v="REG100597"/>
        <s v="REG100598"/>
        <s v="REG100599"/>
        <s v="REG100600"/>
        <s v="REG100601"/>
        <s v="REG100602"/>
        <s v="REG100603"/>
        <s v="REG100604"/>
        <s v="REG100605"/>
        <s v="REG100606"/>
        <s v="REG100607"/>
        <s v="REG100608"/>
        <s v="REG100609"/>
        <s v="REG100610"/>
        <s v="REG100611"/>
        <s v="REG100612"/>
        <s v="REG100613"/>
        <s v="REG100614"/>
        <s v="REG100615"/>
        <s v="REG100616"/>
        <s v="REG100617"/>
        <s v="REG100618"/>
        <s v="REG100619"/>
        <s v="REG100620"/>
        <s v="REG100621"/>
        <s v="REG100622"/>
        <s v="REG100623"/>
        <s v="REG100624"/>
        <s v="REG100625"/>
        <s v="REG100626"/>
        <s v="REG100627"/>
        <s v="REG100628"/>
        <s v="REG100629"/>
        <s v="REG100630"/>
        <s v="REG100631"/>
        <s v="REG100632"/>
        <s v="REG100633"/>
        <s v="REG100634"/>
        <s v="REG100635"/>
        <s v="REG100636"/>
        <s v="REG100637"/>
        <s v="REG100638"/>
        <s v="REG100639"/>
        <s v="REG100640"/>
        <s v="REG100641"/>
        <s v="REG100642"/>
        <s v="REG100643"/>
        <s v="REG100644"/>
        <s v="REG100645"/>
        <s v="REG100646"/>
        <s v="REG100647"/>
        <s v="REG100648"/>
        <s v="REG100649"/>
        <s v="REG100650"/>
        <s v="REG100651"/>
        <s v="REG100652"/>
        <s v="REG100653"/>
        <s v="REG100654"/>
        <s v="REG100655"/>
        <s v="REG100656"/>
        <s v="REG100657"/>
        <s v="REG100658"/>
        <s v="REG100659"/>
        <s v="REG100660"/>
        <s v="REG100661"/>
        <s v="REG100662"/>
        <s v="REG100663"/>
        <s v="REG100664"/>
        <s v="REG100665"/>
        <s v="REG100666"/>
        <s v="REG100667"/>
        <s v="REG100668"/>
        <s v="REG100669"/>
        <s v="REG100670"/>
        <s v="REG100671"/>
        <s v="REG100672"/>
        <s v="REG100673"/>
        <s v="REG100674"/>
        <s v="REG100675"/>
        <s v="REG100676"/>
        <s v="REG100677"/>
        <s v="REG100678"/>
        <s v="REG100679"/>
        <s v="REG100680"/>
        <s v="REG100681"/>
        <s v="REG100682"/>
        <s v="REG100683"/>
        <s v="REG100684"/>
        <s v="REG100685"/>
        <s v="REG100686"/>
        <s v="REG100687"/>
        <s v="REG100688"/>
        <s v="REG100689"/>
        <s v="REG100690"/>
        <s v="REG100691"/>
        <s v="REG100692"/>
        <s v="REG100693"/>
        <s v="REG100694"/>
        <s v="REG100695"/>
        <s v="REG100696"/>
        <s v="REG100697"/>
        <s v="REG100698"/>
        <s v="REG100699"/>
        <s v="REG100700"/>
        <s v="REG100701"/>
        <s v="REG100702"/>
        <s v="REG100703"/>
        <s v="REG100704"/>
        <s v="REG100705"/>
        <s v="REG100706"/>
        <s v="REG100707"/>
        <s v="REG100708"/>
        <s v="REG100709"/>
        <s v="REG100710"/>
        <s v="REG100711"/>
        <s v="REG100712"/>
        <s v="REG100713"/>
        <s v="REG100714"/>
        <s v="REG100715"/>
        <s v="REG100716"/>
        <s v="REG100717"/>
        <s v="REG100718"/>
        <s v="REG100719"/>
        <s v="REG100720"/>
        <s v="REG100721"/>
        <s v="REG100722"/>
        <s v="REG100723"/>
        <s v="REG100724"/>
        <s v="REG100725"/>
        <s v="REG100726"/>
        <s v="REG100727"/>
        <s v="REG100728"/>
        <s v="REG100729"/>
        <s v="REG100730"/>
        <s v="REG100731"/>
        <s v="REG100732"/>
        <s v="REG100733"/>
        <s v="REG100734"/>
        <s v="REG100735"/>
        <s v="REG100736"/>
        <s v="REG100737"/>
        <s v="REG100738"/>
        <s v="REG100739"/>
        <s v="REG100740"/>
        <s v="REG100741"/>
        <s v="REG100742"/>
        <s v="REG100743"/>
        <s v="REG100744"/>
        <s v="REG100745"/>
        <s v="REG100746"/>
        <s v="REG100747"/>
        <s v="REG100748"/>
        <s v="REG100749"/>
        <s v="REG100750"/>
        <s v="REG100751"/>
        <s v="REG100752"/>
        <s v="REG100753"/>
        <s v="REG100754"/>
        <s v="REG100755"/>
        <s v="REG100756"/>
        <s v="REG100757"/>
        <s v="REG100758"/>
        <s v="REG100759"/>
        <s v="REG100760"/>
        <s v="REG100761"/>
        <s v="REG100762"/>
        <s v="REG100763"/>
        <s v="REG100764"/>
        <s v="REG100765"/>
        <s v="REG100766"/>
        <s v="REG100767"/>
        <s v="REG100768"/>
        <s v="REG100769"/>
        <s v="REG100770"/>
        <s v="REG100771"/>
        <s v="REG100772"/>
        <s v="REG100773"/>
        <s v="REG100774"/>
        <s v="REG100775"/>
        <s v="REG100776"/>
        <s v="REG100777"/>
        <s v="REG100778"/>
        <s v="REG100779"/>
        <s v="REG100780"/>
        <s v="REG100781"/>
        <s v="REG100782"/>
        <s v="REG100783"/>
        <s v="REG100784"/>
        <s v="REG100785"/>
        <s v="REG100786"/>
        <s v="REG100787"/>
        <s v="REG100788"/>
        <s v="REG100789"/>
        <s v="REG100790"/>
        <s v="REG100791"/>
        <s v="REG100792"/>
        <s v="REG100793"/>
        <s v="REG100794"/>
        <s v="REG100795"/>
        <s v="REG100796"/>
        <s v="REG100797"/>
        <s v="REG100798"/>
        <s v="REG100799"/>
        <s v="REG100800"/>
        <s v="REG100801"/>
        <s v="REG100802"/>
        <s v="REG100803"/>
        <s v="REG100804"/>
        <s v="REG100805"/>
        <s v="REG100806"/>
        <s v="REG100807"/>
        <s v="REG100808"/>
        <s v="REG100809"/>
        <s v="REG100810"/>
        <s v="REG100811"/>
        <s v="REG100812"/>
        <s v="REG100813"/>
        <s v="REG100814"/>
        <s v="REG100815"/>
        <s v="REG100816"/>
        <s v="REG100817"/>
        <s v="REG100818"/>
        <s v="REG100819"/>
        <s v="REG100820"/>
        <s v="REG100821"/>
        <s v="REG100822"/>
        <s v="REG100823"/>
        <s v="REG100824"/>
        <s v="REG100825"/>
        <s v="REG100826"/>
        <s v="REG100827"/>
        <s v="REG100828"/>
        <s v="REG100829"/>
        <s v="REG100830"/>
        <s v="REG100831"/>
        <s v="REG100832"/>
        <s v="REG100833"/>
        <s v="REG100834"/>
        <s v="REG100835"/>
        <s v="REG100836"/>
        <s v="REG100837"/>
        <s v="REG100838"/>
        <s v="REG100839"/>
        <s v="REG100840"/>
        <s v="REG100841"/>
        <s v="REG100842"/>
        <s v="REG100843"/>
        <s v="REG100844"/>
        <s v="REG100845"/>
        <s v="REG100846"/>
        <s v="REG100847"/>
        <s v="REG100848"/>
        <s v="REG100849"/>
        <s v="REG100850"/>
        <s v="REG100851"/>
        <s v="REG100852"/>
        <s v="REG100853"/>
        <s v="REG100854"/>
        <s v="REG100855"/>
        <s v="REG100856"/>
        <s v="REG100857"/>
        <s v="REG100858"/>
        <s v="REG100859"/>
        <s v="REG100860"/>
        <s v="REG100861"/>
        <s v="REG100862"/>
        <s v="REG100863"/>
        <s v="REG100864"/>
        <s v="REG100865"/>
        <s v="REG100866"/>
        <s v="REG100867"/>
        <s v="REG100868"/>
        <s v="REG100869"/>
        <s v="REG100870"/>
        <s v="REG100871"/>
        <s v="REG100872"/>
        <s v="REG100873"/>
        <s v="REG100874"/>
        <s v="REG100875"/>
        <s v="REG100876"/>
        <s v="REG100877"/>
        <s v="REG100878"/>
        <s v="REG100879"/>
        <s v="REG100880"/>
        <s v="REG100881"/>
        <s v="REG100882"/>
        <s v="REG100883"/>
        <s v="REG100884"/>
        <s v="REG100885"/>
        <s v="REG100886"/>
        <s v="REG100887"/>
        <s v="REG100888"/>
        <s v="REG100889"/>
        <s v="REG100890"/>
        <s v="REG100891"/>
        <s v="REG100892"/>
        <s v="REG100893"/>
        <s v="REG100894"/>
        <s v="REG100895"/>
        <s v="REG100896"/>
        <s v="REG100897"/>
        <s v="REG100898"/>
        <s v="REG100899"/>
        <s v="REG100900"/>
        <s v="REG100901"/>
        <s v="REG100902"/>
        <s v="REG100903"/>
        <s v="REG100904"/>
        <s v="REG100905"/>
        <s v="REG100906"/>
        <s v="REG100907"/>
        <s v="REG100908"/>
        <s v="REG100909"/>
        <s v="REG100910"/>
        <s v="REG100911"/>
        <s v="REG100912"/>
        <s v="REG100913"/>
        <s v="REG100914"/>
        <s v="REG100915"/>
        <s v="REG100916"/>
        <s v="REG100917"/>
        <s v="REG100918"/>
        <s v="REG100919"/>
        <s v="REG100920"/>
        <s v="REG100921"/>
        <s v="REG100922"/>
        <s v="REG100923"/>
        <s v="REG100924"/>
        <s v="REG100925"/>
        <s v="REG100926"/>
        <s v="REG100927"/>
        <s v="REG100928"/>
        <s v="REG100929"/>
        <s v="REG100930"/>
        <s v="REG100931"/>
        <s v="REG100932"/>
        <s v="REG100933"/>
        <s v="REG100934"/>
        <s v="REG100935"/>
        <s v="REG100936"/>
        <s v="REG100937"/>
        <s v="REG100938"/>
        <s v="REG100939"/>
        <s v="REG100940"/>
        <s v="REG100941"/>
        <s v="REG100942"/>
        <s v="REG100943"/>
        <s v="REG100944"/>
        <s v="REG100945"/>
        <s v="REG100946"/>
        <s v="REG100947"/>
        <s v="REG100948"/>
        <s v="REG100949"/>
        <s v="REG100950"/>
        <s v="REG100951"/>
        <s v="REG100952"/>
        <s v="REG100953"/>
        <s v="REG100954"/>
        <s v="REG100955"/>
        <s v="REG100956"/>
        <s v="REG100957"/>
        <s v="REG100958"/>
        <s v="REG100959"/>
        <s v="REG100960"/>
        <s v="REG100961"/>
        <s v="REG100962"/>
        <s v="REG100963"/>
        <s v="REG100964"/>
        <s v="REG100965"/>
        <s v="REG100966"/>
        <s v="REG100967"/>
        <s v="REG100968"/>
        <s v="REG100969"/>
        <s v="REG100970"/>
        <s v="REG100971"/>
        <s v="REG100972"/>
        <s v="REG100973"/>
        <s v="REG100974"/>
        <s v="REG100975"/>
        <s v="REG100976"/>
        <s v="REG100977"/>
        <s v="REG100978"/>
        <s v="REG100979"/>
        <s v="REG100980"/>
        <s v="REG100981"/>
        <s v="REG100982"/>
        <s v="REG100983"/>
        <s v="REG100984"/>
        <s v="REG100985"/>
        <s v="REG100986"/>
        <s v="REG100987"/>
        <s v="REG100988"/>
        <s v="REG100989"/>
        <s v="REG100990"/>
        <s v="REG100991"/>
        <s v="REG100992"/>
        <s v="REG100993"/>
        <s v="REG100994"/>
        <s v="REG100995"/>
        <s v="REG100996"/>
        <s v="REG100997"/>
        <s v="REG100998"/>
        <s v="REG100999"/>
        <s v="REG101000"/>
        <s v="REG101001"/>
        <s v="REG101002"/>
        <s v="REG101003"/>
        <s v="REG101004"/>
        <s v="REG101005"/>
        <s v="REG101006"/>
        <s v="REG101007"/>
        <s v="REG101008"/>
        <s v="REG101009"/>
        <s v="REG101010"/>
        <s v="REG101011"/>
        <s v="REG101012"/>
        <s v="REG101013"/>
        <s v="REG101014"/>
        <s v="REG101015"/>
        <s v="REG101016"/>
        <s v="REG101017"/>
        <s v="REG101018"/>
        <s v="REG101019"/>
        <s v="REG101020"/>
        <s v="REG101021"/>
        <s v="REG101022"/>
        <s v="REG101023"/>
        <s v="REG101024"/>
        <s v="REG101025"/>
        <s v="REG101026"/>
        <s v="REG101027"/>
        <s v="REG101028"/>
        <s v="REG101029"/>
        <s v="REG101030"/>
        <s v="REG101031"/>
        <s v="REG101032"/>
        <s v="REG101033"/>
        <s v="REG101034"/>
        <s v="REG101035"/>
        <s v="REG101036"/>
        <s v="REG101037"/>
        <s v="REG101038"/>
        <s v="REG101039"/>
        <s v="REG101040"/>
        <s v="REG101041"/>
        <s v="REG101042"/>
        <s v="REG101043"/>
        <s v="REG101044"/>
        <s v="REG101045"/>
        <s v="REG101046"/>
        <s v="REG101047"/>
        <s v="REG101048"/>
        <s v="REG101049"/>
        <s v="REG101050"/>
        <s v="REG101051"/>
        <s v="REG101052"/>
        <s v="REG101053"/>
        <s v="REG101054"/>
        <s v="REG101055"/>
        <s v="REG101056"/>
        <s v="REG101057"/>
        <s v="REG101058"/>
        <s v="REG101059"/>
        <s v="REG101060"/>
        <s v="REG101061"/>
        <s v="REG101062"/>
        <s v="REG101063"/>
        <s v="REG101064"/>
        <s v="REG101065"/>
        <s v="REG101066"/>
        <s v="REG101067"/>
        <s v="REG101068"/>
        <s v="REG101069"/>
        <s v="REG101070"/>
        <s v="REG101071"/>
        <s v="REG101072"/>
        <s v="REG101073"/>
        <s v="REG101074"/>
        <s v="REG101075"/>
        <s v="REG101076"/>
        <s v="REG101077"/>
        <s v="REG101078"/>
        <s v="REG101079"/>
        <s v="REG101080"/>
        <s v="REG101081"/>
        <s v="REG101082"/>
        <s v="REG101083"/>
        <s v="REG101084"/>
        <s v="REG101085"/>
        <s v="REG101086"/>
        <s v="REG101087"/>
        <s v="REG101088"/>
        <s v="REG101089"/>
        <s v="REG101090"/>
        <s v="REG101091"/>
        <s v="REG101092"/>
        <s v="REG101093"/>
        <s v="REG101094"/>
        <s v="REG101095"/>
        <s v="REG101096"/>
        <s v="REG101097"/>
        <s v="REG101098"/>
        <s v="REG101099"/>
        <s v="REG101100"/>
        <s v="REG101101"/>
        <s v="REG101102"/>
        <s v="REG101103"/>
        <s v="REG101104"/>
        <s v="REG101105"/>
        <s v="REG101106"/>
        <s v="REG101107"/>
        <s v="REG101108"/>
        <s v="REG101109"/>
        <s v="REG101110"/>
        <s v="REG101111"/>
        <s v="REG101112"/>
        <s v="REG101113"/>
        <s v="REG101114"/>
        <s v="REG101115"/>
        <s v="REG101116"/>
        <s v="REG101117"/>
        <s v="REG101118"/>
        <s v="REG101119"/>
        <s v="REG101120"/>
        <s v="REG101121"/>
        <s v="REG101122"/>
        <s v="REG101123"/>
        <s v="REG101124"/>
        <s v="REG101125"/>
        <s v="REG101126"/>
        <s v="REG101127"/>
        <s v="REG101128"/>
        <s v="REG101129"/>
        <s v="REG101130"/>
        <s v="REG101131"/>
        <s v="REG101132"/>
        <s v="REG101133"/>
        <s v="REG101134"/>
        <s v="REG101135"/>
        <s v="REG101136"/>
        <s v="REG101137"/>
        <s v="REG101138"/>
        <s v="REG101139"/>
        <s v="REG101140"/>
        <s v="REG101141"/>
        <s v="REG101142"/>
        <s v="REG101143"/>
        <s v="REG101144"/>
        <s v="REG101145"/>
        <s v="REG101146"/>
        <s v="REG101147"/>
        <s v="REG101148"/>
        <s v="REG101149"/>
        <s v="REG101150"/>
        <s v="REG101151"/>
        <s v="REG101152"/>
        <s v="REG101153"/>
        <s v="REG101154"/>
        <s v="REG101155"/>
        <s v="REG101156"/>
        <s v="REG101157"/>
        <s v="REG101158"/>
        <s v="REG101159"/>
        <s v="REG101160"/>
        <s v="REG101161"/>
        <s v="REG101162"/>
        <s v="REG101163"/>
        <s v="REG101164"/>
        <s v="REG101165"/>
        <s v="REG101166"/>
        <s v="REG101167"/>
        <s v="REG101168"/>
        <s v="REG101169"/>
        <s v="REG101170"/>
        <s v="REG101171"/>
        <s v="REG101172"/>
        <s v="REG101173"/>
        <s v="REG101174"/>
        <s v="REG101175"/>
        <s v="REG101176"/>
        <s v="REG101177"/>
        <s v="REG101178"/>
        <s v="REG101179"/>
        <s v="REG101180"/>
        <s v="REG101181"/>
        <s v="REG101182"/>
        <s v="REG101183"/>
        <s v="REG101184"/>
        <s v="REG101185"/>
        <s v="REG101186"/>
        <s v="REG101187"/>
        <s v="REG101188"/>
        <s v="REG101189"/>
        <s v="REG101190"/>
        <s v="REG101191"/>
        <s v="REG101192"/>
        <s v="REG101193"/>
        <s v="REG101194"/>
        <s v="REG101195"/>
        <s v="REG101196"/>
        <s v="REG101197"/>
        <s v="REG101198"/>
        <s v="REG101199"/>
        <s v="REG101200"/>
        <s v="REG101201"/>
        <s v="REG101202"/>
        <s v="REG101203"/>
        <s v="REG101204"/>
        <s v="REG101205"/>
        <s v="REG101206"/>
        <s v="REG101207"/>
        <s v="REG101208"/>
        <s v="REG101209"/>
        <s v="REG101210"/>
        <s v="REG101211"/>
        <s v="REG101212"/>
        <s v="REG101213"/>
        <s v="REG101214"/>
        <s v="REG101215"/>
        <s v="REG101216"/>
        <s v="REG101217"/>
        <s v="REG101218"/>
        <s v="REG101219"/>
        <s v="REG101220"/>
        <s v="REG101221"/>
        <s v="REG101222"/>
        <s v="REG101223"/>
        <s v="REG101224"/>
        <s v="REG101225"/>
        <s v="REG101226"/>
        <s v="REG101227"/>
        <s v="REG101228"/>
        <s v="REG101229"/>
        <s v="REG101230"/>
        <s v="REG101231"/>
        <s v="REG101232"/>
        <s v="REG101233"/>
        <s v="REG101234"/>
        <s v="REG101235"/>
        <s v="REG101236"/>
        <s v="REG101237"/>
        <s v="REG101238"/>
        <s v="REG101239"/>
        <s v="REG101240"/>
        <s v="REG101241"/>
        <s v="REG101242"/>
        <s v="REG101243"/>
        <s v="REG101244"/>
        <s v="REG101245"/>
        <s v="REG101246"/>
        <s v="REG101247"/>
        <s v="REG101248"/>
        <s v="REG101249"/>
        <s v="REG101250"/>
        <s v="REG101251"/>
        <s v="REG101252"/>
        <s v="REG101253"/>
        <s v="REG101254"/>
        <s v="REG101255"/>
        <s v="REG101256"/>
        <s v="REG101257"/>
        <s v="REG101258"/>
        <s v="REG101259"/>
        <s v="REG101260"/>
        <s v="REG101261"/>
        <s v="REG101262"/>
        <s v="REG101263"/>
        <s v="REG101264"/>
        <s v="REG101265"/>
        <s v="REG101266"/>
        <s v="REG101267"/>
        <s v="REG101268"/>
        <s v="REG101269"/>
        <s v="REG101270"/>
        <s v="REG101271"/>
        <s v="REG101272"/>
        <s v="REG101273"/>
        <s v="REG101274"/>
        <s v="REG101275"/>
        <s v="REG101276"/>
        <s v="REG101277"/>
        <s v="REG101278"/>
        <s v="REG101279"/>
        <s v="REG101280"/>
        <s v="REG101281"/>
        <s v="REG101282"/>
        <s v="REG101283"/>
        <s v="REG101284"/>
        <s v="REG101285"/>
        <s v="REG101286"/>
        <s v="REG101287"/>
        <s v="REG101288"/>
        <s v="REG101289"/>
        <s v="REG101290"/>
        <s v="REG101291"/>
        <s v="REG101292"/>
        <s v="REG101293"/>
        <s v="REG101294"/>
        <s v="REG101295"/>
        <s v="REG101296"/>
        <s v="REG101297"/>
        <s v="REG101298"/>
        <s v="REG101299"/>
        <s v="REG101300"/>
        <s v="REG101301"/>
        <s v="REG101302"/>
        <s v="REG101303"/>
        <s v="REG101304"/>
        <s v="REG101305"/>
        <s v="REG101306"/>
        <s v="REG101307"/>
        <s v="REG101308"/>
        <s v="REG101309"/>
        <s v="REG101310"/>
        <s v="REG101311"/>
        <s v="REG101312"/>
        <s v="REG101313"/>
        <s v="REG101314"/>
        <s v="REG101315"/>
        <s v="REG101316"/>
        <s v="REG101317"/>
        <s v="REG101318"/>
        <s v="REG101319"/>
        <s v="REG101320"/>
        <s v="REG101321"/>
        <s v="REG101322"/>
        <s v="REG101323"/>
        <s v="REG101324"/>
        <s v="REG101325"/>
        <s v="REG101326"/>
        <s v="REG101327"/>
        <s v="REG101328"/>
        <s v="REG101329"/>
        <s v="REG101330"/>
        <s v="REG101331"/>
        <s v="REG101332"/>
        <s v="REG101333"/>
        <s v="REG101334"/>
        <s v="REG101335"/>
        <s v="REG101336"/>
        <s v="REG101337"/>
        <s v="REG101338"/>
        <s v="REG101339"/>
        <s v="REG101340"/>
        <s v="REG101341"/>
        <s v="REG101342"/>
        <s v="REG101343"/>
        <s v="REG101344"/>
        <s v="REG101345"/>
        <s v="REG101346"/>
        <s v="REG101347"/>
        <s v="REG101348"/>
        <s v="REG101349"/>
        <s v="REG101350"/>
        <s v="REG101351"/>
        <s v="REG101352"/>
        <s v="REG101353"/>
        <s v="REG101354"/>
        <s v="REG101355"/>
        <s v="REG101356"/>
        <s v="REG101357"/>
        <s v="REG101358"/>
        <s v="REG101359"/>
        <s v="REG101360"/>
        <s v="REG101361"/>
        <s v="REG101362"/>
        <s v="REG101363"/>
        <s v="REG101364"/>
        <s v="REG101365"/>
        <s v="REG101366"/>
        <s v="REG101367"/>
        <s v="REG101368"/>
        <s v="REG101369"/>
        <s v="REG101370"/>
        <s v="REG101371"/>
        <s v="REG101372"/>
        <s v="REG101373"/>
        <s v="REG101374"/>
        <s v="REG101375"/>
        <s v="REG101376"/>
        <s v="REG101377"/>
        <s v="REG101378"/>
        <s v="REG101379"/>
        <s v="REG101380"/>
        <s v="REG101381"/>
        <s v="REG101382"/>
        <s v="REG101383"/>
        <s v="REG101384"/>
        <s v="REG101385"/>
        <s v="REG101386"/>
        <s v="REG101387"/>
        <s v="REG101388"/>
        <s v="REG101389"/>
        <s v="REG101390"/>
        <s v="REG101391"/>
        <s v="REG101392"/>
        <s v="REG101393"/>
        <s v="REG101394"/>
        <s v="REG101395"/>
        <s v="REG101396"/>
        <s v="REG101397"/>
        <s v="REG101398"/>
        <s v="REG101399"/>
        <s v="REG101400"/>
        <s v="REG101401"/>
        <s v="REG101402"/>
        <s v="REG101403"/>
        <s v="REG101404"/>
        <s v="REG101405"/>
        <s v="REG101406"/>
        <s v="REG101407"/>
        <s v="REG101408"/>
        <s v="REG101409"/>
        <s v="REG101410"/>
        <s v="REG101411"/>
        <s v="REG101412"/>
        <s v="REG101413"/>
        <s v="REG101414"/>
        <s v="REG101415"/>
        <s v="REG101416"/>
        <s v="REG101417"/>
        <s v="REG101418"/>
        <s v="REG101419"/>
        <s v="REG101420"/>
        <s v="REG101421"/>
        <s v="REG101422"/>
        <s v="REG101423"/>
        <s v="REG101424"/>
        <s v="REG101425"/>
        <s v="REG101426"/>
        <s v="REG101427"/>
        <s v="REG101428"/>
        <s v="REG101429"/>
        <s v="REG101430"/>
        <s v="REG101431"/>
        <s v="REG101432"/>
        <s v="REG101433"/>
        <s v="REG101434"/>
        <s v="REG101435"/>
        <s v="REG101436"/>
        <s v="REG101437"/>
        <s v="REG101438"/>
        <s v="REG101439"/>
        <s v="REG101440"/>
        <s v="REG101441"/>
        <s v="REG101442"/>
        <s v="REG101443"/>
        <s v="REG101444"/>
        <s v="REG101445"/>
        <s v="REG101446"/>
        <s v="REG101447"/>
        <s v="REG101448"/>
        <s v="REG101449"/>
        <s v="REG101450"/>
        <s v="REG101451"/>
        <s v="REG101452"/>
        <s v="REG101453"/>
        <s v="REG101454"/>
        <s v="REG101455"/>
        <s v="REG101456"/>
        <s v="REG101457"/>
        <s v="REG101458"/>
        <s v="REG101459"/>
        <s v="REG101460"/>
        <s v="REG101461"/>
        <s v="REG101462"/>
        <s v="REG101463"/>
        <s v="REG101464"/>
        <s v="REG101465"/>
        <s v="REG101466"/>
        <s v="REG101467"/>
        <s v="REG101468"/>
        <s v="REG101469"/>
        <s v="REG101470"/>
        <s v="REG101471"/>
        <s v="REG101472"/>
        <s v="REG101473"/>
        <s v="REG101474"/>
        <s v="REG101475"/>
        <s v="REG101476"/>
        <s v="REG101477"/>
        <s v="REG101478"/>
        <s v="REG101479"/>
        <s v="REG101480"/>
        <s v="REG101481"/>
        <s v="REG101482"/>
        <s v="REG101483"/>
        <s v="REG101484"/>
        <s v="REG101485"/>
        <s v="REG101486"/>
        <s v="REG101487"/>
        <s v="REG101488"/>
        <s v="REG101489"/>
        <s v="REG101490"/>
        <s v="REG101491"/>
        <s v="REG101492"/>
        <s v="REG101493"/>
        <s v="REG101494"/>
        <s v="REG101495"/>
        <s v="REG101496"/>
        <s v="REG101497"/>
        <s v="REG101498"/>
        <s v="REG101499"/>
      </sharedItems>
    </cacheField>
    <cacheField name="CustomerName" numFmtId="0">
      <sharedItems count="1371">
        <s v="Cust 6583"/>
        <s v="Cust 2144"/>
        <s v="Cust 5998"/>
        <s v="Cust 7136"/>
        <s v="Cust 6506"/>
        <s v="Cust 3909"/>
        <s v="Cust 7887"/>
        <s v="Cust 5301"/>
        <s v="Cust 2284"/>
        <s v="Cust 3732"/>
        <s v="Cust 1462"/>
        <s v="Cust 4330"/>
        <s v="Cust 2372"/>
        <s v="Cust 4672"/>
        <s v="Cust 4548"/>
        <s v="Cust 7037"/>
        <s v="Cust 4975"/>
        <s v="Cust 8014"/>
        <s v="Cust 1228"/>
        <s v="Cust 4247"/>
        <s v="Cust 4199"/>
        <s v="Cust 4186"/>
        <s v="Cust 8137"/>
        <s v="Cust 4638"/>
        <s v="Cust 8538"/>
        <s v="Cust 6322"/>
        <s v="Cust 2609"/>
        <s v="Cust 6880"/>
        <s v="Cust 1997"/>
        <s v="Cust 7072"/>
        <s v="Cust 7201"/>
        <s v="Cust 9923"/>
        <s v="Cust 2205"/>
        <s v="Cust 6403"/>
        <s v="Cust 3953"/>
        <s v="Cust 7902"/>
        <s v="Cust 9968"/>
        <s v="Cust 3787"/>
        <s v="Cust 2469"/>
        <s v="Cust 6468"/>
        <s v="Cust 5312"/>
        <s v="Cust 1482"/>
        <s v="Cust 7903"/>
        <s v="Cust 9605"/>
        <s v="Cust 3298"/>
        <s v="Cust 5533"/>
        <s v="Cust 6362"/>
        <s v="Cust 4826"/>
        <s v="Cust 2171"/>
        <s v="Cust 4005"/>
        <s v="Cust 7032"/>
        <s v="Cust 7167"/>
        <s v="Cust 5702"/>
        <s v="Cust 4944"/>
        <s v="Cust 8149"/>
        <s v="Cust 3638"/>
        <s v="Cust 9973"/>
        <s v="Cust 4214"/>
        <s v="Cust 2647"/>
        <s v="Cust 3552"/>
        <s v="Cust 3354"/>
        <s v="Cust 3903"/>
        <s v="Cust 5358"/>
        <s v="Cust 8144"/>
        <s v="Cust 6747"/>
        <s v="Cust 8330"/>
        <s v="Cust 7186"/>
        <s v="Cust 8287"/>
        <s v="Cust 3986"/>
        <s v="Cust 3213"/>
        <s v="Cust 1907"/>
        <s v="Cust 4639"/>
        <s v="Cust 4153"/>
        <s v="Cust 7096"/>
        <s v="Cust 3806"/>
        <s v="Cust 9345"/>
        <s v="Cust 4456"/>
        <s v="Cust 1089"/>
        <s v="Cust 7230"/>
        <s v="Cust 6597"/>
        <s v="Cust 4108"/>
        <s v="Cust 2883"/>
        <s v="Cust 5018"/>
        <s v="Cust 1231"/>
        <s v="Cust 2209"/>
        <s v="Cust 6684"/>
        <s v="Cust 5289"/>
        <s v="Cust 9159"/>
        <s v="Cust 4844"/>
        <s v="Cust 3273"/>
        <s v="Cust 8160"/>
        <s v="Cust 4439"/>
        <s v="Cust 1127"/>
        <s v="Cust 4696"/>
        <s v="Cust 3014"/>
        <s v="Cust 2539"/>
        <s v="Cust 3916"/>
        <s v="Cust 6329"/>
        <s v="Cust 4384"/>
        <s v="Cust 7756"/>
        <s v="Cust 6086"/>
        <s v="Cust 3845"/>
        <s v="Cust 9996"/>
        <s v="Cust 1711"/>
        <s v="Cust 4522"/>
        <s v="Cust 4233"/>
        <s v="Cust 4121"/>
        <s v="Cust 9092"/>
        <s v="Cust 9090"/>
        <s v="Cust 1983"/>
        <s v="Cust 8834"/>
        <s v="Cust 9780"/>
        <s v="Cust 1293"/>
        <s v="Cust 3173"/>
        <s v="Cust 8641"/>
        <s v="Cust 7656"/>
        <s v="Cust 5523"/>
        <s v="Cust 2015"/>
        <s v="Cust 6895"/>
        <s v="Cust 1797"/>
        <s v="Cust 9969"/>
        <s v="Cust 1815"/>
        <s v="Cust 7773"/>
        <s v="Cust 1499"/>
        <s v="Cust 3809"/>
        <s v="Cust 7824"/>
        <s v="Cust 7258"/>
        <s v="Cust 1151"/>
        <s v="Cust 6486"/>
        <s v="Cust 4034"/>
        <s v="Cust 9794"/>
        <s v="Cust 2414"/>
        <s v="Cust 9024"/>
        <s v="Cust 2663"/>
        <s v="Cust 2293"/>
        <s v="Cust 8963"/>
        <s v="Cust 9238"/>
        <s v="Cust 1390"/>
        <s v="Cust 8548"/>
        <s v="Cust 2919"/>
        <s v="Cust 5847"/>
        <s v="Cust 5711"/>
        <s v="Cust 5461"/>
        <s v="Cust 8905"/>
        <s v="Cust 9618"/>
        <s v="Cust 5203"/>
        <s v="Cust 1732"/>
        <s v="Cust 4734"/>
        <s v="Cust 5895"/>
        <s v="Cust 9691"/>
        <s v="Cust 5406"/>
        <s v="Cust 5750"/>
        <s v="Cust 8280"/>
        <s v="Cust 4358"/>
        <s v="Cust 3588"/>
        <s v="Cust 4539"/>
        <s v="Cust 7067"/>
        <s v="Cust 7720"/>
        <s v="Cust 5668"/>
        <s v="Cust 8367"/>
        <s v="Cust 4438"/>
        <s v="Cust 3481"/>
        <s v="Cust 1489"/>
        <s v="Cust 6649"/>
        <s v="Cust 6114"/>
        <s v="Cust 9589"/>
        <s v="Cust 8184"/>
        <s v="Cust 2490"/>
        <s v="Cust 1647"/>
        <s v="Cust 2017"/>
        <s v="Cust 3446"/>
        <s v="Cust 4877"/>
        <s v="Cust 9112"/>
        <s v="Cust 8172"/>
        <s v="Cust 4597"/>
        <s v="Cust 3690"/>
        <s v="Cust 2893"/>
        <s v="Cust 5602"/>
        <s v="Cust 5616"/>
        <s v="Cust 1312"/>
        <s v="Cust 6315"/>
        <s v="Cust 1224"/>
        <s v="Cust 7182"/>
        <s v="Cust 7901"/>
        <s v="Cust 1736"/>
        <s v="Cust 7795"/>
        <s v="Cust 2471"/>
        <s v="Cust 3068"/>
        <s v="Cust 3848"/>
        <s v="Cust 7777"/>
        <s v="Cust 6613"/>
        <s v="Cust 2326"/>
        <s v="Cust 8304"/>
        <s v="Cust 3630"/>
        <s v="Cust 8617"/>
        <s v="Cust 3530"/>
        <s v="Cust 3884"/>
        <s v="Cust 5739"/>
        <s v="Cust 9707"/>
        <s v="Cust 9288"/>
        <s v="Cust 1216"/>
        <s v="Cust 2489"/>
        <s v="Cust 7171"/>
        <s v="Cust 9125"/>
        <s v="Cust 9697"/>
        <s v="Cust 8171"/>
        <s v="Cust 2004"/>
        <s v="Cust 9837"/>
        <s v="Cust 2082"/>
        <s v="Cust 3001"/>
        <s v="Cust 6161"/>
        <s v="Cust 5220"/>
        <s v="Cust 3386"/>
        <s v="Cust 1591"/>
        <s v="Cust 3434"/>
        <s v="Cust 1501"/>
        <s v="Cust 9683"/>
        <s v="Cust 5416"/>
        <s v="Cust 2153"/>
        <s v="Cust 3572"/>
        <s v="Cust 6372"/>
        <s v="Cust 6109"/>
        <s v="Cust 5234"/>
        <s v="Cust 5530"/>
        <s v="Cust 5398"/>
        <s v="Cust 3247"/>
        <s v="Cust 7137"/>
        <s v="Cust 4627"/>
        <s v="Cust 4878"/>
        <s v="Cust 2779"/>
        <s v="Cust 8606"/>
        <s v="Cust 9599"/>
        <s v="Cust 4500"/>
        <s v="Cust 4173"/>
        <s v="Cust 7607"/>
        <s v="Cust 4768"/>
        <s v="Cust 5746"/>
        <s v="Cust 3002"/>
        <s v="Cust 3237"/>
        <s v="Cust 6437"/>
        <s v="Cust 8806"/>
        <s v="Cust 8678"/>
        <s v="Cust 9649"/>
        <s v="Cust 1960"/>
        <s v="Cust 3910"/>
        <s v="Cust 2279"/>
        <s v="Cust 4689"/>
        <s v="Cust 7381"/>
        <s v="Cust 2724"/>
        <s v="Cust 2823"/>
        <s v="Cust 9402"/>
        <s v="Cust 6561"/>
        <s v="Cust 3116"/>
        <s v="Cust 1015"/>
        <s v="Cust 1207"/>
        <s v="Cust 2501"/>
        <s v="Cust 2330"/>
        <s v="Cust 7436"/>
        <s v="Cust 2762"/>
        <s v="Cust 3599"/>
        <s v="Cust 4127"/>
        <s v="Cust 6855"/>
        <s v="Cust 7017"/>
        <s v="Cust 6957"/>
        <s v="Cust 9822"/>
        <s v="Cust 7425"/>
        <s v="Cust 8897"/>
        <s v="Cust 9816"/>
        <s v="Cust 8227"/>
        <s v="Cust 4990"/>
        <s v="Cust 5834"/>
        <s v="Cust 7330"/>
        <s v="Cust 5273"/>
        <s v="Cust 6138"/>
        <s v="Cust 2084"/>
        <s v="Cust 2799"/>
        <s v="Cust 3051"/>
        <s v="Cust 5456"/>
        <s v="Cust 6029"/>
        <s v="Cust 4002"/>
        <s v="Cust 5830"/>
        <s v="Cust 8088"/>
        <s v="Cust 6455"/>
        <s v="Cust 4117"/>
        <s v="Cust 1385"/>
        <s v="Cust 5185"/>
        <s v="Cust 8704"/>
        <s v="Cust 3528"/>
        <s v="Cust 3907"/>
        <s v="Cust 9005"/>
        <s v="Cust 3635"/>
        <s v="Cust 2122"/>
        <s v="Cust 4467"/>
        <s v="Cust 6146"/>
        <s v="Cust 4001"/>
        <s v="Cust 3365"/>
        <s v="Cust 2194"/>
        <s v="Cust 7942"/>
        <s v="Cust 8451"/>
        <s v="Cust 4238"/>
        <s v="Cust 2529"/>
        <s v="Cust 7057"/>
        <s v="Cust 9069"/>
        <s v="Cust 5858"/>
        <s v="Cust 2712"/>
        <s v="Cust 7052"/>
        <s v="Cust 9397"/>
        <s v="Cust 4614"/>
        <s v="Cust 1573"/>
        <s v="Cust 5660"/>
        <s v="Cust 3952"/>
        <s v="Cust 5407"/>
        <s v="Cust 9595"/>
        <s v="Cust 3245"/>
        <s v="Cust 7180"/>
        <s v="Cust 5973"/>
        <s v="Cust 4310"/>
        <s v="Cust 6243"/>
        <s v="Cust 2448"/>
        <s v="Cust 9386"/>
        <s v="Cust 2227"/>
        <s v="Cust 3803"/>
        <s v="Cust 1236"/>
        <s v="Cust 2669"/>
        <s v="Cust 3746"/>
        <s v="Cust 9694"/>
        <s v="Cust 4993"/>
        <s v="Cust 1271"/>
        <s v="Cust 3042"/>
        <s v="Cust 6424"/>
        <s v="Cust 1422"/>
        <s v="Cust 5857"/>
        <s v="Cust 6953"/>
        <s v="Cust 2916"/>
        <s v="Cust 8464"/>
        <s v="Cust 9700"/>
        <s v="Cust 7765"/>
        <s v="Cust 8246"/>
        <s v="Cust 6500"/>
        <s v="Cust 1150"/>
        <s v="Cust 7449"/>
        <s v="Cust 1957"/>
        <s v="Cust 3467"/>
        <s v="Cust 5212"/>
        <s v="Cust 3509"/>
        <s v="Cust 5316"/>
        <s v="Cust 9919"/>
        <s v="Cust 7129"/>
        <s v="Cust 9841"/>
        <s v="Cust 4142"/>
        <s v="Cust 9584"/>
        <s v="Cust 2553"/>
        <s v="Cust 1347"/>
        <s v="Cust 8305"/>
        <s v="Cust 7015"/>
        <s v="Cust 4394"/>
        <s v="Cust 3323"/>
        <s v="Cust 4029"/>
        <s v="Cust 1400"/>
        <s v="Cust 6361"/>
        <s v="Cust 5267"/>
        <s v="Cust 9354"/>
        <s v="Cust 9443"/>
        <s v="Cust 2252"/>
        <s v="Cust 1031"/>
        <s v="Cust 1672"/>
        <s v="Cust 9313"/>
        <s v="Cust 4405"/>
        <s v="Cust 6453"/>
        <s v="Cust 4772"/>
        <s v="Cust 1762"/>
        <s v="Cust 1865"/>
        <s v="Cust 9552"/>
        <s v="Cust 4273"/>
        <s v="Cust 8712"/>
        <s v="Cust 9048"/>
        <s v="Cust 7714"/>
        <s v="Cust 4770"/>
        <s v="Cust 2007"/>
        <s v="Cust 8909"/>
        <s v="Cust 4196"/>
        <s v="Cust 4189"/>
        <s v="Cust 7226"/>
        <s v="Cust 5015"/>
        <s v="Cust 9904"/>
        <s v="Cust 7687"/>
        <s v="Cust 6511"/>
        <s v="Cust 2412"/>
        <s v="Cust 1664"/>
        <s v="Cust 6033"/>
        <s v="Cust 4019"/>
        <s v="Cust 4515"/>
        <s v="Cust 7532"/>
        <s v="Cust 8756"/>
        <s v="Cust 7620"/>
        <s v="Cust 7368"/>
        <s v="Cust 1319"/>
        <s v="Cust 9597"/>
        <s v="Cust 7369"/>
        <s v="Cust 8592"/>
        <s v="Cust 2337"/>
        <s v="Cust 9097"/>
        <s v="Cust 5938"/>
        <s v="Cust 6928"/>
        <s v="Cust 6223"/>
        <s v="Cust 7614"/>
        <s v="Cust 3231"/>
        <s v="Cust 9123"/>
        <s v="Cust 7054"/>
        <s v="Cust 4240"/>
        <s v="Cust 1237"/>
        <s v="Cust 5513"/>
        <s v="Cust 1835"/>
        <s v="Cust 8492"/>
        <s v="Cust 2451"/>
        <s v="Cust 4509"/>
        <s v="Cust 6643"/>
        <s v="Cust 2559"/>
        <s v="Cust 4423"/>
        <s v="Cust 9139"/>
        <s v="Cust 6668"/>
        <s v="Cust 4315"/>
        <s v="Cust 8000"/>
        <s v="Cust 7585"/>
        <s v="Cust 3127"/>
        <s v="Cust 4130"/>
        <s v="Cust 6956"/>
        <s v="Cust 8155"/>
        <s v="Cust 8852"/>
        <s v="Cust 2850"/>
        <s v="Cust 9572"/>
        <s v="Cust 6253"/>
        <s v="Cust 4154"/>
        <s v="Cust 2137"/>
        <s v="Cust 8157"/>
        <s v="Cust 4861"/>
        <s v="Cust 7493"/>
        <s v="Cust 7073"/>
        <s v="Cust 9085"/>
        <s v="Cust 8504"/>
        <s v="Cust 4164"/>
        <s v="Cust 9592"/>
        <s v="Cust 7450"/>
        <s v="Cust 3305"/>
        <s v="Cust 9768"/>
        <s v="Cust 1179"/>
        <s v="Cust 2546"/>
        <s v="Cust 2672"/>
        <s v="Cust 3394"/>
        <s v="Cust 1649"/>
        <s v="Cust 6994"/>
        <s v="Cust 9879"/>
        <s v="Cust 3712"/>
        <s v="Cust 3829"/>
        <s v="Cust 1623"/>
        <s v="Cust 3532"/>
        <s v="Cust 4712"/>
        <s v="Cust 6211"/>
        <s v="Cust 1222"/>
        <s v="Cust 6208"/>
        <s v="Cust 5942"/>
        <s v="Cust 1745"/>
        <s v="Cust 2679"/>
        <s v="Cust 9907"/>
        <s v="Cust 5717"/>
        <s v="Cust 7995"/>
        <s v="Cust 5572"/>
        <s v="Cust 1721"/>
        <s v="Cust 2641"/>
        <s v="Cust 9769"/>
        <s v="Cust 1718"/>
        <s v="Cust 1210"/>
        <s v="Cust 7710"/>
        <s v="Cust 1428"/>
        <s v="Cust 2810"/>
        <s v="Cust 2234"/>
        <s v="Cust 9602"/>
        <s v="Cust 5032"/>
        <s v="Cust 4297"/>
        <s v="Cust 6944"/>
        <s v="Cust 4136"/>
        <s v="Cust 7460"/>
        <s v="Cust 3960"/>
        <s v="Cust 3160"/>
        <s v="Cust 9641"/>
        <s v="Cust 9742"/>
        <s v="Cust 1144"/>
        <s v="Cust 2936"/>
        <s v="Cust 3035"/>
        <s v="Cust 1717"/>
        <s v="Cust 6435"/>
        <s v="Cust 9352"/>
        <s v="Cust 6746"/>
        <s v="Cust 8189"/>
        <s v="Cust 8470"/>
        <s v="Cust 1044"/>
        <s v="Cust 4010"/>
        <s v="Cust 1904"/>
        <s v="Cust 6034"/>
        <s v="Cust 9239"/>
        <s v="Cust 5678"/>
        <s v="Cust 3696"/>
        <s v="Cust 9025"/>
        <s v="Cust 9924"/>
        <s v="Cust 3887"/>
        <s v="Cust 5302"/>
        <s v="Cust 2290"/>
        <s v="Cust 1726"/>
        <s v="Cust 9874"/>
        <s v="Cust 1774"/>
        <s v="Cust 6534"/>
        <s v="Cust 3170"/>
        <s v="Cust 5438"/>
        <s v="Cust 2670"/>
        <s v="Cust 8949"/>
        <s v="Cust 9748"/>
        <s v="Cust 1220"/>
        <s v="Cust 5645"/>
        <s v="Cust 6577"/>
        <s v="Cust 9506"/>
        <s v="Cust 9302"/>
        <s v="Cust 3030"/>
        <s v="Cust 5896"/>
        <s v="Cust 3763"/>
        <s v="Cust 9510"/>
        <s v="Cust 7637"/>
        <s v="Cust 8382"/>
        <s v="Cust 4015"/>
        <s v="Cust 5172"/>
        <s v="Cust 7584"/>
        <s v="Cust 6809"/>
        <s v="Cust 7540"/>
        <s v="Cust 6888"/>
        <s v="Cust 3304"/>
        <s v="Cust 6596"/>
        <s v="Cust 5588"/>
        <s v="Cust 1518"/>
        <s v="Cust 2819"/>
        <s v="Cust 1947"/>
        <s v="Cust 7332"/>
        <s v="Cust 7314"/>
        <s v="Cust 5296"/>
        <s v="Cust 2964"/>
        <s v="Cust 5381"/>
        <s v="Cust 5436"/>
        <s v="Cust 1494"/>
        <s v="Cust 4380"/>
        <s v="Cust 1375"/>
        <s v="Cust 5698"/>
        <s v="Cust 3259"/>
        <s v="Cust 9295"/>
        <s v="Cust 7035"/>
        <s v="Cust 9049"/>
        <s v="Cust 6173"/>
        <s v="Cust 3447"/>
        <s v="Cust 2218"/>
        <s v="Cust 8882"/>
        <s v="Cust 6709"/>
        <s v="Cust 8727"/>
        <s v="Cust 8359"/>
        <s v="Cust 1514"/>
        <s v="Cust 2774"/>
        <s v="Cust 4270"/>
        <s v="Cust 3123"/>
        <s v="Cust 7414"/>
        <s v="Cust 5051"/>
        <s v="Cust 5975"/>
        <s v="Cust 6948"/>
        <s v="Cust 8253"/>
        <s v="Cust 7238"/>
        <s v="Cust 2219"/>
        <s v="Cust 6665"/>
        <s v="Cust 4252"/>
        <s v="Cust 6104"/>
        <s v="Cust 6407"/>
        <s v="Cust 3573"/>
        <s v="Cust 5280"/>
        <s v="Cust 2365"/>
        <s v="Cust 7130"/>
        <s v="Cust 6539"/>
        <s v="Cust 1656"/>
        <s v="Cust 1932"/>
        <s v="Cust 7367"/>
        <s v="Cust 1116"/>
        <s v="Cust 4464"/>
        <s v="Cust 2543"/>
        <s v="Cust 7948"/>
        <s v="Cust 3199"/>
        <s v="Cust 2800"/>
        <s v="Cust 3863"/>
        <s v="Cust 8391"/>
        <s v="Cust 6711"/>
        <s v="Cust 8653"/>
        <s v="Cust 7937"/>
        <s v="Cust 5972"/>
        <s v="Cust 8597"/>
        <s v="Cust 5382"/>
        <s v="Cust 4323"/>
        <s v="Cust 1767"/>
        <s v="Cust 5912"/>
        <s v="Cust 4446"/>
        <s v="Cust 6107"/>
        <s v="Cust 3330"/>
        <s v="Cust 3604"/>
        <s v="Cust 7412"/>
        <s v="Cust 5183"/>
        <s v="Cust 4825"/>
        <s v="Cust 2123"/>
        <s v="Cust 8684"/>
        <s v="Cust 5964"/>
        <s v="Cust 1810"/>
        <s v="Cust 2685"/>
        <s v="Cust 7855"/>
        <s v="Cust 4101"/>
        <s v="Cust 7964"/>
        <s v="Cust 7010"/>
        <s v="Cust 7917"/>
        <s v="Cust 8111"/>
        <s v="Cust 4715"/>
        <s v="Cust 8720"/>
        <s v="Cust 8216"/>
        <s v="Cust 6946"/>
        <s v="Cust 9888"/>
        <s v="Cust 4009"/>
        <s v="Cust 9489"/>
        <s v="Cust 2446"/>
        <s v="Cust 4150"/>
        <s v="Cust 3569"/>
        <s v="Cust 1023"/>
        <s v="Cust 3748"/>
        <s v="Cust 4798"/>
        <s v="Cust 3864"/>
        <s v="Cust 3459"/>
        <s v="Cust 1187"/>
        <s v="Cust 7509"/>
        <s v="Cust 1869"/>
        <s v="Cust 5943"/>
        <s v="Cust 8364"/>
        <s v="Cust 8401"/>
        <s v="Cust 4047"/>
        <s v="Cust 6019"/>
        <s v="Cust 8750"/>
        <s v="Cust 5782"/>
        <s v="Cust 4090"/>
        <s v="Cust 4730"/>
        <s v="Cust 5648"/>
        <s v="Cust 8933"/>
        <s v="Cust 9280"/>
        <s v="Cust 8696"/>
        <s v="Cust 1944"/>
        <s v="Cust 7780"/>
        <s v="Cust 8055"/>
        <s v="Cust 4707"/>
        <s v="Cust 7806"/>
        <s v="Cust 7033"/>
        <s v="Cust 8372"/>
        <s v="Cust 1935"/>
        <s v="Cust 8417"/>
        <s v="Cust 3370"/>
        <s v="Cust 3664"/>
        <s v="Cust 5760"/>
        <s v="Cust 3037"/>
        <s v="Cust 9828"/>
        <s v="Cust 5297"/>
        <s v="Cust 6785"/>
        <s v="Cust 1344"/>
        <s v="Cust 4023"/>
        <s v="Cust 3721"/>
        <s v="Cust 1486"/>
        <s v="Cust 3958"/>
        <s v="Cust 6914"/>
        <s v="Cust 3287"/>
        <s v="Cust 9072"/>
        <s v="Cust 3098"/>
        <s v="Cust 4307"/>
        <s v="Cust 4618"/>
        <s v="Cust 5322"/>
        <s v="Cust 9873"/>
        <s v="Cust 3652"/>
        <s v="Cust 5569"/>
        <s v="Cust 5369"/>
        <s v="Cust 9044"/>
        <s v="Cust 1887"/>
        <s v="Cust 1559"/>
        <s v="Cust 1722"/>
        <s v="Cust 9029"/>
        <s v="Cust 9555"/>
        <s v="Cust 2484"/>
        <s v="Cust 4763"/>
        <s v="Cust 5016"/>
        <s v="Cust 5528"/>
        <s v="Cust 6922"/>
        <s v="Cust 4807"/>
        <s v="Cust 3368"/>
        <s v="Cust 2871"/>
        <s v="Cust 6229"/>
        <s v="Cust 4560"/>
        <s v="Cust 7099"/>
        <s v="Cust 6333"/>
        <s v="Cust 4678"/>
        <s v="Cust 6657"/>
        <s v="Cust 1267"/>
        <s v="Cust 8150"/>
        <s v="Cust 3668"/>
        <s v="Cust 4803"/>
        <s v="Cust 8633"/>
        <s v="Cust 7235"/>
        <s v="Cust 8992"/>
        <s v="Cust 1889"/>
        <s v="Cust 5411"/>
        <s v="Cust 3411"/>
        <s v="Cust 4788"/>
        <s v="Cust 3564"/>
        <s v="Cust 8018"/>
        <s v="Cust 3045"/>
        <s v="Cust 7020"/>
        <s v="Cust 1905"/>
        <s v="Cust 4592"/>
        <s v="Cust 5482"/>
        <s v="Cust 2801"/>
        <s v="Cust 8206"/>
        <s v="Cust 5277"/>
        <s v="Cust 8900"/>
        <s v="Cust 9387"/>
        <s v="Cust 7013"/>
        <s v="Cust 4868"/>
        <s v="Cust 5239"/>
        <s v="Cust 4703"/>
        <s v="Cust 7224"/>
        <s v="Cust 4751"/>
        <s v="Cust 1201"/>
        <s v="Cust 6980"/>
        <s v="Cust 2835"/>
        <s v="Cust 4286"/>
        <s v="Cust 7876"/>
        <s v="Cust 5926"/>
        <s v="Cust 4478"/>
        <s v="Cust 4711"/>
        <s v="Cust 9227"/>
        <s v="Cust 2830"/>
        <s v="Cust 3767"/>
        <s v="Cust 1561"/>
        <s v="Cust 8569"/>
        <s v="Cust 1254"/>
        <s v="Cust 8556"/>
        <s v="Cust 7204"/>
        <s v="Cust 7725"/>
        <s v="Cust 9210"/>
        <s v="Cust 4937"/>
        <s v="Cust 3606"/>
        <s v="Cust 5865"/>
        <s v="Cust 7195"/>
        <s v="Cust 6113"/>
        <s v="Cust 9878"/>
        <s v="Cust 3936"/>
        <s v="Cust 3937"/>
        <s v="Cust 5262"/>
        <s v="Cust 3892"/>
        <s v="Cust 8826"/>
        <s v="Cust 1119"/>
        <s v="Cust 5939"/>
        <s v="Cust 1791"/>
        <s v="Cust 8530"/>
        <s v="Cust 9619"/>
        <s v="Cust 1637"/>
        <s v="Cust 5737"/>
        <s v="Cust 2524"/>
        <s v="Cust 8480"/>
        <s v="Cust 2595"/>
        <s v="Cust 7132"/>
        <s v="Cust 4644"/>
        <s v="Cust 5133"/>
        <s v="Cust 1731"/>
        <s v="Cust 3739"/>
        <s v="Cust 3853"/>
        <s v="Cust 6830"/>
        <s v="Cust 5351"/>
        <s v="Cust 5845"/>
        <s v="Cust 7004"/>
        <s v="Cust 4095"/>
        <s v="Cust 7833"/>
        <s v="Cust 5826"/>
        <s v="Cust 9410"/>
        <s v="Cust 2590"/>
        <s v="Cust 4599"/>
        <s v="Cust 7166"/>
        <s v="Cust 6177"/>
        <s v="Cust 2899"/>
        <s v="Cust 7063"/>
        <s v="Cust 7487"/>
        <s v="Cust 5481"/>
        <s v="Cust 3150"/>
        <s v="Cust 5099"/>
        <s v="Cust 6615"/>
        <s v="Cust 6924"/>
        <s v="Cust 2411"/>
        <s v="Cust 9648"/>
        <s v="Cust 1974"/>
        <s v="Cust 9452"/>
        <s v="Cust 4558"/>
        <s v="Cust 8811"/>
        <s v="Cust 7788"/>
        <s v="Cust 2788"/>
        <s v="Cust 6621"/>
        <s v="Cust 8575"/>
        <s v="Cust 8799"/>
        <s v="Cust 1699"/>
        <s v="Cust 5606"/>
        <s v="Cust 4933"/>
        <s v="Cust 9517"/>
        <s v="Cust 6740"/>
        <s v="Cust 1301"/>
        <s v="Cust 6864"/>
        <s v="Cust 5207"/>
        <s v="Cust 6525"/>
        <s v="Cust 8298"/>
        <s v="Cust 8204"/>
        <s v="Cust 4035"/>
        <s v="Cust 1654"/>
        <s v="Cust 1823"/>
        <s v="Cust 1423"/>
        <s v="Cust 7282"/>
        <s v="Cust 8437"/>
        <s v="Cust 9508"/>
        <s v="Cust 1186"/>
        <s v="Cust 4362"/>
        <s v="Cust 9388"/>
        <s v="Cust 6428"/>
        <s v="Cust 2570"/>
        <s v="Cust 5132"/>
        <s v="Cust 4929"/>
        <s v="Cust 4018"/>
        <s v="Cust 8069"/>
        <s v="Cust 6741"/>
        <s v="Cust 8050"/>
        <s v="Cust 2434"/>
        <s v="Cust 9089"/>
        <s v="Cust 1091"/>
        <s v="Cust 6326"/>
        <s v="Cust 1327"/>
        <s v="Cust 8602"/>
        <s v="Cust 9131"/>
        <s v="Cust 6716"/>
        <s v="Cust 2071"/>
        <s v="Cust 4472"/>
        <s v="Cust 3899"/>
        <s v="Cust 9467"/>
        <s v="Cust 3824"/>
        <s v="Cust 3511"/>
        <s v="Cust 3356"/>
        <s v="Cust 2840"/>
        <s v="Cust 3811"/>
        <s v="Cust 9960"/>
        <s v="Cust 5906"/>
        <s v="Cust 6579"/>
        <s v="Cust 1756"/>
        <s v="Cust 8999"/>
        <s v="Cust 4277"/>
        <s v="Cust 8751"/>
        <s v="Cust 2482"/>
        <s v="Cust 4078"/>
        <s v="Cust 9091"/>
        <s v="Cust 8706"/>
        <s v="Cust 5042"/>
        <s v="Cust 3319"/>
        <s v="Cust 4139"/>
        <s v="Cust 6993"/>
        <s v="Cust 8397"/>
        <s v="Cust 3082"/>
        <s v="Cust 1156"/>
        <s v="Cust 4720"/>
        <s v="Cust 7034"/>
        <s v="Cust 7218"/>
        <s v="Cust 2651"/>
        <s v="Cust 1252"/>
        <s v="Cust 6679"/>
        <s v="Cust 9361"/>
        <s v="Cust 3049"/>
        <s v="Cust 6415"/>
        <s v="Cust 9856"/>
        <s v="Cust 3106"/>
        <s v="Cust 7107"/>
        <s v="Cust 7542"/>
        <s v="Cust 6330"/>
        <s v="Cust 1469"/>
        <s v="Cust 3698"/>
        <s v="Cust 9833"/>
        <s v="Cust 1074"/>
        <s v="Cust 7891"/>
        <s v="Cust 3373"/>
        <s v="Cust 9045"/>
        <s v="Cust 9197"/>
        <s v="Cust 6920"/>
        <s v="Cust 9652"/>
        <s v="Cust 6267"/>
        <s v="Cust 7753"/>
        <s v="Cust 2789"/>
        <s v="Cust 3527"/>
        <s v="Cust 9538"/>
        <s v="Cust 8929"/>
        <s v="Cust 8931"/>
        <s v="Cust 1424"/>
        <s v="Cust 6723"/>
        <s v="Cust 8850"/>
        <s v="Cust 1211"/>
        <s v="Cust 9384"/>
        <s v="Cust 9338"/>
        <s v="Cust 1822"/>
        <s v="Cust 8260"/>
        <s v="Cust 7088"/>
        <s v="Cust 4969"/>
        <s v="Cust 9046"/>
        <s v="Cust 6859"/>
        <s v="Cust 1146"/>
        <s v="Cust 6447"/>
        <s v="Cust 8519"/>
        <s v="Cust 3422"/>
        <s v="Cust 9638"/>
        <s v="Cust 6438"/>
        <s v="Cust 1724"/>
        <s v="Cust 7808"/>
        <s v="Cust 7348"/>
        <s v="Cust 5666"/>
        <s v="Cust 6675"/>
        <s v="Cust 5462"/>
        <s v="Cust 3471"/>
        <s v="Cust 1603"/>
        <s v="Cust 7758"/>
        <s v="Cust 3396"/>
        <s v="Cust 4797"/>
        <s v="Cust 1113"/>
        <s v="Cust 8843"/>
        <s v="Cust 7505"/>
        <s v="Cust 9490"/>
        <s v="Cust 8631"/>
        <s v="Cust 6986"/>
        <s v="Cust 9636"/>
        <s v="Cust 1943"/>
        <s v="Cust 6368"/>
        <s v="Cust 9724"/>
        <s v="Cust 8723"/>
        <s v="Cust 1901"/>
        <s v="Cust 9682"/>
        <s v="Cust 5413"/>
        <s v="Cust 9590"/>
        <s v="Cust 9379"/>
        <s v="Cust 4722"/>
        <s v="Cust 7152"/>
        <s v="Cust 7255"/>
        <s v="Cust 9593"/>
        <s v="Cust 2561"/>
        <s v="Cust 8387"/>
        <s v="Cust 2860"/>
        <s v="Cust 7794"/>
        <s v="Cust 6075"/>
        <s v="Cust 4337"/>
        <s v="Cust 2540"/>
        <s v="Cust 3944"/>
        <s v="Cust 8876"/>
        <s v="Cust 3286"/>
        <s v="Cust 2608"/>
        <s v="Cust 3290"/>
        <s v="Cust 6979"/>
        <s v="Cust 9375"/>
        <s v="Cust 9311"/>
        <s v="Cust 4097"/>
        <s v="Cust 6145"/>
        <s v="Cust 8124"/>
        <s v="Cust 7826"/>
        <s v="Cust 3472"/>
        <s v="Cust 4266"/>
        <s v="Cust 7354"/>
        <s v="Cust 6672"/>
        <s v="Cust 5589"/>
        <s v="Cust 2770"/>
        <s v="Cust 7206"/>
        <s v="Cust 1580"/>
        <s v="Cust 5313"/>
        <s v="Cust 4209"/>
        <s v="Cust 5861"/>
        <s v="Cust 6348"/>
        <s v="Cust 5210"/>
        <s v="Cust 7325"/>
        <s v="Cust 5818"/>
        <s v="Cust 4496"/>
        <s v="Cust 3875"/>
        <s v="Cust 7232"/>
        <s v="Cust 4537"/>
        <s v="Cust 6274"/>
        <s v="Cust 3810"/>
        <s v="Cust 5002"/>
        <s v="Cust 8551"/>
        <s v="Cust 8837"/>
        <s v="Cust 6523"/>
        <s v="Cust 3440"/>
        <s v="Cust 4102"/>
        <s v="Cust 4145"/>
        <s v="Cust 5206"/>
        <s v="Cust 4022"/>
        <s v="Cust 8676"/>
        <s v="Cust 7492"/>
        <s v="Cust 7872"/>
        <s v="Cust 8762"/>
        <s v="Cust 4004"/>
        <s v="Cust 2781"/>
        <s v="Cust 9982"/>
        <s v="Cust 9561"/>
        <s v="Cust 3496"/>
        <s v="Cust 4085"/>
        <s v="Cust 1921"/>
        <s v="Cust 9053"/>
        <s v="Cust 3559"/>
        <s v="Cust 7060"/>
        <s v="Cust 8796"/>
        <s v="Cust 6055"/>
        <s v="Cust 5779"/>
        <s v="Cust 9330"/>
        <s v="Cust 5374"/>
        <s v="Cust 3321"/>
        <s v="Cust 6554"/>
        <s v="Cust 9955"/>
        <s v="Cust 3320"/>
        <s v="Cust 8177"/>
        <s v="Cust 1743"/>
        <s v="Cust 3719"/>
        <s v="Cust 9323"/>
        <s v="Cust 1914"/>
        <s v="Cust 5928"/>
        <s v="Cust 8062"/>
        <s v="Cust 3275"/>
        <s v="Cust 3854"/>
        <s v="Cust 8398"/>
        <s v="Cust 4026"/>
        <s v="Cust 5794"/>
        <s v="Cust 2917"/>
        <s v="Cust 5659"/>
        <s v="Cust 1857"/>
        <s v="Cust 6718"/>
        <s v="Cust 8378"/>
        <s v="Cust 3069"/>
        <s v="Cust 7619"/>
        <s v="Cust 6167"/>
        <s v="Cust 2453"/>
        <s v="Cust 8896"/>
        <s v="Cust 8800"/>
        <s v="Cust 1819"/>
        <s v="Cust 1300"/>
        <s v="Cust 3807"/>
        <s v="Cust 6633"/>
        <s v="Cust 6573"/>
        <s v="Cust 8600"/>
        <s v="Cust 8654"/>
        <s v="Cust 3708"/>
        <s v="Cust 1268"/>
        <s v="Cust 5600"/>
        <s v="Cust 2438"/>
        <s v="Cust 4293"/>
        <s v="Cust 2616"/>
        <s v="Cust 5362"/>
        <s v="Cust 1670"/>
        <s v="Cust 2254"/>
        <s v="Cust 9521"/>
        <s v="Cust 3921"/>
        <s v="Cust 7628"/>
        <s v="Cust 4210"/>
        <s v="Cust 1951"/>
        <s v="Cust 9405"/>
        <s v="Cust 8769"/>
        <s v="Cust 4068"/>
        <s v="Cust 3523"/>
        <s v="Cust 3377"/>
        <s v="Cust 3125"/>
        <s v="Cust 4623"/>
        <s v="Cust 4571"/>
        <s v="Cust 6982"/>
        <s v="Cust 6824"/>
        <s v="Cust 3172"/>
        <s v="Cust 8146"/>
        <s v="Cust 3299"/>
        <s v="Cust 6476"/>
        <s v="Cust 9835"/>
        <s v="Cust 1003"/>
        <s v="Cust 9705"/>
        <s v="Cust 3421"/>
        <s v="Cust 1690"/>
        <s v="Cust 2507"/>
        <s v="Cust 9880"/>
        <s v="Cust 3972"/>
        <s v="Cust 4205"/>
        <s v="Cust 2579"/>
        <s v="Cust 7265"/>
        <s v="Cust 1199"/>
        <s v="Cust 2928"/>
        <s v="Cust 9447"/>
        <s v="Cust 9095"/>
        <s v="Cust 7587"/>
        <s v="Cust 2611"/>
        <s v="Cust 8284"/>
        <s v="Cust 8154"/>
        <s v="Cust 5215"/>
        <s v="Cust 5309"/>
        <s v="Cust 2016"/>
        <s v="Cust 2676"/>
        <s v="Cust 7529"/>
        <s v="Cust 6172"/>
        <s v="Cust 2527"/>
        <s v="Cust 1970"/>
        <s v="Cust 9543"/>
        <s v="Cust 2957"/>
        <s v="Cust 2852"/>
        <s v="Cust 6365"/>
        <s v="Cust 3252"/>
        <s v="Cust 8679"/>
        <s v="Cust 5547"/>
        <s v="Cust 9438"/>
        <s v="Cust 7007"/>
        <s v="Cust 5771"/>
        <s v="Cust 4317"/>
        <s v="Cust 3627"/>
        <s v="Cust 4433"/>
        <s v="Cust 6231"/>
        <s v="Cust 8987"/>
        <s v="Cust 4510"/>
        <s v="Cust 7003"/>
        <s v="Cust 6546"/>
        <s v="Cust 2951"/>
        <s v="Cust 4673"/>
        <s v="Cust 5988"/>
        <s v="Cust 3922"/>
        <s v="Cust 9853"/>
        <s v="Cust 6168"/>
        <s v="Cust 3175"/>
        <s v="Cust 1813"/>
        <s v="Cust 7749"/>
        <s v="Cust 3416"/>
        <s v="Cust 7066"/>
        <s v="Cust 5180"/>
        <s v="Cust 6246"/>
        <s v="Cust 4182"/>
        <s v="Cust 6843"/>
        <s v="Cust 6844"/>
        <s v="Cust 3248"/>
        <s v="Cust 5226"/>
        <s v="Cust 9804"/>
        <s v="Cust 3990"/>
        <s v="Cust 5106"/>
        <s v="Cust 3448"/>
        <s v="Cust 1439"/>
        <s v="Cust 5342"/>
        <s v="Cust 4564"/>
        <s v="Cust 6441"/>
        <s v="Cust 7591"/>
        <s v="Cust 9778"/>
        <s v="Cust 1195"/>
        <s v="Cust 8126"/>
        <s v="Cust 4609"/>
        <s v="Cust 1449"/>
        <s v="Cust 3508"/>
        <s v="Cust 1232"/>
        <s v="Cust 9675"/>
        <s v="Cust 5153"/>
        <s v="Cust 8277"/>
        <s v="Cust 5884"/>
        <s v="Cust 4061"/>
        <s v="Cust 8095"/>
        <s v="Cust 2435"/>
        <s v="Cust 6485"/>
        <s v="Cust 6960"/>
        <s v="Cust 1135"/>
        <s v="Cust 6186"/>
        <s v="Cust 8828"/>
        <s v="Cust 4744"/>
        <s v="Cust 4287"/>
        <s v="Cust 2236"/>
        <s v="Cust 5096"/>
        <s v="Cust 1162"/>
        <s v="Cust 1669"/>
        <s v="Cust 6213"/>
        <s v="Cust 7659"/>
        <s v="Cust 2894"/>
        <s v="Cust 1457"/>
        <s v="Cust 2410"/>
        <s v="Cust 4723"/>
        <s v="Cust 1586"/>
        <s v="Cust 5049"/>
        <s v="Cust 9534"/>
        <s v="Cust 5693"/>
        <s v="Cust 6950"/>
        <s v="Cust 7098"/>
        <s v="Cust 8300"/>
        <s v="Cust 9557"/>
        <s v="Cust 8787"/>
        <s v="Cust 9717"/>
        <s v="Cust 2719"/>
        <s v="Cust 6203"/>
        <s v="Cust 9151"/>
        <s v="Cust 4250"/>
        <s v="Cust 1276"/>
        <s v="Cust 6063"/>
        <s v="Cust 7604"/>
        <s v="Cust 4398"/>
        <s v="Cust 8770"/>
        <s v="Cust 2148"/>
        <s v="Cust 4107"/>
        <s v="Cust 4450"/>
        <s v="Cust 8233"/>
        <s v="Cust 9012"/>
        <s v="Cust 1496"/>
        <s v="Cust 9365"/>
        <s v="Cust 1392"/>
        <s v="Cust 3474"/>
        <s v="Cust 2111"/>
        <s v="Cust 2341"/>
        <s v="Cust 5935"/>
        <s v="Cust 3291"/>
        <s v="Cust 5258"/>
        <s v="Cust 9606"/>
        <s v="Cust 9182"/>
        <s v="Cust 6299"/>
        <s v="Cust 9628"/>
        <s v="Cust 3831"/>
        <s v="Cust 7955"/>
        <s v="Cust 3939"/>
        <s v="Cust 7916"/>
        <s v="Cust 2477"/>
        <s v="Cust 3781"/>
        <s v="Cust 1969"/>
        <s v="Cust 4494"/>
        <s v="Cust 3061"/>
        <s v="Cust 4732"/>
        <s v="Cust 9889"/>
        <s v="Cust 2165"/>
        <s v="Cust 6121"/>
        <s v="Cust 4071"/>
        <s v="Cust 5249"/>
        <s v="Cust 4262"/>
        <s v="Cust 9314"/>
        <s v="Cust 7703"/>
        <s v="Cust 1007"/>
        <s v="Cust 1946"/>
        <s v="Cust 6347"/>
        <s v="Cust 6499"/>
        <s v="Cust 1420"/>
        <s v="Cust 6744"/>
        <s v="Cust 5690"/>
        <s v="Cust 1265"/>
        <s v="Cust 7676"/>
        <s v="Cust 4442"/>
        <s v="Cust 2975"/>
        <s v="Cust 7832"/>
        <s v="Cust 8639"/>
        <s v="Cust 4389"/>
        <s v="Cust 2008"/>
        <s v="Cust 6509"/>
        <s v="Cust 4414"/>
        <s v="Cust 6409"/>
        <s v="Cust 1621"/>
        <s v="Cust 6790"/>
        <s v="Cust 4045"/>
        <s v="Cust 1258"/>
        <s v="Cust 8051"/>
        <s v="Cust 9371"/>
        <s v="Cust 9881"/>
        <s v="Cust 9189"/>
        <s v="Cust 8802"/>
        <s v="Cust 8707"/>
        <s v="Cust 5638"/>
        <s v="Cust 6036"/>
        <s v="Cust 5504"/>
        <s v="Cust 1161"/>
        <s v="Cust 5420"/>
        <s v="Cust 7745"/>
        <s v="Cust 4365"/>
        <s v="Cust 9020"/>
        <s v="Cust 2667"/>
        <s v="Cust 6158"/>
        <s v="Cust 7404"/>
        <s v="Cust 8572"/>
        <s v="Cust 1043"/>
        <s v="Cust 1766"/>
        <s v="Cust 4461"/>
        <s v="Cust 4390"/>
        <s v="Cust 9451"/>
        <s v="Cust 5335"/>
        <s v="Cust 3487"/>
        <s v="Cust 7613"/>
        <s v="Cust 9436"/>
        <s v="Cust 2197"/>
        <s v="Cust 5620"/>
        <s v="Cust 3187"/>
        <s v="Cust 1081"/>
        <s v="Cust 5409"/>
        <s v="Cust 2741"/>
        <s v="Cust 2571"/>
        <s v="Cust 6301"/>
        <s v="Cust 7918"/>
        <s v="Cust 3456"/>
        <s v="Cust 8272"/>
        <s v="Cust 7302"/>
        <s v="Cust 5484"/>
        <s v="Cust 4652"/>
        <s v="Cust 1287"/>
        <s v="Cust 5444"/>
        <s v="Cust 6355"/>
        <s v="Cust 6620"/>
        <s v="Cust 4092"/>
        <s v="Cust 4812"/>
        <s v="Cust 8389"/>
        <s v="Cust 4529"/>
        <s v="Cust 4228"/>
        <s v="Cust 3940"/>
        <s v="Cust 4392"/>
        <s v="Cust 4404"/>
        <s v="Cust 2981"/>
        <s v="Cust 3571"/>
        <s v="Cust 2592"/>
        <s v="Cust 6209"/>
        <s v="Cust 6600"/>
        <s v="Cust 6899"/>
        <s v="Cust 1563"/>
        <s v="Cust 6733"/>
        <s v="Cust 7635"/>
        <s v="Cust 4354"/>
        <s v="Cust 1376"/>
        <s v="Cust 6542"/>
        <s v="Cust 4386"/>
        <s v="Cust 6708"/>
        <s v="Cust 6354"/>
        <s v="Cust 3477"/>
        <s v="Cust 6646"/>
        <s v="Cust 6284"/>
        <s v="Cust 9099"/>
        <s v="Cust 6124"/>
        <s v="Cust 8533"/>
        <s v="Cust 1333"/>
        <s v="Cust 2394"/>
        <s v="Cust 8495"/>
        <s v="Cust 3988"/>
        <s v="Cust 4664"/>
        <s v="Cust 5086"/>
        <s v="Cust 8858"/>
        <s v="Cust 2496"/>
        <s v="Cust 5465"/>
        <s v="Cust 2311"/>
        <s v="Cust 4575"/>
        <s v="Cust 8054"/>
        <s v="Cust 7547"/>
        <s v="Cust 5635"/>
        <s v="Cust 4360"/>
        <s v="Cust 1624"/>
        <s v="Cust 6593"/>
        <s v="Cust 8458"/>
        <s v="Cust 8847"/>
        <s v="Cust 7857"/>
        <s v="Cust 7810"/>
        <s v="Cust 5665"/>
        <s v="Cust 8015"/>
        <s v="Cust 7211"/>
        <s v="Cust 8705"/>
        <s v="Cust 2905"/>
        <s v="Cust 5777"/>
        <s v="Cust 6695"/>
        <s v="Cust 1977"/>
        <s v="Cust 7979"/>
        <s v="Cust 2437"/>
        <s v="Cust 2516"/>
        <s v="Cust 6791"/>
        <s v="Cust 5227"/>
        <s v="Cust 5559"/>
        <s v="Cust 8981"/>
        <s v="Cust 1824"/>
      </sharedItems>
    </cacheField>
    <cacheField name="ShippingCost" numFmtId="0">
      <sharedItems containsSemiMixedTypes="0" containsString="0" containsNumber="1" minValue="5.01" maxValue="49.98" count="1285">
        <n v="43.34"/>
        <n v="5.3"/>
        <n v="20.46"/>
        <n v="27.95"/>
        <n v="5.73"/>
        <n v="11.92"/>
        <n v="5.02"/>
        <n v="48.01"/>
        <n v="42.11"/>
        <n v="41.1"/>
        <n v="12.14"/>
        <n v="44.89"/>
        <n v="20.35"/>
        <n v="42.82"/>
        <n v="39.66"/>
        <n v="8.11"/>
        <n v="34.11"/>
        <n v="34.71"/>
        <n v="19.43"/>
        <n v="7.1"/>
        <n v="28.43"/>
        <n v="46.83"/>
        <n v="36.45"/>
        <n v="27.97"/>
        <n v="46.69"/>
        <n v="38.13"/>
        <n v="11.59"/>
        <n v="24.78"/>
        <n v="7.61"/>
        <n v="33.17"/>
        <n v="37.38"/>
        <n v="12.35"/>
        <n v="21.25"/>
        <n v="17.91"/>
        <n v="41.91"/>
        <n v="12.57"/>
        <n v="40.29"/>
        <n v="34.97"/>
        <n v="24.77"/>
        <n v="34.79"/>
        <n v="17.77"/>
        <n v="21.72"/>
        <n v="34.85"/>
        <n v="27.39"/>
        <n v="11.62"/>
        <n v="20.76"/>
        <n v="24.95"/>
        <n v="6.47"/>
        <n v="20.57"/>
        <n v="20.71"/>
        <n v="12.87"/>
        <n v="42.49"/>
        <n v="19.22"/>
        <n v="36.51"/>
        <n v="37.39"/>
        <n v="36.33"/>
        <n v="7.84"/>
        <n v="18.35"/>
        <n v="15.95"/>
        <n v="15.69"/>
        <n v="13.66"/>
        <n v="36.54"/>
        <n v="15.62"/>
        <n v="29.5"/>
        <n v="21.77"/>
        <n v="22.43"/>
        <n v="12.24"/>
        <n v="41.27"/>
        <n v="35.14"/>
        <n v="8.38"/>
        <n v="15.76"/>
        <n v="5.89"/>
        <n v="6.57"/>
        <n v="33.52"/>
        <n v="33.59"/>
        <n v="31.3"/>
        <n v="14.41"/>
        <n v="7.87"/>
        <n v="49.05"/>
        <n v="39.98"/>
        <n v="38.82"/>
        <n v="24.03"/>
        <n v="12.38"/>
        <n v="41.16"/>
        <n v="40.21"/>
        <n v="37.75"/>
        <n v="23.49"/>
        <n v="33.47"/>
        <n v="36.47"/>
        <n v="48.51"/>
        <n v="18.3"/>
        <n v="14.8"/>
        <n v="18.05"/>
        <n v="5.01"/>
        <n v="11.54"/>
        <n v="6.11"/>
        <n v="27.48"/>
        <n v="44.61"/>
        <n v="43.46"/>
        <n v="17.88"/>
        <n v="48.03"/>
        <n v="32.31"/>
        <n v="6.77"/>
        <n v="28.97"/>
        <n v="47.05"/>
        <n v="26.64"/>
        <n v="28.05"/>
        <n v="26.99"/>
        <n v="21.08"/>
        <n v="49.6"/>
        <n v="41.4"/>
        <n v="8.02"/>
        <n v="43.69"/>
        <n v="23.94"/>
        <n v="28.36"/>
        <n v="38.23"/>
        <n v="19.17"/>
        <n v="5.13"/>
        <n v="48.63"/>
        <n v="9.35"/>
        <n v="13.73"/>
        <n v="14.04"/>
        <n v="25.24"/>
        <n v="8.03"/>
        <n v="35.23"/>
        <n v="21.5"/>
        <n v="37.95"/>
        <n v="26.44"/>
        <n v="46.97"/>
        <n v="17.59"/>
        <n v="28.76"/>
        <n v="33.3"/>
        <n v="21.76"/>
        <n v="27.04"/>
        <n v="44.75"/>
        <n v="26.09"/>
        <n v="35.39"/>
        <n v="19.42"/>
        <n v="13.65"/>
        <n v="10.14"/>
        <n v="21.74"/>
        <n v="49.93"/>
        <n v="20.3"/>
        <n v="31.8"/>
        <n v="29.51"/>
        <n v="31"/>
        <n v="33.81"/>
        <n v="10.91"/>
        <n v="47.94"/>
        <n v="32.45"/>
        <n v="10.88"/>
        <n v="47.39"/>
        <n v="17.61"/>
        <n v="26.32"/>
        <n v="6.04"/>
        <n v="48.66"/>
        <n v="31.65"/>
        <n v="46.91"/>
        <n v="7.66"/>
        <n v="11"/>
        <n v="8.66"/>
        <n v="8.42"/>
        <n v="39.32"/>
        <n v="42.61"/>
        <n v="49.38"/>
        <n v="5.36"/>
        <n v="28.77"/>
        <n v="18.72"/>
        <n v="7.79"/>
        <n v="38.9"/>
        <n v="7.13"/>
        <n v="5.7"/>
        <n v="21.32"/>
        <n v="44.2"/>
        <n v="10.68"/>
        <n v="23.69"/>
        <n v="24.51"/>
        <n v="41.88"/>
        <n v="37.49"/>
        <n v="29.56"/>
        <n v="23.42"/>
        <n v="35.63"/>
        <n v="39.74"/>
        <n v="13.63"/>
        <n v="31.02"/>
        <n v="36.94"/>
        <n v="18.54"/>
        <n v="13.01"/>
        <n v="27.65"/>
        <n v="7.02"/>
        <n v="45.77"/>
        <n v="18.17"/>
        <n v="28.57"/>
        <n v="16.5"/>
        <n v="33.58"/>
        <n v="25.2"/>
        <n v="6.58"/>
        <n v="47.81"/>
        <n v="38.41"/>
        <n v="24.29"/>
        <n v="7.33"/>
        <n v="14.58"/>
        <n v="49.17"/>
        <n v="9.69"/>
        <n v="9.73"/>
        <n v="27.07"/>
        <n v="43.67"/>
        <n v="14.76"/>
        <n v="11.03"/>
        <n v="18.23"/>
        <n v="38.51"/>
        <n v="9.54"/>
        <n v="19.2"/>
        <n v="20.96"/>
        <n v="21.01"/>
        <n v="46.87"/>
        <n v="24.86"/>
        <n v="23.25"/>
        <n v="14.88"/>
        <n v="15.66"/>
        <n v="44.86"/>
        <n v="39.76"/>
        <n v="46.25"/>
        <n v="25.22"/>
        <n v="43.8"/>
        <n v="34.07"/>
        <n v="26.38"/>
        <n v="6.22"/>
        <n v="9.64"/>
        <n v="22.72"/>
        <n v="37.09"/>
        <n v="29.4"/>
        <n v="32.19"/>
        <n v="8.59"/>
        <n v="24.72"/>
        <n v="19.92"/>
        <n v="7.46"/>
        <n v="9.6"/>
        <n v="42.74"/>
        <n v="14.74"/>
        <n v="28.92"/>
        <n v="5.15"/>
        <n v="24.39"/>
        <n v="25.16"/>
        <n v="16.8"/>
        <n v="43.17"/>
        <n v="17.64"/>
        <n v="45.54"/>
        <n v="43.73"/>
        <n v="35.37"/>
        <n v="20.64"/>
        <n v="48.33"/>
        <n v="17.12"/>
        <n v="34.64"/>
        <n v="15.64"/>
        <n v="6.15"/>
        <n v="17.69"/>
        <n v="25.71"/>
        <n v="33.5"/>
        <n v="26.78"/>
        <n v="17.25"/>
        <n v="37.5"/>
        <n v="17.99"/>
        <n v="31.22"/>
        <n v="33.14"/>
        <n v="24.48"/>
        <n v="22.42"/>
        <n v="42.37"/>
        <n v="30.49"/>
        <n v="36.04"/>
        <n v="7.03"/>
        <n v="42.34"/>
        <n v="11.88"/>
        <n v="28.33"/>
        <n v="15.74"/>
        <n v="35.02"/>
        <n v="45.42"/>
        <n v="35.33"/>
        <n v="25.09"/>
        <n v="39.39"/>
        <n v="38.61"/>
        <n v="42.88"/>
        <n v="44.09"/>
        <n v="17.57"/>
        <n v="49.59"/>
        <n v="13.84"/>
        <n v="42.7"/>
        <n v="31.14"/>
        <n v="32.96"/>
        <n v="32.8"/>
        <n v="25.3"/>
        <n v="21.11"/>
        <n v="22.94"/>
        <n v="37.05"/>
        <n v="12.18"/>
        <n v="13.43"/>
        <n v="46.28"/>
        <n v="44.69"/>
        <n v="35.96"/>
        <n v="27.81"/>
        <n v="18.63"/>
        <n v="18.77"/>
        <n v="45.98"/>
        <n v="33.38"/>
        <n v="48.55"/>
        <n v="7.78"/>
        <n v="34.35"/>
        <n v="43.81"/>
        <n v="18.59"/>
        <n v="22.06"/>
        <n v="18.39"/>
        <n v="5.93"/>
        <n v="36.27"/>
        <n v="47.61"/>
        <n v="44.78"/>
        <n v="36.98"/>
        <n v="25.88"/>
        <n v="14.59"/>
        <n v="20.11"/>
        <n v="13.31"/>
        <n v="26.39"/>
        <n v="19.58"/>
        <n v="8.36"/>
        <n v="9.97"/>
        <n v="41.48"/>
        <n v="5.91"/>
        <n v="22.65"/>
        <n v="7.72"/>
        <n v="17.06"/>
        <n v="33.99"/>
        <n v="47.86"/>
        <n v="18.1"/>
        <n v="39.35"/>
        <n v="5.22"/>
        <n v="28.65"/>
        <n v="5.29"/>
        <n v="8.22"/>
        <n v="48.02"/>
        <n v="42.33"/>
        <n v="32.77"/>
        <n v="10.46"/>
        <n v="47.56"/>
        <n v="37.53"/>
        <n v="46.37"/>
        <n v="22.13"/>
        <n v="10.57"/>
        <n v="11.17"/>
        <n v="7.9"/>
        <n v="41.5"/>
        <n v="10.58"/>
        <n v="20.39"/>
        <n v="49.79"/>
        <n v="39.28"/>
        <n v="48.77"/>
        <n v="13.33"/>
        <n v="41.61"/>
        <n v="41.98"/>
        <n v="13.17"/>
        <n v="19.44"/>
        <n v="48.13"/>
        <n v="19.74"/>
        <n v="34.13"/>
        <n v="39.1"/>
        <n v="23.7"/>
        <n v="44.6"/>
        <n v="31.75"/>
        <n v="45.74"/>
        <n v="8.92"/>
        <n v="11.13"/>
        <n v="34.27"/>
        <n v="22.95"/>
        <n v="16.99"/>
        <n v="10.22"/>
        <n v="49.95"/>
        <n v="5.86"/>
        <n v="49.9"/>
        <n v="39.99"/>
        <n v="17.68"/>
        <n v="47.78"/>
        <n v="22.59"/>
        <n v="29.24"/>
        <n v="23.09"/>
        <n v="11.9"/>
        <n v="27.51"/>
        <n v="16.74"/>
        <n v="21.02"/>
        <n v="43.92"/>
        <n v="25.72"/>
        <n v="43.42"/>
        <n v="44.88"/>
        <n v="37.91"/>
        <n v="37.12"/>
        <n v="28.41"/>
        <n v="35.6"/>
        <n v="39.38"/>
        <n v="29.31"/>
        <n v="48.15"/>
        <n v="40.86"/>
        <n v="46.46"/>
        <n v="5.66"/>
        <n v="10.2"/>
        <n v="24.69"/>
        <n v="32.5"/>
        <n v="45.93"/>
        <n v="30.35"/>
        <n v="25.48"/>
        <n v="21.47"/>
        <n v="28.29"/>
        <n v="25.03"/>
        <n v="35.54"/>
        <n v="23.03"/>
        <n v="39.84"/>
        <n v="46.58"/>
        <n v="27.36"/>
        <n v="9.51"/>
        <n v="17.92"/>
        <n v="8.47"/>
        <n v="41.03"/>
        <n v="19.61"/>
        <n v="18.65"/>
        <n v="29.81"/>
        <n v="34.7"/>
        <n v="12.46"/>
        <n v="48.71"/>
        <n v="36.79"/>
        <n v="33.95"/>
        <n v="28.52"/>
        <n v="16.44"/>
        <n v="42.03"/>
        <n v="45.99"/>
        <n v="27.16"/>
        <n v="20.38"/>
        <n v="32.13"/>
        <n v="14.93"/>
        <n v="10.24"/>
        <n v="18.07"/>
        <n v="8.1"/>
        <n v="24.55"/>
        <n v="16.71"/>
        <n v="35.28"/>
        <n v="48.68"/>
        <n v="33.76"/>
        <n v="19.57"/>
        <n v="33.31"/>
        <n v="45.03"/>
        <n v="31.51"/>
        <n v="38.99"/>
        <n v="11.6"/>
        <n v="43.55"/>
        <n v="46.1"/>
        <n v="26.7"/>
        <n v="45.33"/>
        <n v="33.21"/>
        <n v="48.21"/>
        <n v="49.67"/>
        <n v="9.48"/>
        <n v="18.85"/>
        <n v="43.28"/>
        <n v="20.55"/>
        <n v="25.33"/>
        <n v="30.57"/>
        <n v="26.96"/>
        <n v="12.45"/>
        <n v="45.67"/>
        <n v="42.1"/>
        <n v="17.62"/>
        <n v="38.96"/>
        <n v="25.64"/>
        <n v="11.56"/>
        <n v="37.27"/>
        <n v="38.04"/>
        <n v="27.37"/>
        <n v="18.75"/>
        <n v="11.5"/>
        <n v="20.45"/>
        <n v="10.45"/>
        <n v="32.61"/>
        <n v="14.69"/>
        <n v="25.34"/>
        <n v="32.04"/>
        <n v="14.53"/>
        <n v="33.9"/>
        <n v="23.26"/>
        <n v="12.29"/>
        <n v="22.63"/>
        <n v="6.43"/>
        <n v="24.53"/>
        <n v="8.87"/>
        <n v="17.72"/>
        <n v="45.89"/>
        <n v="42.07"/>
        <n v="28.55"/>
        <n v="38.22"/>
        <n v="10.02"/>
        <n v="44.73"/>
        <n v="31.4"/>
        <n v="37.33"/>
        <n v="25.19"/>
        <n v="7.89"/>
        <n v="47.18"/>
        <n v="18.95"/>
        <n v="23.68"/>
        <n v="44.46"/>
        <n v="5.71"/>
        <n v="11.39"/>
        <n v="38.02"/>
        <n v="6.83"/>
        <n v="8.06"/>
        <n v="6.76"/>
        <n v="36.35"/>
        <n v="29.75"/>
        <n v="35.32"/>
        <n v="45.59"/>
        <n v="36.71"/>
        <n v="48.26"/>
        <n v="44.99"/>
        <n v="41.72"/>
        <n v="41.87"/>
        <n v="35.84"/>
        <n v="22.05"/>
        <n v="21.61"/>
        <n v="25.27"/>
        <n v="39.4"/>
        <n v="16.9"/>
        <n v="10.77"/>
        <n v="13.28"/>
        <n v="33.4"/>
        <n v="34.32"/>
        <n v="37.66"/>
        <n v="46.02"/>
        <n v="27.1"/>
        <n v="38.85"/>
        <n v="12.97"/>
        <n v="35.26"/>
        <n v="26.73"/>
        <n v="39.92"/>
        <n v="32.12"/>
        <n v="26.31"/>
        <n v="11.91"/>
        <n v="31.76"/>
        <n v="8.75"/>
        <n v="8.44"/>
        <n v="38.97"/>
        <n v="13.97"/>
        <n v="22.33"/>
        <n v="16.84"/>
        <n v="27.68"/>
        <n v="42.04"/>
        <n v="41.94"/>
        <n v="13.61"/>
        <n v="20.02"/>
        <n v="46.35"/>
        <n v="46.59"/>
        <n v="32.86"/>
        <n v="23.84"/>
        <n v="49.12"/>
        <n v="5.32"/>
        <n v="22"/>
        <n v="6.16"/>
        <n v="41.73"/>
        <n v="48.49"/>
        <n v="15.98"/>
        <n v="43.84"/>
        <n v="40.38"/>
        <n v="48.8"/>
        <n v="22.28"/>
        <n v="44.35"/>
        <n v="47.24"/>
        <n v="31.61"/>
        <n v="48.38"/>
        <n v="8.39"/>
        <n v="15.97"/>
        <n v="35.58"/>
        <n v="40.75"/>
        <n v="8.71"/>
        <n v="24.25"/>
        <n v="49.18"/>
        <n v="12.91"/>
        <n v="41.31"/>
        <n v="28.27"/>
        <n v="37.77"/>
        <n v="12.39"/>
        <n v="7.39"/>
        <n v="30.78"/>
        <n v="5.98"/>
        <n v="41.64"/>
        <n v="41.08"/>
        <n v="14.61"/>
        <n v="39.01"/>
        <n v="17.2"/>
        <n v="8.67"/>
        <n v="22.84"/>
        <n v="31.91"/>
        <n v="44.37"/>
        <n v="10.08"/>
        <n v="24.41"/>
        <n v="43.21"/>
        <n v="16.82"/>
        <n v="33.94"/>
        <n v="25.35"/>
        <n v="9.86"/>
        <n v="45.63"/>
        <n v="5.48"/>
        <n v="10.99"/>
        <n v="49.91"/>
        <n v="48.92"/>
        <n v="11.38"/>
        <n v="8.93"/>
        <n v="8.62"/>
        <n v="11.49"/>
        <n v="30.25"/>
        <n v="42.38"/>
        <n v="40.35"/>
        <n v="21.88"/>
        <n v="47.95"/>
        <n v="38.59"/>
        <n v="16.64"/>
        <n v="40.78"/>
        <n v="5.77"/>
        <n v="46.93"/>
        <n v="16.43"/>
        <n v="9.31"/>
        <n v="44.48"/>
        <n v="23.91"/>
        <n v="47"/>
        <n v="23.74"/>
        <n v="9.95"/>
        <n v="21.06"/>
        <n v="47.77"/>
        <n v="17.43"/>
        <n v="42.68"/>
        <n v="33.16"/>
        <n v="43.47"/>
        <n v="9.88"/>
        <n v="43.4"/>
        <n v="13.86"/>
        <n v="23.3"/>
        <n v="27"/>
        <n v="42.63"/>
        <n v="46.65"/>
        <n v="26.74"/>
        <n v="19.89"/>
        <n v="48.9"/>
        <n v="17.9"/>
        <n v="30.58"/>
        <n v="44.91"/>
        <n v="18.92"/>
        <n v="34.26"/>
        <n v="24.68"/>
        <n v="31.28"/>
        <n v="14.9"/>
        <n v="27.05"/>
        <n v="21.23"/>
        <n v="12.23"/>
        <n v="40.18"/>
        <n v="5.55"/>
        <n v="16.98"/>
        <n v="28.96"/>
        <n v="46.16"/>
        <n v="39.25"/>
        <n v="26.97"/>
        <n v="41.67"/>
        <n v="22.08"/>
        <n v="37.84"/>
        <n v="9.05"/>
        <n v="13.24"/>
        <n v="48.48"/>
        <n v="7.76"/>
        <n v="30.3"/>
        <n v="36.87"/>
        <n v="48.73"/>
        <n v="47.14"/>
        <n v="41.39"/>
        <n v="22.73"/>
        <n v="29.06"/>
        <n v="19.91"/>
        <n v="32.66"/>
        <n v="19.18"/>
        <n v="25.81"/>
        <n v="24.34"/>
        <n v="35.69"/>
        <n v="25.96"/>
        <n v="47.33"/>
        <n v="44.42"/>
        <n v="23.57"/>
        <n v="26.47"/>
        <n v="17.4"/>
        <n v="21.36"/>
        <n v="42.87"/>
        <n v="22.11"/>
        <n v="17.19"/>
        <n v="31.95"/>
        <n v="49.49"/>
        <n v="17.46"/>
        <n v="46.33"/>
        <n v="11.16"/>
        <n v="26.35"/>
        <n v="16.1"/>
        <n v="5.85"/>
        <n v="29.9"/>
        <n v="14.39"/>
        <n v="38.58"/>
        <n v="41.83"/>
        <n v="44.04"/>
        <n v="36.72"/>
        <n v="33.67"/>
        <n v="24.3"/>
        <n v="35.12"/>
        <n v="11.99"/>
        <n v="43.2"/>
        <n v="14.43"/>
        <n v="38.48"/>
        <n v="14"/>
        <n v="7.59"/>
        <n v="11.44"/>
        <n v="21.64"/>
        <n v="21.31"/>
        <n v="41.69"/>
        <n v="41.42"/>
        <n v="35.51"/>
        <n v="44.72"/>
        <n v="26.86"/>
        <n v="30.12"/>
        <n v="18.2"/>
        <n v="35.82"/>
        <n v="41.89"/>
        <n v="28.11"/>
        <n v="32.52"/>
        <n v="22.96"/>
        <n v="12.7"/>
        <n v="45.41"/>
        <n v="7.06"/>
        <n v="25.39"/>
        <n v="6.45"/>
        <n v="6.31"/>
        <n v="35.49"/>
        <n v="14.31"/>
        <n v="43.7"/>
        <n v="12.64"/>
        <n v="41.11"/>
        <n v="18.47"/>
        <n v="38.63"/>
        <n v="29.96"/>
        <n v="44.26"/>
        <n v="8.28"/>
        <n v="24.4"/>
        <n v="16.62"/>
        <n v="29.64"/>
        <n v="26.12"/>
        <n v="23.29"/>
        <n v="21.15"/>
        <n v="45.81"/>
        <n v="21.99"/>
        <n v="33.15"/>
        <n v="5.16"/>
        <n v="13.16"/>
        <n v="23.43"/>
        <n v="47.16"/>
        <n v="41.24"/>
        <n v="27.53"/>
        <n v="41.56"/>
        <n v="30.73"/>
        <n v="29.22"/>
        <n v="31.31"/>
        <n v="37.37"/>
        <n v="21.22"/>
        <n v="21.04"/>
        <n v="36.9"/>
        <n v="22.34"/>
        <n v="49.08"/>
        <n v="15.3"/>
        <n v="20.83"/>
        <n v="19.38"/>
        <n v="43.56"/>
        <n v="25.49"/>
        <n v="23.4"/>
        <n v="19.5"/>
        <n v="26.04"/>
        <n v="17.01"/>
        <n v="32.94"/>
        <n v="45.76"/>
        <n v="44.95"/>
        <n v="20.37"/>
        <n v="13.54"/>
        <n v="30.67"/>
        <n v="11.35"/>
        <n v="33.79"/>
        <n v="26.56"/>
        <n v="42.3"/>
        <n v="33.71"/>
        <n v="5.59"/>
        <n v="19.55"/>
        <n v="13.42"/>
        <n v="19.81"/>
        <n v="25.36"/>
        <n v="24.85"/>
        <n v="45.32"/>
        <n v="45.83"/>
        <n v="46.73"/>
        <n v="44.76"/>
        <n v="25.06"/>
        <n v="43.18"/>
        <n v="33.44"/>
        <n v="28.63"/>
        <n v="27.26"/>
        <n v="28.51"/>
        <n v="13.09"/>
        <n v="36.83"/>
        <n v="45.85"/>
        <n v="5.05"/>
        <n v="12.28"/>
        <n v="16.06"/>
        <n v="28.14"/>
        <n v="14.85"/>
        <n v="16.78"/>
        <n v="9.61"/>
        <n v="26.92"/>
        <n v="45.34"/>
        <n v="30.19"/>
        <n v="9.93"/>
        <n v="16.59"/>
        <n v="25.11"/>
        <n v="48.93"/>
        <n v="21.03"/>
        <n v="16.04"/>
        <n v="24.57"/>
        <n v="32.57"/>
        <n v="28.69"/>
        <n v="46.67"/>
        <n v="47.75"/>
        <n v="21.21"/>
        <n v="5.58"/>
        <n v="31.2"/>
        <n v="14.35"/>
        <n v="44.77"/>
        <n v="22.16"/>
        <n v="25.55"/>
        <n v="15.13"/>
        <n v="34.6"/>
        <n v="42.18"/>
        <n v="16.4"/>
        <n v="12.05"/>
        <n v="39.16"/>
        <n v="48.27"/>
        <n v="12.22"/>
        <n v="30.86"/>
        <n v="12.04"/>
        <n v="30.29"/>
        <n v="26.43"/>
        <n v="46.98"/>
        <n v="10.36"/>
        <n v="27.66"/>
        <n v="11.57"/>
        <n v="30.33"/>
        <n v="19.85"/>
        <n v="46.12"/>
        <n v="35.77"/>
        <n v="17.85"/>
        <n v="26.81"/>
        <n v="19.72"/>
        <n v="15.38"/>
        <n v="32.67"/>
        <n v="35.73"/>
        <n v="9.89"/>
        <n v="34.36"/>
        <n v="26.03"/>
        <n v="45.35"/>
        <n v="36.55"/>
        <n v="28.35"/>
        <n v="30.27"/>
        <n v="35.92"/>
        <n v="38.29"/>
        <n v="49.98"/>
        <n v="22.57"/>
        <n v="5.38"/>
        <n v="17.94"/>
        <n v="17.09"/>
        <n v="45.22"/>
        <n v="31.26"/>
        <n v="11.02"/>
        <n v="22.04"/>
        <n v="7.52"/>
        <n v="47.01"/>
        <n v="6.8"/>
        <n v="13.35"/>
        <n v="22.83"/>
        <n v="6.91"/>
        <n v="15.52"/>
        <n v="47.43"/>
        <n v="34.75"/>
        <n v="6.13"/>
        <n v="33.98"/>
        <n v="29.28"/>
        <n v="40.26"/>
        <n v="28.98"/>
        <n v="15.6"/>
        <n v="46.47"/>
        <n v="48.84"/>
        <n v="36.56"/>
        <n v="36.73"/>
        <n v="14.67"/>
        <n v="11.11"/>
        <n v="42.72"/>
        <n v="49.64"/>
        <n v="48.42"/>
        <n v="36.59"/>
        <n v="28.5"/>
        <n v="13.45"/>
        <n v="18.21"/>
        <n v="34.16"/>
        <n v="17.74"/>
        <n v="5.19"/>
        <n v="20.5"/>
        <n v="25.94"/>
        <n v="30.71"/>
        <n v="26.87"/>
        <n v="46.76"/>
        <n v="26.4"/>
        <n v="33.6"/>
        <n v="20.23"/>
        <n v="28.09"/>
        <n v="43.32"/>
        <n v="14.94"/>
        <n v="18.91"/>
        <n v="13.82"/>
        <n v="33.2"/>
        <n v="17.76"/>
        <n v="22.2"/>
        <n v="38.46"/>
        <n v="30.03"/>
        <n v="17.36"/>
        <n v="19.01"/>
        <n v="41.66"/>
        <n v="6.37"/>
        <n v="38.98"/>
        <n v="39.64"/>
        <n v="18.16"/>
        <n v="47.35"/>
        <n v="5.95"/>
        <n v="30.22"/>
        <n v="30.06"/>
        <n v="37.42"/>
        <n v="12.63"/>
        <n v="46.45"/>
        <n v="40.57"/>
        <n v="44.7"/>
        <n v="15.78"/>
        <n v="48.83"/>
        <n v="20.97"/>
        <n v="43.74"/>
        <n v="43.24"/>
        <n v="37.07"/>
        <n v="19.77"/>
        <n v="45.75"/>
        <n v="44.49"/>
        <n v="28.8"/>
        <n v="19.49"/>
        <n v="38.6"/>
        <n v="32.83"/>
        <n v="5.21"/>
        <n v="8.6"/>
        <n v="23.99"/>
        <n v="20.06"/>
        <n v="42.59"/>
        <n v="30.45"/>
        <n v="48.07"/>
        <n v="43.22"/>
        <n v="43.02"/>
        <n v="31.13"/>
        <n v="11.21"/>
        <n v="21.89"/>
        <n v="32.53"/>
        <n v="30.62"/>
        <n v="14.02"/>
        <n v="5.84"/>
        <n v="17.39"/>
        <n v="31.81"/>
        <n v="15.33"/>
        <n v="48.08"/>
        <n v="34.69"/>
        <n v="34.44"/>
        <n v="20.21"/>
        <n v="5.35"/>
        <n v="33.36"/>
        <n v="30.32"/>
        <n v="25.05"/>
        <n v="49.82"/>
        <n v="16.08"/>
        <n v="6.85"/>
        <n v="32.92"/>
        <n v="49.55"/>
        <n v="43.72"/>
        <n v="42.06"/>
        <n v="28.74"/>
        <n v="39.26"/>
        <n v="44.96"/>
        <n v="13.23"/>
        <n v="37.81"/>
        <n v="23.31"/>
        <n v="26.5"/>
        <n v="7.31"/>
        <n v="11.45"/>
        <n v="8.78"/>
        <n v="29.95"/>
        <n v="36.38"/>
        <n v="17.14"/>
        <n v="43.41"/>
        <n v="18.13"/>
        <n v="36.23"/>
        <n v="38.94"/>
        <n v="25.31"/>
        <n v="30.97"/>
        <n v="10.56"/>
        <n v="48.32"/>
        <n v="30.08"/>
        <n v="45.61"/>
        <n v="12.53"/>
        <n v="32.22"/>
        <n v="19.41"/>
        <n v="7.34"/>
        <n v="46.21"/>
        <n v="26.25"/>
        <n v="30.7"/>
        <n v="30.87"/>
        <n v="16"/>
        <n v="31.55"/>
        <n v="6.28"/>
        <n v="27.98"/>
        <n v="26.57"/>
        <n v="44.97"/>
        <n v="29.6"/>
        <n v="20.12"/>
        <n v="27.82"/>
        <n v="48.11"/>
        <n v="47.23"/>
        <n v="31.43"/>
        <n v="10.79"/>
        <n v="45.97"/>
        <n v="20.18"/>
        <n v="45.79"/>
        <n v="27.43"/>
        <n v="9.62"/>
        <n v="17.53"/>
        <n v="47.84"/>
        <n v="22.15"/>
        <n v="10.19"/>
        <n v="36.89"/>
        <n v="39.89"/>
        <n v="49.37"/>
        <n v="18.01"/>
        <n v="32.74"/>
        <n v="20.05"/>
        <n v="20.87"/>
        <n v="26.66"/>
        <n v="36.67"/>
        <n v="12.95"/>
        <n v="43.85"/>
        <n v="6.71"/>
        <n v="14.01"/>
        <n v="40.23"/>
        <n v="8.19"/>
        <n v="24.28"/>
        <n v="36.11"/>
        <n v="42.56"/>
        <n v="38.53"/>
        <n v="26.16"/>
        <n v="47.67"/>
        <n v="42.15"/>
        <n v="12.9"/>
        <n v="10.18"/>
        <n v="13.41"/>
        <n v="7.62"/>
        <n v="24.64"/>
        <n v="38.65"/>
        <n v="38.45"/>
        <n v="45.78"/>
        <n v="47.6"/>
        <n v="28.72"/>
        <n v="6.89"/>
        <n v="44.3"/>
        <n v="43.37"/>
        <n v="13.12"/>
        <n v="31.96"/>
        <n v="8.89"/>
        <n v="6.14"/>
        <n v="21.56"/>
        <n v="31.53"/>
        <n v="19.95"/>
        <n v="19.45"/>
        <n v="46.57"/>
        <n v="37.47"/>
        <n v="25.86"/>
        <n v="21.17"/>
        <n v="36.68"/>
        <n v="22.88"/>
        <n v="12.98"/>
        <n v="30.8"/>
        <n v="15.47"/>
        <n v="10.72"/>
        <n v="44.85"/>
        <n v="32.01"/>
        <n v="39.72"/>
        <n v="21.82"/>
        <n v="28.3"/>
        <n v="20.58"/>
        <n v="19.63"/>
        <n v="22.68"/>
        <n v="22.81"/>
        <n v="18.26"/>
        <n v="12.12"/>
        <n v="8.54"/>
        <n v="48.46"/>
        <n v="36.28"/>
        <n v="29.19"/>
        <n v="42.91"/>
        <n v="12.07"/>
        <n v="5.41"/>
        <n v="49.23"/>
        <n v="48.57"/>
        <n v="35.52"/>
        <n v="8.48"/>
        <n v="40.68"/>
        <n v="48.94"/>
        <n v="22.12"/>
        <n v="23.19"/>
        <n v="26.37"/>
        <n v="33.65"/>
        <n v="11.67"/>
        <n v="30.21"/>
        <n v="5.82"/>
        <n v="43.86"/>
        <n v="41.78"/>
        <n v="31.44"/>
        <n v="13.19"/>
        <n v="49.26"/>
        <n v="38.72"/>
        <n v="25.84"/>
        <n v="44.92"/>
        <n v="21.73"/>
        <n v="35.87"/>
        <n v="33.19"/>
        <n v="10.44"/>
        <n v="5.46"/>
        <n v="34.96"/>
        <n v="39.87"/>
        <n v="25.54"/>
        <n v="15.43"/>
        <n v="37.14"/>
        <n v="18.46"/>
        <n v="9.08"/>
        <n v="38.89"/>
        <n v="7.54"/>
        <n v="9.98"/>
        <n v="6.49"/>
        <n v="26.49"/>
        <n v="24.98"/>
        <n v="27.45"/>
        <n v="28.71"/>
        <n v="17.03"/>
        <n v="29.11"/>
        <n v="16.39"/>
        <n v="49.09"/>
        <n v="10.34"/>
        <n v="18.02"/>
        <n v="25.25"/>
        <n v="14.87"/>
        <n v="9.29"/>
        <n v="9.78"/>
        <n v="28.9"/>
        <n v="11.72"/>
        <n v="21.95"/>
        <n v="24.33"/>
        <n v="42.65"/>
        <n v="32.75"/>
        <n v="21.46"/>
        <n v="25.02"/>
        <n v="7.35"/>
        <n v="20.9"/>
        <n v="15.25"/>
        <n v="8.91"/>
        <n v="15.81"/>
        <n v="37.78"/>
        <n v="20.92"/>
        <n v="6.17"/>
        <n v="23.15"/>
        <n v="23.07"/>
        <n v="15.54"/>
        <n v="18.22"/>
        <n v="15.87"/>
        <n v="45.11"/>
        <n v="18.25"/>
        <n v="12.6"/>
        <n v="30.43"/>
        <n v="6.81"/>
        <n v="29.18"/>
        <n v="6.36"/>
        <n v="21.92"/>
        <n v="14.03"/>
        <n v="26.42"/>
        <n v="40.76"/>
        <n v="8.37"/>
        <n v="18.8"/>
        <n v="45.14"/>
        <n v="42.79"/>
        <n v="30.69"/>
        <n v="21.54"/>
        <n v="14.09"/>
        <n v="19.53"/>
        <n v="49.71"/>
        <n v="34.19"/>
        <n v="35.61"/>
        <n v="14.98"/>
        <n v="19.37"/>
        <n v="23.61"/>
        <n v="43.14"/>
        <n v="48.98"/>
        <n v="29.41"/>
        <n v="22.97"/>
        <n v="11.52"/>
        <n v="36.34"/>
        <n v="45.25"/>
        <n v="34.76"/>
        <n v="42.43"/>
        <n v="36.05"/>
        <n v="38.81"/>
        <n v="17.89"/>
        <n v="13.62"/>
        <n v="31.04"/>
        <n v="33.37"/>
        <n v="6.53"/>
        <n v="41.3"/>
        <n v="32.54"/>
        <n v="28.07"/>
        <n v="38.73"/>
        <n v="43.29"/>
        <n v="12.88"/>
        <n v="10.61"/>
        <n v="32.16"/>
        <n v="22.24"/>
        <n v="12.86"/>
        <n v="23.89"/>
        <n v="47.19"/>
        <n v="44.14"/>
        <n v="27.55"/>
        <n v="17.81"/>
        <n v="32.28"/>
        <n v="45.19"/>
        <n v="24.8"/>
        <n v="24.38"/>
        <n v="14.92"/>
        <n v="26.68"/>
        <n v="16.67"/>
        <n v="40.74"/>
        <n v="9.42"/>
        <n v="14.44"/>
        <n v="33.86"/>
        <n v="9.65"/>
        <n v="9.85"/>
        <n v="25.82"/>
        <n v="30.18"/>
        <n v="31.85"/>
        <n v="31.09"/>
        <n v="32.36"/>
        <n v="35.94"/>
        <n v="28.73"/>
        <n v="5.1"/>
        <n v="47.93"/>
        <n v="13"/>
        <n v="40.47"/>
        <n v="33.1"/>
        <n v="8.5"/>
        <n v="42.52"/>
        <n v="48.6"/>
        <n v="37.94"/>
        <n v="6.78"/>
        <n v="9.1"/>
        <n v="10.86"/>
        <n v="38.93"/>
        <n v="10.12"/>
        <n v="19.46"/>
        <n v="6.56"/>
        <n v="26.9"/>
        <n v="49.13"/>
        <n v="35.56"/>
        <n v="21.05"/>
      </sharedItems>
    </cacheField>
    <cacheField name="OrderDate" numFmtId="179">
      <sharedItems containsSemiMixedTypes="0" containsString="0" containsNonDate="0" containsDate="1" minDate="2023-01-01T00:00:00" maxDate="2025-06-30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</cacheField>
    <cacheField name="DeliveryDate" numFmtId="179">
      <sharedItems containsSemiMixedTypes="0" containsString="0" containsNonDate="0" containsDate="1" minDate="2023-01-08T00:00:00" maxDate="2025-07-10T00:00:00" count="733">
        <d v="2023-02-27T00:00:00"/>
        <d v="2024-12-28T00:00:00"/>
        <d v="2023-05-19T00:00:00"/>
        <d v="2025-03-02T00:00:00"/>
        <d v="2023-06-27T00:00:00"/>
        <d v="2024-03-01T00:00:00"/>
        <d v="2023-01-14T00:00:00"/>
        <d v="2023-01-11T00:00:00"/>
        <d v="2024-10-18T00:00:00"/>
        <d v="2025-03-13T00:00:00"/>
        <d v="2024-04-17T00:00:00"/>
        <d v="2024-07-18T00:00:00"/>
        <d v="2023-07-31T00:00:00"/>
        <d v="2025-01-22T00:00:00"/>
        <d v="2024-12-15T00:00:00"/>
        <d v="2025-05-17T00:00:00"/>
        <d v="2023-03-04T00:00:00"/>
        <d v="2024-06-01T00:00:00"/>
        <d v="2023-12-08T00:00:00"/>
        <d v="2023-07-02T00:00:00"/>
        <d v="2025-06-08T00:00:00"/>
        <d v="2023-03-08T00:00:00"/>
        <d v="2024-02-22T00:00:00"/>
        <d v="2023-08-14T00:00:00"/>
        <d v="2024-05-30T00:00:00"/>
        <d v="2023-10-28T00:00:00"/>
        <d v="2025-06-25T00:00:00"/>
        <d v="2024-11-21T00:00:00"/>
        <d v="2023-05-17T00:00:00"/>
        <d v="2024-12-14T00:00:00"/>
        <d v="2024-02-15T00:00:00"/>
        <d v="2025-03-15T00:00:00"/>
        <d v="2023-04-11T00:00:00"/>
        <d v="2025-05-12T00:00:00"/>
        <d v="2023-09-11T00:00:00"/>
        <d v="2025-03-28T00:00:00"/>
        <d v="2025-06-30T00:00:00"/>
        <d v="2024-02-25T00:00:00"/>
        <d v="2023-06-17T00:00:00"/>
        <d v="2024-06-25T00:00:00"/>
        <d v="2023-07-26T00:00:00"/>
        <d v="2023-05-27T00:00:00"/>
        <d v="2023-07-04T00:00:00"/>
        <d v="2024-06-14T00:00:00"/>
        <d v="2025-02-05T00:00:00"/>
        <d v="2024-01-13T00:00:00"/>
        <d v="2024-03-16T00:00:00"/>
        <d v="2024-09-13T00:00:00"/>
        <d v="2023-03-20T00:00:00"/>
        <d v="2025-01-24T00:00:00"/>
        <d v="2024-09-18T00:00:00"/>
        <d v="2024-01-15T00:00:00"/>
        <d v="2024-04-25T00:00:00"/>
        <d v="2025-06-21T00:00:00"/>
        <d v="2023-05-26T00:00:00"/>
        <d v="2023-02-03T00:00:00"/>
        <d v="2024-03-27T00:00:00"/>
        <d v="2025-01-31T00:00:00"/>
        <d v="2023-06-21T00:00:00"/>
        <d v="2025-03-26T00:00:00"/>
        <d v="2024-02-27T00:00:00"/>
        <d v="2023-12-12T00:00:00"/>
        <d v="2023-10-05T00:00:00"/>
        <d v="2023-08-07T00:00:00"/>
        <d v="2024-12-31T00:00:00"/>
        <d v="2024-11-19T00:00:00"/>
        <d v="2025-03-22T00:00:00"/>
        <d v="2024-03-12T00:00:00"/>
        <d v="2023-02-14T00:00:00"/>
        <d v="2023-11-05T00:00:00"/>
        <d v="2024-01-20T00:00:00"/>
        <d v="2024-10-25T00:00:00"/>
        <d v="2023-10-01T00:00:00"/>
        <d v="2023-12-20T00:00:00"/>
        <d v="2024-01-05T00:00:00"/>
        <d v="2024-05-12T00:00:00"/>
        <d v="2023-06-02T00:00:00"/>
        <d v="2025-05-23T00:00:00"/>
        <d v="2023-07-25T00:00:00"/>
        <d v="2025-06-03T00:00:00"/>
        <d v="2024-11-22T00:00:00"/>
        <d v="2023-11-25T00:00:00"/>
        <d v="2025-01-21T00:00:00"/>
        <d v="2023-04-03T00:00:00"/>
        <d v="2025-03-05T00:00:00"/>
        <d v="2023-10-20T00:00:00"/>
        <d v="2025-04-15T00:00:00"/>
        <d v="2024-04-27T00:00:00"/>
        <d v="2025-02-08T00:00:00"/>
        <d v="2025-03-19T00:00:00"/>
        <d v="2024-05-29T00:00:00"/>
        <d v="2024-03-30T00:00:00"/>
        <d v="2023-04-08T00:00:00"/>
        <d v="2024-09-01T00:00:00"/>
        <d v="2024-07-17T00:00:00"/>
        <d v="2023-10-08T00:00:00"/>
        <d v="2023-10-11T00:00:00"/>
        <d v="2025-06-16T00:00:00"/>
        <d v="2025-06-14T00:00:00"/>
        <d v="2024-07-06T00:00:00"/>
        <d v="2024-04-02T00:00:00"/>
        <d v="2024-07-21T00:00:00"/>
        <d v="2024-03-25T00:00:00"/>
        <d v="2025-04-24T00:00:00"/>
        <d v="2024-02-20T00:00:00"/>
        <d v="2024-02-04T00:00:00"/>
        <d v="2025-04-23T00:00:00"/>
        <d v="2025-04-20T00:00:00"/>
        <d v="2024-08-13T00:00:00"/>
        <d v="2023-08-11T00:00:00"/>
        <d v="2024-01-31T00:00:00"/>
        <d v="2024-03-13T00:00:00"/>
        <d v="2024-01-28T00:00:00"/>
        <d v="2023-06-22T00:00:00"/>
        <d v="2025-05-15T00:00:00"/>
        <d v="2024-08-06T00:00:00"/>
        <d v="2024-07-27T00:00:00"/>
        <d v="2025-06-15T00:00:00"/>
        <d v="2024-07-24T00:00:00"/>
        <d v="2023-09-26T00:00:00"/>
        <d v="2023-03-19T00:00:00"/>
        <d v="2023-07-23T00:00:00"/>
        <d v="2024-03-31T00:00:00"/>
        <d v="2024-05-17T00:00:00"/>
        <d v="2023-03-22T00:00:00"/>
        <d v="2024-10-20T00:00:00"/>
        <d v="2025-02-25T00:00:00"/>
        <d v="2025-06-20T00:00:00"/>
        <d v="2024-05-01T00:00:00"/>
        <d v="2024-12-27T00:00:00"/>
        <d v="2023-05-02T00:00:00"/>
        <d v="2025-05-21T00:00:00"/>
        <d v="2024-03-05T00:00:00"/>
        <d v="2025-01-30T00:00:00"/>
        <d v="2025-03-30T00:00:00"/>
        <d v="2025-02-21T00:00:00"/>
        <d v="2024-11-11T00:00:00"/>
        <d v="2024-03-21T00:00:00"/>
        <d v="2023-09-01T00:00:00"/>
        <d v="2023-06-30T00:00:00"/>
        <d v="2024-04-15T00:00:00"/>
        <d v="2023-03-18T00:00:00"/>
        <d v="2024-08-26T00:00:00"/>
        <d v="2024-02-06T00:00:00"/>
        <d v="2024-01-29T00:00:00"/>
        <d v="2023-01-08T00:00:00"/>
        <d v="2023-12-30T00:00:00"/>
        <d v="2025-07-08T00:00:00"/>
        <d v="2025-02-19T00:00:00"/>
        <d v="2024-01-07T00:00:00"/>
        <d v="2023-02-13T00:00:00"/>
        <d v="2024-03-08T00:00:00"/>
        <d v="2025-06-28T00:00:00"/>
        <d v="2023-04-14T00:00:00"/>
        <d v="2025-03-10T00:00:00"/>
        <d v="2024-07-20T00:00:00"/>
        <d v="2024-08-20T00:00:00"/>
        <d v="2025-07-09T00:00:00"/>
        <d v="2024-11-13T00:00:00"/>
        <d v="2025-04-04T00:00:00"/>
        <d v="2023-12-18T00:00:00"/>
        <d v="2023-07-17T00:00:00"/>
        <d v="2023-02-16T00:00:00"/>
        <d v="2024-07-07T00:00:00"/>
        <d v="2024-04-22T00:00:00"/>
        <d v="2023-12-06T00:00:00"/>
        <d v="2025-03-29T00:00:00"/>
        <d v="2023-08-10T00:00:00"/>
        <d v="2024-12-22T00:00:00"/>
        <d v="2025-01-26T00:00:00"/>
        <d v="2023-12-02T00:00:00"/>
        <d v="2023-02-18T00:00:00"/>
        <d v="2025-02-06T00:00:00"/>
        <d v="2023-04-20T00:00:00"/>
        <d v="2024-07-13T00:00:00"/>
        <d v="2024-04-16T00:00:00"/>
        <d v="2023-08-18T00:00:00"/>
        <d v="2024-09-06T00:00:00"/>
        <d v="2025-07-04T00:00:00"/>
        <d v="2025-04-08T00:00:00"/>
        <d v="2023-05-07T00:00:00"/>
        <d v="2024-08-17T00:00:00"/>
        <d v="2023-04-25T00:00:00"/>
        <d v="2023-08-15T00:00:00"/>
        <d v="2023-06-28T00:00:00"/>
        <d v="2023-03-30T00:00:00"/>
        <d v="2023-09-07T00:00:00"/>
        <d v="2025-01-27T00:00:00"/>
        <d v="2023-05-23T00:00:00"/>
        <d v="2023-02-22T00:00:00"/>
        <d v="2024-06-12T00:00:00"/>
        <d v="2023-11-15T00:00:00"/>
        <d v="2023-01-26T00:00:00"/>
        <d v="2025-04-10T00:00:00"/>
        <d v="2025-06-18T00:00:00"/>
        <d v="2023-03-28T00:00:00"/>
        <d v="2024-11-25T00:00:00"/>
        <d v="2024-10-09T00:00:00"/>
        <d v="2024-04-08T00:00:00"/>
        <d v="2023-08-26T00:00:00"/>
        <d v="2024-08-21T00:00:00"/>
        <d v="2023-11-16T00:00:00"/>
        <d v="2024-04-09T00:00:00"/>
        <d v="2024-06-20T00:00:00"/>
        <d v="2023-12-03T00:00:00"/>
        <d v="2024-11-16T00:00:00"/>
        <d v="2024-11-08T00:00:00"/>
        <d v="2025-01-20T00:00:00"/>
        <d v="2023-05-10T00:00:00"/>
        <d v="2025-06-02T00:00:00"/>
        <d v="2025-01-05T00:00:00"/>
        <d v="2025-03-24T00:00:00"/>
        <d v="2025-01-03T00:00:00"/>
        <d v="2025-06-10T00:00:00"/>
        <d v="2024-10-01T00:00:00"/>
        <d v="2023-03-02T00:00:00"/>
        <d v="2024-11-27T00:00:00"/>
        <d v="2023-08-29T00:00:00"/>
        <d v="2024-01-08T00:00:00"/>
        <d v="2024-11-30T00:00:00"/>
        <d v="2023-06-18T00:00:00"/>
        <d v="2024-12-26T00:00:00"/>
        <d v="2023-01-31T00:00:00"/>
        <d v="2023-11-29T00:00:00"/>
        <d v="2023-01-29T00:00:00"/>
        <d v="2025-03-09T00:00:00"/>
        <d v="2023-02-12T00:00:00"/>
        <d v="2023-06-01T00:00:00"/>
        <d v="2024-06-06T00:00:00"/>
        <d v="2023-02-15T00:00:00"/>
        <d v="2024-07-19T00:00:00"/>
        <d v="2025-03-16T00:00:00"/>
        <d v="2023-08-08T00:00:00"/>
        <d v="2023-07-29T00:00:00"/>
        <d v="2024-04-13T00:00:00"/>
        <d v="2025-05-03T00:00:00"/>
        <d v="2025-02-23T00:00:00"/>
        <d v="2023-09-19T00:00:00"/>
        <d v="2024-11-18T00:00:00"/>
        <d v="2024-08-15T00:00:00"/>
        <d v="2025-02-02T00:00:00"/>
        <d v="2024-09-23T00:00:00"/>
        <d v="2023-09-15T00:00:00"/>
        <d v="2025-04-28T00:00:00"/>
        <d v="2024-06-27T00:00:00"/>
        <d v="2023-01-20T00:00:00"/>
        <d v="2023-07-07T00:00:00"/>
        <d v="2025-03-18T00:00:00"/>
        <d v="2025-02-12T00:00:00"/>
        <d v="2025-03-21T00:00:00"/>
        <d v="2023-03-26T00:00:00"/>
        <d v="2023-10-31T00:00:00"/>
        <d v="2023-11-11T00:00:00"/>
        <d v="2024-02-03T00:00:00"/>
        <d v="2025-04-02T00:00:00"/>
        <d v="2024-11-09T00:00:00"/>
        <d v="2024-07-09T00:00:00"/>
        <d v="2023-01-19T00:00:00"/>
        <d v="2024-03-24T00:00:00"/>
        <d v="2023-09-08T00:00:00"/>
        <d v="2024-10-17T00:00:00"/>
        <d v="2023-04-15T00:00:00"/>
        <d v="2023-05-08T00:00:00"/>
        <d v="2023-12-21T00:00:00"/>
        <d v="2024-10-16T00:00:00"/>
        <d v="2023-02-07T00:00:00"/>
        <d v="2024-08-14T00:00:00"/>
        <d v="2024-11-01T00:00:00"/>
        <d v="2024-06-07T00:00:00"/>
        <d v="2023-04-18T00:00:00"/>
        <d v="2024-10-23T00:00:00"/>
        <d v="2023-12-22T00:00:00"/>
        <d v="2023-09-06T00:00:00"/>
        <d v="2025-05-10T00:00:00"/>
        <d v="2024-09-15T00:00:00"/>
        <d v="2023-05-29T00:00:00"/>
        <d v="2024-02-11T00:00:00"/>
        <d v="2024-06-04T00:00:00"/>
        <d v="2024-06-30T00:00:00"/>
        <d v="2024-02-07T00:00:00"/>
        <d v="2024-12-09T00:00:00"/>
        <d v="2023-11-26T00:00:00"/>
        <d v="2024-12-24T00:00:00"/>
        <d v="2025-03-27T00:00:00"/>
        <d v="2023-09-14T00:00:00"/>
        <d v="2024-05-05T00:00:00"/>
        <d v="2025-05-07T00:00:00"/>
        <d v="2023-09-20T00:00:00"/>
        <d v="2024-10-26T00:00:00"/>
        <d v="2023-05-06T00:00:00"/>
        <d v="2025-03-25T00:00:00"/>
        <d v="2023-08-27T00:00:00"/>
        <d v="2025-03-06T00:00:00"/>
        <d v="2025-04-17T00:00:00"/>
        <d v="2024-10-27T00:00:00"/>
        <d v="2023-06-25T00:00:00"/>
        <d v="2025-03-11T00:00:00"/>
        <d v="2023-10-30T00:00:00"/>
        <d v="2024-09-19T00:00:00"/>
        <d v="2025-01-12T00:00:00"/>
        <d v="2023-04-04T00:00:00"/>
        <d v="2023-02-09T00:00:00"/>
        <d v="2025-04-27T00:00:00"/>
        <d v="2024-04-28T00:00:00"/>
        <d v="2024-09-27T00:00:00"/>
        <d v="2024-06-11T00:00:00"/>
        <d v="2025-05-30T00:00:00"/>
        <d v="2024-07-25T00:00:00"/>
        <d v="2024-07-16T00:00:00"/>
        <d v="2023-04-19T00:00:00"/>
        <d v="2023-06-06T00:00:00"/>
        <d v="2025-04-09T00:00:00"/>
        <d v="2024-07-22T00:00:00"/>
        <d v="2025-01-10T00:00:00"/>
        <d v="2025-02-11T00:00:00"/>
        <d v="2024-04-04T00:00:00"/>
        <d v="2023-07-06T00:00:00"/>
        <d v="2023-05-01T00:00:00"/>
        <d v="2025-04-19T00:00:00"/>
        <d v="2023-11-12T00:00:00"/>
        <d v="2025-02-10T00:00:00"/>
        <d v="2023-05-25T00:00:00"/>
        <d v="2025-06-24T00:00:00"/>
        <d v="2024-11-12T00:00:00"/>
        <d v="2024-07-31T00:00:00"/>
        <d v="2023-08-23T00:00:00"/>
        <d v="2024-09-02T00:00:00"/>
        <d v="2024-11-17T00:00:00"/>
        <d v="2023-11-27T00:00:00"/>
        <d v="2023-03-09T00:00:00"/>
        <d v="2024-06-02T00:00:00"/>
        <d v="2023-03-13T00:00:00"/>
        <d v="2024-01-11T00:00:00"/>
        <d v="2024-11-10T00:00:00"/>
        <d v="2024-05-14T00:00:00"/>
        <d v="2024-03-15T00:00:00"/>
        <d v="2023-07-22T00:00:00"/>
        <d v="2023-03-29T00:00:00"/>
        <d v="2023-03-17T00:00:00"/>
        <d v="2024-05-06T00:00:00"/>
        <d v="2023-11-08T00:00:00"/>
        <d v="2024-11-26T00:00:00"/>
        <d v="2024-02-18T00:00:00"/>
        <d v="2023-11-22T00:00:00"/>
        <d v="2025-01-29T00:00:00"/>
        <d v="2025-05-09T00:00:00"/>
        <d v="2025-05-27T00:00:00"/>
        <d v="2023-12-01T00:00:00"/>
        <d v="2023-02-26T00:00:00"/>
        <d v="2023-11-10T00:00:00"/>
        <d v="2024-06-22T00:00:00"/>
        <d v="2024-10-06T00:00:00"/>
        <d v="2023-06-13T00:00:00"/>
        <d v="2023-09-18T00:00:00"/>
        <d v="2025-05-22T00:00:00"/>
        <d v="2023-10-03T00:00:00"/>
        <d v="2024-02-05T00:00:00"/>
        <d v="2025-01-17T00:00:00"/>
        <d v="2025-04-06T00:00:00"/>
        <d v="2024-02-29T00:00:00"/>
        <d v="2024-11-07T00:00:00"/>
        <d v="2024-08-23T00:00:00"/>
        <d v="2023-08-09T00:00:00"/>
        <d v="2024-09-28T00:00:00"/>
        <d v="2024-01-03T00:00:00"/>
        <d v="2024-05-09T00:00:00"/>
        <d v="2023-12-24T00:00:00"/>
        <d v="2023-01-24T00:00:00"/>
        <d v="2025-03-08T00:00:00"/>
        <d v="2023-12-13T00:00:00"/>
        <d v="2024-06-29T00:00:00"/>
        <d v="2023-08-19T00:00:00"/>
        <d v="2023-09-05T00:00:00"/>
        <d v="2023-07-09T00:00:00"/>
        <d v="2023-08-20T00:00:00"/>
        <d v="2024-05-07T00:00:00"/>
        <d v="2025-01-23T00:00:00"/>
        <d v="2025-03-03T00:00:00"/>
        <d v="2024-10-21T00:00:00"/>
        <d v="2025-06-17T00:00:00"/>
        <d v="2023-12-05T00:00:00"/>
        <d v="2023-10-10T00:00:00"/>
        <d v="2023-11-07T00:00:00"/>
        <d v="2023-06-23T00:00:00"/>
        <d v="2024-06-23T00:00:00"/>
        <d v="2024-04-10T00:00:00"/>
        <d v="2023-03-07T00:00:00"/>
        <d v="2023-03-10T00:00:00"/>
        <d v="2023-04-28T00:00:00"/>
        <d v="2024-07-04T00:00:00"/>
        <d v="2024-10-19T00:00:00"/>
        <d v="2025-06-23T00:00:00"/>
        <d v="2024-12-30T00:00:00"/>
        <d v="2023-03-21T00:00:00"/>
        <d v="2023-05-15T00:00:00"/>
        <d v="2024-07-05T00:00:00"/>
        <d v="2025-05-20T00:00:00"/>
        <d v="2025-07-10T00:00:00"/>
        <d v="2024-06-08T00:00:00"/>
        <d v="2024-09-05T00:00:00"/>
        <d v="2025-01-18T00:00:00"/>
        <d v="2025-04-03T00:00:00"/>
        <d v="2024-12-05T00:00:00"/>
        <d v="2024-11-03T00:00:00"/>
        <d v="2025-04-16T00:00:00"/>
        <d v="2024-06-10T00:00:00"/>
        <d v="2025-01-25T00:00:00"/>
        <d v="2024-09-29T00:00:00"/>
        <d v="2023-01-25T00:00:00"/>
        <d v="2024-01-22T00:00:00"/>
        <d v="2024-02-23T00:00:00"/>
        <d v="2024-02-02T00:00:00"/>
        <d v="2023-12-31T00:00:00"/>
        <d v="2024-07-15T00:00:00"/>
        <d v="2024-04-01T00:00:00"/>
        <d v="2025-05-29T00:00:00"/>
        <d v="2023-11-03T00:00:00"/>
        <d v="2024-11-24T00:00:00"/>
        <d v="2023-06-29T00:00:00"/>
        <d v="2024-02-01T00:00:00"/>
        <d v="2025-01-14T00:00:00"/>
        <d v="2025-01-09T00:00:00"/>
        <d v="2023-03-03T00:00:00"/>
        <d v="2025-02-16T00:00:00"/>
        <d v="2024-09-30T00:00:00"/>
        <d v="2025-04-01T00:00:00"/>
        <d v="2023-05-04T00:00:00"/>
        <d v="2024-03-20T00:00:00"/>
        <d v="2024-04-12T00:00:00"/>
        <d v="2023-12-11T00:00:00"/>
        <d v="2025-02-13T00:00:00"/>
        <d v="2025-07-02T00:00:00"/>
        <d v="2024-12-20T00:00:00"/>
        <d v="2024-05-11T00:00:00"/>
        <d v="2024-01-01T00:00:00"/>
        <d v="2024-05-19T00:00:00"/>
        <d v="2023-10-16T00:00:00"/>
        <d v="2023-07-13T00:00:00"/>
        <d v="2023-09-12T00:00:00"/>
        <d v="2023-10-22T00:00:00"/>
        <d v="2024-10-07T00:00:00"/>
        <d v="2024-05-04T00:00:00"/>
        <d v="2024-02-14T00:00:00"/>
        <d v="2023-02-11T00:00:00"/>
        <d v="2023-06-19T00:00:00"/>
        <d v="2024-08-01T00:00:00"/>
        <d v="2024-01-23T00:00:00"/>
        <d v="2024-08-22T00:00:00"/>
        <d v="2024-01-12T00:00:00"/>
        <d v="2024-09-25T00:00:00"/>
        <d v="2025-06-29T00:00:00"/>
        <d v="2024-05-22T00:00:00"/>
        <d v="2024-12-04T00:00:00"/>
        <d v="2024-08-04T00:00:00"/>
        <d v="2023-07-03T00:00:00"/>
        <d v="2023-01-15T00:00:00"/>
        <d v="2023-09-27T00:00:00"/>
        <d v="2023-12-28T00:00:00"/>
        <d v="2025-01-13T00:00:00"/>
        <d v="2023-09-16T00:00:00"/>
        <d v="2025-06-12T00:00:00"/>
        <d v="2023-09-03T00:00:00"/>
        <d v="2023-01-13T00:00:00"/>
        <d v="2025-04-25T00:00:00"/>
        <d v="2023-01-27T00:00:00"/>
        <d v="2024-01-02T00:00:00"/>
        <d v="2024-08-05T00:00:00"/>
        <d v="2024-01-17T00:00:00"/>
        <d v="2024-01-14T00:00:00"/>
        <d v="2023-02-19T00:00:00"/>
        <d v="2024-06-24T00:00:00"/>
        <d v="2023-08-24T00:00:00"/>
        <d v="2023-01-17T00:00:00"/>
        <d v="2024-05-20T00:00:00"/>
        <d v="2024-03-11T00:00:00"/>
        <d v="2024-06-09T00:00:00"/>
        <d v="2023-08-13T00:00:00"/>
        <d v="2023-07-05T00:00:00"/>
        <d v="2024-01-30T00:00:00"/>
        <d v="2024-11-06T00:00:00"/>
        <d v="2024-05-18T00:00:00"/>
        <d v="2023-09-21T00:00:00"/>
        <d v="2024-12-01T00:00:00"/>
        <d v="2024-04-21T00:00:00"/>
        <d v="2025-03-17T00:00:00"/>
        <d v="2024-03-03T00:00:00"/>
        <d v="2024-01-16T00:00:00"/>
        <d v="2025-05-14T00:00:00"/>
        <d v="2023-04-21T00:00:00"/>
        <d v="2024-06-21T00:00:00"/>
        <d v="2024-11-04T00:00:00"/>
        <d v="2024-05-02T00:00:00"/>
        <d v="2025-06-07T00:00:00"/>
        <d v="2023-03-14T00:00:00"/>
        <d v="2023-05-13T00:00:00"/>
        <d v="2025-05-31T00:00:00"/>
        <d v="2023-10-04T00:00:00"/>
        <d v="2024-10-13T00:00:00"/>
        <d v="2023-04-23T00:00:00"/>
        <d v="2023-07-21T00:00:00"/>
        <d v="2025-06-26T00:00:00"/>
        <d v="2025-01-02T00:00:00"/>
        <d v="2024-01-27T00:00:00"/>
        <d v="2025-04-14T00:00:00"/>
        <d v="2024-10-15T00:00:00"/>
        <d v="2024-05-25T00:00:00"/>
        <d v="2023-04-29T00:00:00"/>
        <d v="2024-10-14T00:00:00"/>
        <d v="2024-06-26T00:00:00"/>
        <d v="2023-02-05T00:00:00"/>
        <d v="2023-12-09T00:00:00"/>
        <d v="2024-04-30T00:00:00"/>
        <d v="2023-08-12T00:00:00"/>
        <d v="2024-12-29T00:00:00"/>
        <d v="2024-07-01T00:00:00"/>
        <d v="2024-12-13T00:00:00"/>
        <d v="2024-05-31T00:00:00"/>
        <d v="2023-10-14T00:00:00"/>
        <d v="2023-03-27T00:00:00"/>
        <d v="2025-02-07T00:00:00"/>
        <d v="2023-03-12T00:00:00"/>
        <d v="2023-03-25T00:00:00"/>
        <d v="2024-06-13T00:00:00"/>
        <d v="2025-07-01T00:00:00"/>
        <d v="2025-04-13T00:00:00"/>
        <d v="2025-02-28T00:00:00"/>
        <d v="2024-11-23T00:00:00"/>
        <d v="2023-09-28T00:00:00"/>
        <d v="2023-10-26T00:00:00"/>
        <d v="2025-04-29T00:00:00"/>
        <d v="2023-06-14T00:00:00"/>
        <d v="2024-10-28T00:00:00"/>
        <d v="2025-05-28T00:00:00"/>
        <d v="2023-05-14T00:00:00"/>
        <d v="2023-08-31T00:00:00"/>
        <d v="2025-04-22T00:00:00"/>
        <d v="2024-06-17T00:00:00"/>
        <d v="2024-10-24T00:00:00"/>
        <d v="2024-04-07T00:00:00"/>
        <d v="2025-01-16T00:00:00"/>
        <d v="2023-09-13T00:00:00"/>
        <d v="2025-02-14T00:00:00"/>
        <d v="2024-07-26T00:00:00"/>
        <d v="2023-02-21T00:00:00"/>
        <d v="2025-06-09T00:00:00"/>
        <d v="2024-11-29T00:00:00"/>
        <d v="2023-08-05T00:00:00"/>
        <d v="2025-04-26T00:00:00"/>
        <d v="2024-09-20T00:00:00"/>
        <d v="2023-09-22T00:00:00"/>
        <d v="2023-03-05T00:00:00"/>
        <d v="2023-06-03T00:00:00"/>
        <d v="2023-09-10T00:00:00"/>
        <d v="2024-10-11T00:00:00"/>
        <d v="2024-08-29T00:00:00"/>
        <d v="2023-07-24T00:00:00"/>
        <d v="2025-03-04T00:00:00"/>
        <d v="2024-03-22T00:00:00"/>
        <d v="2023-12-26T00:00:00"/>
        <d v="2024-12-19T00:00:00"/>
        <d v="2023-05-20T00:00:00"/>
        <d v="2023-10-21T00:00:00"/>
        <d v="2024-12-06T00:00:00"/>
        <d v="2023-09-29T00:00:00"/>
        <d v="2025-02-22T00:00:00"/>
        <d v="2023-06-09T00:00:00"/>
        <d v="2025-02-20T00:00:00"/>
        <d v="2025-05-13T00:00:00"/>
        <d v="2025-04-12T00:00:00"/>
        <d v="2023-01-30T00:00:00"/>
        <d v="2024-03-07T00:00:00"/>
        <d v="2023-12-04T00:00:00"/>
        <d v="2024-05-27T00:00:00"/>
        <d v="2023-02-23T00:00:00"/>
        <d v="2025-05-08T00:00:00"/>
        <d v="2024-09-12T00:00:00"/>
        <d v="2024-03-06T00:00:00"/>
        <d v="2024-03-02T00:00:00"/>
        <d v="2024-05-13T00:00:00"/>
        <d v="2023-02-08T00:00:00"/>
        <d v="2023-11-30T00:00:00"/>
        <d v="2025-03-01T00:00:00"/>
        <d v="2024-04-06T00:00:00"/>
        <d v="2025-06-01T00:00:00"/>
        <d v="2023-10-15T00:00:00"/>
        <d v="2023-02-06T00:00:00"/>
        <d v="2024-07-14T00:00:00"/>
        <d v="2023-07-10T00:00:00"/>
        <d v="2024-05-15T00:00:00"/>
        <d v="2024-04-20T00:00:00"/>
        <d v="2024-02-13T00:00:00"/>
        <d v="2023-11-20T00:00:00"/>
        <d v="2023-04-06T00:00:00"/>
        <d v="2023-07-15T00:00:00"/>
        <d v="2025-02-24T00:00:00"/>
        <d v="2023-09-09T00:00:00"/>
        <d v="2023-07-01T00:00:00"/>
        <d v="2024-01-26T00:00:00"/>
        <d v="2024-12-17T00:00:00"/>
        <d v="2024-09-03T00:00:00"/>
        <d v="2025-05-24T00:00:00"/>
        <d v="2023-06-26T00:00:00"/>
        <d v="2025-06-22T00:00:00"/>
        <d v="2024-03-04T00:00:00"/>
        <d v="2024-02-09T00:00:00"/>
        <d v="2023-11-24T00:00:00"/>
        <d v="2023-01-18T00:00:00"/>
        <d v="2023-02-10T00:00:00"/>
        <d v="2024-02-21T00:00:00"/>
        <d v="2025-05-18T00:00:00"/>
        <d v="2024-08-10T00:00:00"/>
        <d v="2024-07-12T00:00:00"/>
        <d v="2024-01-18T00:00:00"/>
        <d v="2024-11-02T00:00:00"/>
        <d v="2024-04-29T00:00:00"/>
        <d v="2023-06-20T00:00:00"/>
        <d v="2023-03-31T00:00:00"/>
        <d v="2023-07-18T00:00:00"/>
        <d v="2023-05-28T00:00:00"/>
        <d v="2025-02-17T00:00:00"/>
        <d v="2024-12-16T00:00:00"/>
        <d v="2023-01-28T00:00:00"/>
        <d v="2025-04-18T00:00:00"/>
        <d v="2025-01-19T00:00:00"/>
        <d v="2023-10-02T00:00:00"/>
        <d v="2023-08-02T00:00:00"/>
        <d v="2023-07-19T00:00:00"/>
        <d v="2024-08-16T00:00:00"/>
        <d v="2023-04-24T00:00:00"/>
        <d v="2023-11-06T00:00:00"/>
        <d v="2024-06-18T00:00:00"/>
        <d v="2023-05-12T00:00:00"/>
        <d v="2023-05-31T00:00:00"/>
        <d v="2023-08-01T00:00:00"/>
        <d v="2024-06-15T00:00:00"/>
        <d v="2024-04-05T00:00:00"/>
        <d v="2024-10-02T00:00:00"/>
        <d v="2023-04-10T00:00:00"/>
        <d v="2024-12-23T00:00:00"/>
        <d v="2024-12-03T00:00:00"/>
        <d v="2024-08-30T00:00:00"/>
        <d v="2023-12-25T00:00:00"/>
        <d v="2023-12-15T00:00:00"/>
        <d v="2023-01-23T00:00:00"/>
        <d v="2023-07-14T00:00:00"/>
        <d v="2024-05-23T00:00:00"/>
        <d v="2024-11-20T00:00:00"/>
        <d v="2024-07-28T00:00:00"/>
        <d v="2023-10-09T00:00:00"/>
        <d v="2024-07-11T00:00:00"/>
        <d v="2023-12-16T00:00:00"/>
        <d v="2025-02-15T00:00:00"/>
        <d v="2025-07-05T00:00:00"/>
        <d v="2024-08-25T00:00:00"/>
        <d v="2024-01-19T00:00:00"/>
        <d v="2024-08-11T00:00:00"/>
        <d v="2024-01-21T00:00:00"/>
        <d v="2023-10-23T00:00:00"/>
        <d v="2023-11-01T00:00:00"/>
        <d v="2023-02-17T00:00:00"/>
        <d v="2023-05-03T00:00:00"/>
        <d v="2024-09-08T00:00:00"/>
        <d v="2025-01-07T00:00:00"/>
        <d v="2024-02-16T00:00:00"/>
        <d v="2023-03-16T00:00:00"/>
        <d v="2025-02-27T00:00:00"/>
        <d v="2023-08-28T00:00:00"/>
        <d v="2025-05-25T00:00:00"/>
        <d v="2023-04-09T00:00:00"/>
        <d v="2025-01-08T00:00:00"/>
        <d v="2024-07-03T00:00:00"/>
        <d v="2023-04-17T00:00:00"/>
        <d v="2023-02-25T00:00:00"/>
        <d v="2023-04-13T00:00:00"/>
        <d v="2025-05-26T00:00:00"/>
        <d v="2023-03-11T00:00:00"/>
        <d v="2025-02-04T00:00:00"/>
        <d v="2025-05-11T00:00:00"/>
        <d v="2024-01-04T00:00:00"/>
        <d v="2024-09-22T00:00:00"/>
        <d v="2025-02-18T00:00:00"/>
        <d v="2025-03-12T00:00:00"/>
        <d v="2024-03-28T00:00:00"/>
        <d v="2025-05-06T00:00:00"/>
        <d v="2024-09-14T00:00:00"/>
        <d v="2023-11-14T00:00:00"/>
        <d v="2024-12-21T00:00:00"/>
        <d v="2024-12-02T00:00:00"/>
        <d v="2024-07-30T00:00:00"/>
        <d v="2023-10-24T00:00:00"/>
        <d v="2023-07-08T00:00:00"/>
        <d v="2024-02-17T00:00:00"/>
        <d v="2025-04-11T00:00:00"/>
        <d v="2024-02-28T00:00:00"/>
        <d v="2023-10-12T00:00:00"/>
        <d v="2025-03-14T00:00:00"/>
        <d v="2023-12-29T00:00:00"/>
        <d v="2023-08-22T00:00:00"/>
        <d v="2023-06-05T00:00:00"/>
        <d v="2024-10-08T00:00:00"/>
        <d v="2023-11-21T00:00:00"/>
        <d v="2025-01-15T00:00:00"/>
        <d v="2023-09-02T00:00:00"/>
        <d v="2024-12-11T00:00:00"/>
        <d v="2023-12-14T00:00:00"/>
        <d v="2023-01-21T00:00:00"/>
        <d v="2025-03-23T00:00:00"/>
        <d v="2024-01-24T00:00:00"/>
        <d v="2024-08-24T00:00:00"/>
        <d v="2023-05-05T00:00:00"/>
        <d v="2025-01-28T00:00:00"/>
        <d v="2023-11-17T00:00:00"/>
        <d v="2024-05-10T00:00:00"/>
        <d v="2023-05-18T00:00:00"/>
        <d v="2024-07-02T00:00:00"/>
        <d v="2025-07-03T00:00:00"/>
        <d v="2025-05-19T00:00:00"/>
        <d v="2025-04-07T00:00:00"/>
        <d v="2023-07-12T00:00:00"/>
        <d v="2023-08-03T00:00:00"/>
        <d v="2023-04-27T00:00:00"/>
        <d v="2024-12-25T00:00:00"/>
        <d v="2023-01-12T00:00:00"/>
        <d v="2025-05-01T00:00:00"/>
        <d v="2024-05-21T00:00:00"/>
        <d v="2023-12-23T00:00:00"/>
        <d v="2025-07-07T00:00:00"/>
        <d v="2023-11-28T00:00:00"/>
        <d v="2024-01-25T00:00:00"/>
        <d v="2023-03-23T00:00:00"/>
        <d v="2024-12-07T00:00:00"/>
        <d v="2024-08-03T00:00:00"/>
        <d v="2024-12-10T00:00:00"/>
      </sharedItems>
    </cacheField>
    <cacheField name="Date Diff" numFmtId="0">
      <sharedItems containsSemiMixedTypes="0" containsString="0" containsNumber="1" containsInteger="1" minValue="2" maxValue="10" count="9">
        <n v="4"/>
        <n v="9"/>
        <n v="3"/>
        <n v="10"/>
        <n v="2"/>
        <n v="8"/>
        <n v="7"/>
        <n v="6"/>
        <n v="5"/>
      </sharedItems>
    </cacheField>
    <cacheField name="RegionManager" numFmtId="0">
      <sharedItems count="5">
        <s v="Eric"/>
        <s v="Sophie"/>
        <s v="Ryan"/>
        <s v="Cameron"/>
        <s v="Wendy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</r>
  <r>
    <x v="2"/>
    <x v="2"/>
    <x v="2"/>
    <x v="2"/>
    <x v="0"/>
    <x v="2"/>
    <x v="2"/>
    <x v="0"/>
    <x v="0"/>
    <x v="1"/>
    <x v="1"/>
    <x v="2"/>
    <x v="0"/>
    <x v="2"/>
    <x v="0"/>
    <x v="2"/>
    <x v="2"/>
    <x v="2"/>
    <x v="2"/>
    <x v="2"/>
    <x v="1"/>
    <x v="2"/>
  </r>
  <r>
    <x v="3"/>
    <x v="0"/>
    <x v="3"/>
    <x v="3"/>
    <x v="2"/>
    <x v="3"/>
    <x v="3"/>
    <x v="1"/>
    <x v="0"/>
    <x v="2"/>
    <x v="2"/>
    <x v="3"/>
    <x v="1"/>
    <x v="0"/>
    <x v="0"/>
    <x v="3"/>
    <x v="3"/>
    <x v="3"/>
    <x v="3"/>
    <x v="3"/>
    <x v="0"/>
    <x v="3"/>
  </r>
  <r>
    <x v="4"/>
    <x v="3"/>
    <x v="0"/>
    <x v="2"/>
    <x v="2"/>
    <x v="4"/>
    <x v="4"/>
    <x v="2"/>
    <x v="1"/>
    <x v="0"/>
    <x v="3"/>
    <x v="4"/>
    <x v="0"/>
    <x v="1"/>
    <x v="0"/>
    <x v="4"/>
    <x v="4"/>
    <x v="4"/>
    <x v="4"/>
    <x v="4"/>
    <x v="2"/>
    <x v="0"/>
  </r>
  <r>
    <x v="5"/>
    <x v="0"/>
    <x v="3"/>
    <x v="4"/>
    <x v="3"/>
    <x v="5"/>
    <x v="5"/>
    <x v="3"/>
    <x v="0"/>
    <x v="2"/>
    <x v="4"/>
    <x v="5"/>
    <x v="2"/>
    <x v="3"/>
    <x v="0"/>
    <x v="5"/>
    <x v="5"/>
    <x v="5"/>
    <x v="5"/>
    <x v="5"/>
    <x v="3"/>
    <x v="3"/>
  </r>
  <r>
    <x v="6"/>
    <x v="4"/>
    <x v="1"/>
    <x v="3"/>
    <x v="4"/>
    <x v="6"/>
    <x v="6"/>
    <x v="2"/>
    <x v="1"/>
    <x v="1"/>
    <x v="1"/>
    <x v="6"/>
    <x v="3"/>
    <x v="2"/>
    <x v="0"/>
    <x v="6"/>
    <x v="6"/>
    <x v="6"/>
    <x v="6"/>
    <x v="6"/>
    <x v="2"/>
    <x v="1"/>
  </r>
  <r>
    <x v="7"/>
    <x v="4"/>
    <x v="3"/>
    <x v="3"/>
    <x v="5"/>
    <x v="7"/>
    <x v="7"/>
    <x v="2"/>
    <x v="0"/>
    <x v="2"/>
    <x v="3"/>
    <x v="7"/>
    <x v="4"/>
    <x v="3"/>
    <x v="0"/>
    <x v="7"/>
    <x v="7"/>
    <x v="7"/>
    <x v="7"/>
    <x v="7"/>
    <x v="4"/>
    <x v="3"/>
  </r>
  <r>
    <x v="8"/>
    <x v="5"/>
    <x v="1"/>
    <x v="3"/>
    <x v="5"/>
    <x v="8"/>
    <x v="8"/>
    <x v="3"/>
    <x v="0"/>
    <x v="3"/>
    <x v="5"/>
    <x v="8"/>
    <x v="3"/>
    <x v="0"/>
    <x v="1"/>
    <x v="8"/>
    <x v="8"/>
    <x v="8"/>
    <x v="8"/>
    <x v="8"/>
    <x v="4"/>
    <x v="1"/>
  </r>
  <r>
    <x v="9"/>
    <x v="6"/>
    <x v="4"/>
    <x v="2"/>
    <x v="6"/>
    <x v="9"/>
    <x v="9"/>
    <x v="3"/>
    <x v="1"/>
    <x v="1"/>
    <x v="2"/>
    <x v="9"/>
    <x v="1"/>
    <x v="1"/>
    <x v="0"/>
    <x v="9"/>
    <x v="9"/>
    <x v="9"/>
    <x v="9"/>
    <x v="9"/>
    <x v="5"/>
    <x v="4"/>
  </r>
  <r>
    <x v="10"/>
    <x v="7"/>
    <x v="2"/>
    <x v="2"/>
    <x v="7"/>
    <x v="10"/>
    <x v="10"/>
    <x v="0"/>
    <x v="0"/>
    <x v="2"/>
    <x v="0"/>
    <x v="10"/>
    <x v="3"/>
    <x v="3"/>
    <x v="0"/>
    <x v="10"/>
    <x v="10"/>
    <x v="10"/>
    <x v="10"/>
    <x v="10"/>
    <x v="6"/>
    <x v="2"/>
  </r>
  <r>
    <x v="11"/>
    <x v="8"/>
    <x v="0"/>
    <x v="1"/>
    <x v="8"/>
    <x v="11"/>
    <x v="11"/>
    <x v="3"/>
    <x v="1"/>
    <x v="1"/>
    <x v="0"/>
    <x v="11"/>
    <x v="1"/>
    <x v="3"/>
    <x v="1"/>
    <x v="11"/>
    <x v="11"/>
    <x v="11"/>
    <x v="11"/>
    <x v="11"/>
    <x v="7"/>
    <x v="0"/>
  </r>
  <r>
    <x v="12"/>
    <x v="8"/>
    <x v="3"/>
    <x v="1"/>
    <x v="1"/>
    <x v="12"/>
    <x v="12"/>
    <x v="0"/>
    <x v="1"/>
    <x v="3"/>
    <x v="4"/>
    <x v="12"/>
    <x v="4"/>
    <x v="2"/>
    <x v="0"/>
    <x v="12"/>
    <x v="12"/>
    <x v="12"/>
    <x v="12"/>
    <x v="12"/>
    <x v="3"/>
    <x v="3"/>
  </r>
  <r>
    <x v="13"/>
    <x v="4"/>
    <x v="4"/>
    <x v="5"/>
    <x v="1"/>
    <x v="13"/>
    <x v="13"/>
    <x v="1"/>
    <x v="0"/>
    <x v="2"/>
    <x v="3"/>
    <x v="13"/>
    <x v="3"/>
    <x v="3"/>
    <x v="0"/>
    <x v="13"/>
    <x v="13"/>
    <x v="13"/>
    <x v="13"/>
    <x v="13"/>
    <x v="0"/>
    <x v="4"/>
  </r>
  <r>
    <x v="14"/>
    <x v="1"/>
    <x v="2"/>
    <x v="2"/>
    <x v="7"/>
    <x v="14"/>
    <x v="14"/>
    <x v="0"/>
    <x v="1"/>
    <x v="2"/>
    <x v="4"/>
    <x v="14"/>
    <x v="3"/>
    <x v="3"/>
    <x v="0"/>
    <x v="14"/>
    <x v="14"/>
    <x v="14"/>
    <x v="14"/>
    <x v="14"/>
    <x v="6"/>
    <x v="2"/>
  </r>
  <r>
    <x v="15"/>
    <x v="2"/>
    <x v="4"/>
    <x v="3"/>
    <x v="9"/>
    <x v="15"/>
    <x v="15"/>
    <x v="1"/>
    <x v="0"/>
    <x v="3"/>
    <x v="0"/>
    <x v="15"/>
    <x v="1"/>
    <x v="0"/>
    <x v="0"/>
    <x v="15"/>
    <x v="15"/>
    <x v="15"/>
    <x v="15"/>
    <x v="15"/>
    <x v="7"/>
    <x v="4"/>
  </r>
  <r>
    <x v="16"/>
    <x v="0"/>
    <x v="4"/>
    <x v="0"/>
    <x v="8"/>
    <x v="16"/>
    <x v="16"/>
    <x v="3"/>
    <x v="0"/>
    <x v="0"/>
    <x v="5"/>
    <x v="16"/>
    <x v="0"/>
    <x v="2"/>
    <x v="0"/>
    <x v="16"/>
    <x v="16"/>
    <x v="16"/>
    <x v="16"/>
    <x v="16"/>
    <x v="7"/>
    <x v="4"/>
  </r>
  <r>
    <x v="17"/>
    <x v="2"/>
    <x v="3"/>
    <x v="2"/>
    <x v="10"/>
    <x v="17"/>
    <x v="17"/>
    <x v="3"/>
    <x v="1"/>
    <x v="3"/>
    <x v="4"/>
    <x v="17"/>
    <x v="4"/>
    <x v="1"/>
    <x v="0"/>
    <x v="17"/>
    <x v="17"/>
    <x v="17"/>
    <x v="17"/>
    <x v="17"/>
    <x v="0"/>
    <x v="3"/>
  </r>
  <r>
    <x v="18"/>
    <x v="9"/>
    <x v="0"/>
    <x v="1"/>
    <x v="11"/>
    <x v="18"/>
    <x v="18"/>
    <x v="0"/>
    <x v="1"/>
    <x v="2"/>
    <x v="3"/>
    <x v="18"/>
    <x v="1"/>
    <x v="0"/>
    <x v="0"/>
    <x v="18"/>
    <x v="18"/>
    <x v="18"/>
    <x v="18"/>
    <x v="18"/>
    <x v="5"/>
    <x v="0"/>
  </r>
  <r>
    <x v="19"/>
    <x v="3"/>
    <x v="4"/>
    <x v="2"/>
    <x v="0"/>
    <x v="19"/>
    <x v="19"/>
    <x v="0"/>
    <x v="1"/>
    <x v="0"/>
    <x v="3"/>
    <x v="19"/>
    <x v="0"/>
    <x v="2"/>
    <x v="1"/>
    <x v="19"/>
    <x v="19"/>
    <x v="19"/>
    <x v="19"/>
    <x v="19"/>
    <x v="3"/>
    <x v="4"/>
  </r>
  <r>
    <x v="20"/>
    <x v="3"/>
    <x v="4"/>
    <x v="1"/>
    <x v="12"/>
    <x v="20"/>
    <x v="20"/>
    <x v="3"/>
    <x v="0"/>
    <x v="0"/>
    <x v="4"/>
    <x v="20"/>
    <x v="0"/>
    <x v="3"/>
    <x v="0"/>
    <x v="20"/>
    <x v="20"/>
    <x v="20"/>
    <x v="20"/>
    <x v="20"/>
    <x v="2"/>
    <x v="4"/>
  </r>
  <r>
    <x v="21"/>
    <x v="6"/>
    <x v="3"/>
    <x v="3"/>
    <x v="0"/>
    <x v="21"/>
    <x v="21"/>
    <x v="1"/>
    <x v="1"/>
    <x v="3"/>
    <x v="5"/>
    <x v="21"/>
    <x v="0"/>
    <x v="3"/>
    <x v="1"/>
    <x v="21"/>
    <x v="21"/>
    <x v="21"/>
    <x v="21"/>
    <x v="21"/>
    <x v="8"/>
    <x v="3"/>
  </r>
  <r>
    <x v="22"/>
    <x v="0"/>
    <x v="2"/>
    <x v="0"/>
    <x v="0"/>
    <x v="22"/>
    <x v="22"/>
    <x v="2"/>
    <x v="1"/>
    <x v="0"/>
    <x v="3"/>
    <x v="22"/>
    <x v="4"/>
    <x v="0"/>
    <x v="1"/>
    <x v="22"/>
    <x v="22"/>
    <x v="22"/>
    <x v="22"/>
    <x v="22"/>
    <x v="0"/>
    <x v="2"/>
  </r>
  <r>
    <x v="23"/>
    <x v="10"/>
    <x v="3"/>
    <x v="0"/>
    <x v="13"/>
    <x v="23"/>
    <x v="23"/>
    <x v="3"/>
    <x v="1"/>
    <x v="2"/>
    <x v="4"/>
    <x v="23"/>
    <x v="2"/>
    <x v="3"/>
    <x v="0"/>
    <x v="23"/>
    <x v="23"/>
    <x v="23"/>
    <x v="23"/>
    <x v="23"/>
    <x v="5"/>
    <x v="3"/>
  </r>
  <r>
    <x v="24"/>
    <x v="2"/>
    <x v="2"/>
    <x v="2"/>
    <x v="6"/>
    <x v="24"/>
    <x v="24"/>
    <x v="1"/>
    <x v="0"/>
    <x v="0"/>
    <x v="0"/>
    <x v="24"/>
    <x v="2"/>
    <x v="0"/>
    <x v="0"/>
    <x v="24"/>
    <x v="24"/>
    <x v="24"/>
    <x v="24"/>
    <x v="24"/>
    <x v="6"/>
    <x v="2"/>
  </r>
  <r>
    <x v="25"/>
    <x v="5"/>
    <x v="0"/>
    <x v="1"/>
    <x v="14"/>
    <x v="25"/>
    <x v="25"/>
    <x v="3"/>
    <x v="1"/>
    <x v="0"/>
    <x v="4"/>
    <x v="25"/>
    <x v="1"/>
    <x v="1"/>
    <x v="0"/>
    <x v="25"/>
    <x v="25"/>
    <x v="25"/>
    <x v="25"/>
    <x v="25"/>
    <x v="8"/>
    <x v="0"/>
  </r>
  <r>
    <x v="26"/>
    <x v="3"/>
    <x v="4"/>
    <x v="1"/>
    <x v="1"/>
    <x v="26"/>
    <x v="26"/>
    <x v="3"/>
    <x v="1"/>
    <x v="0"/>
    <x v="2"/>
    <x v="26"/>
    <x v="3"/>
    <x v="2"/>
    <x v="0"/>
    <x v="26"/>
    <x v="26"/>
    <x v="26"/>
    <x v="26"/>
    <x v="26"/>
    <x v="1"/>
    <x v="4"/>
  </r>
  <r>
    <x v="21"/>
    <x v="6"/>
    <x v="2"/>
    <x v="1"/>
    <x v="15"/>
    <x v="27"/>
    <x v="27"/>
    <x v="0"/>
    <x v="1"/>
    <x v="0"/>
    <x v="4"/>
    <x v="27"/>
    <x v="2"/>
    <x v="0"/>
    <x v="0"/>
    <x v="27"/>
    <x v="27"/>
    <x v="27"/>
    <x v="21"/>
    <x v="21"/>
    <x v="8"/>
    <x v="2"/>
  </r>
  <r>
    <x v="27"/>
    <x v="9"/>
    <x v="1"/>
    <x v="0"/>
    <x v="1"/>
    <x v="28"/>
    <x v="28"/>
    <x v="1"/>
    <x v="1"/>
    <x v="2"/>
    <x v="3"/>
    <x v="28"/>
    <x v="3"/>
    <x v="1"/>
    <x v="1"/>
    <x v="28"/>
    <x v="28"/>
    <x v="28"/>
    <x v="27"/>
    <x v="27"/>
    <x v="2"/>
    <x v="1"/>
  </r>
  <r>
    <x v="28"/>
    <x v="2"/>
    <x v="3"/>
    <x v="5"/>
    <x v="1"/>
    <x v="29"/>
    <x v="29"/>
    <x v="1"/>
    <x v="0"/>
    <x v="1"/>
    <x v="3"/>
    <x v="29"/>
    <x v="0"/>
    <x v="0"/>
    <x v="0"/>
    <x v="29"/>
    <x v="29"/>
    <x v="29"/>
    <x v="28"/>
    <x v="28"/>
    <x v="5"/>
    <x v="3"/>
  </r>
  <r>
    <x v="29"/>
    <x v="1"/>
    <x v="2"/>
    <x v="5"/>
    <x v="13"/>
    <x v="30"/>
    <x v="30"/>
    <x v="3"/>
    <x v="1"/>
    <x v="0"/>
    <x v="2"/>
    <x v="30"/>
    <x v="3"/>
    <x v="1"/>
    <x v="0"/>
    <x v="30"/>
    <x v="30"/>
    <x v="30"/>
    <x v="29"/>
    <x v="29"/>
    <x v="6"/>
    <x v="2"/>
  </r>
  <r>
    <x v="30"/>
    <x v="0"/>
    <x v="2"/>
    <x v="1"/>
    <x v="4"/>
    <x v="31"/>
    <x v="31"/>
    <x v="2"/>
    <x v="1"/>
    <x v="2"/>
    <x v="2"/>
    <x v="31"/>
    <x v="0"/>
    <x v="1"/>
    <x v="0"/>
    <x v="31"/>
    <x v="31"/>
    <x v="31"/>
    <x v="30"/>
    <x v="30"/>
    <x v="4"/>
    <x v="2"/>
  </r>
  <r>
    <x v="31"/>
    <x v="6"/>
    <x v="1"/>
    <x v="2"/>
    <x v="16"/>
    <x v="32"/>
    <x v="32"/>
    <x v="2"/>
    <x v="1"/>
    <x v="0"/>
    <x v="3"/>
    <x v="32"/>
    <x v="3"/>
    <x v="2"/>
    <x v="0"/>
    <x v="32"/>
    <x v="32"/>
    <x v="32"/>
    <x v="31"/>
    <x v="31"/>
    <x v="7"/>
    <x v="1"/>
  </r>
  <r>
    <x v="32"/>
    <x v="7"/>
    <x v="3"/>
    <x v="2"/>
    <x v="9"/>
    <x v="33"/>
    <x v="33"/>
    <x v="3"/>
    <x v="1"/>
    <x v="0"/>
    <x v="1"/>
    <x v="33"/>
    <x v="1"/>
    <x v="3"/>
    <x v="0"/>
    <x v="33"/>
    <x v="33"/>
    <x v="33"/>
    <x v="32"/>
    <x v="32"/>
    <x v="7"/>
    <x v="3"/>
  </r>
  <r>
    <x v="33"/>
    <x v="2"/>
    <x v="2"/>
    <x v="4"/>
    <x v="15"/>
    <x v="34"/>
    <x v="34"/>
    <x v="3"/>
    <x v="1"/>
    <x v="2"/>
    <x v="4"/>
    <x v="34"/>
    <x v="0"/>
    <x v="1"/>
    <x v="0"/>
    <x v="34"/>
    <x v="34"/>
    <x v="34"/>
    <x v="33"/>
    <x v="33"/>
    <x v="0"/>
    <x v="2"/>
  </r>
  <r>
    <x v="34"/>
    <x v="11"/>
    <x v="2"/>
    <x v="5"/>
    <x v="0"/>
    <x v="35"/>
    <x v="35"/>
    <x v="2"/>
    <x v="1"/>
    <x v="0"/>
    <x v="1"/>
    <x v="35"/>
    <x v="2"/>
    <x v="3"/>
    <x v="0"/>
    <x v="35"/>
    <x v="35"/>
    <x v="35"/>
    <x v="34"/>
    <x v="34"/>
    <x v="5"/>
    <x v="2"/>
  </r>
  <r>
    <x v="35"/>
    <x v="6"/>
    <x v="3"/>
    <x v="3"/>
    <x v="17"/>
    <x v="36"/>
    <x v="36"/>
    <x v="1"/>
    <x v="1"/>
    <x v="3"/>
    <x v="3"/>
    <x v="36"/>
    <x v="3"/>
    <x v="0"/>
    <x v="0"/>
    <x v="36"/>
    <x v="36"/>
    <x v="36"/>
    <x v="35"/>
    <x v="35"/>
    <x v="6"/>
    <x v="3"/>
  </r>
  <r>
    <x v="36"/>
    <x v="3"/>
    <x v="1"/>
    <x v="3"/>
    <x v="4"/>
    <x v="37"/>
    <x v="37"/>
    <x v="0"/>
    <x v="1"/>
    <x v="2"/>
    <x v="4"/>
    <x v="37"/>
    <x v="4"/>
    <x v="1"/>
    <x v="1"/>
    <x v="37"/>
    <x v="37"/>
    <x v="37"/>
    <x v="36"/>
    <x v="36"/>
    <x v="3"/>
    <x v="1"/>
  </r>
  <r>
    <x v="37"/>
    <x v="0"/>
    <x v="3"/>
    <x v="6"/>
    <x v="0"/>
    <x v="38"/>
    <x v="38"/>
    <x v="2"/>
    <x v="1"/>
    <x v="1"/>
    <x v="5"/>
    <x v="38"/>
    <x v="4"/>
    <x v="3"/>
    <x v="1"/>
    <x v="38"/>
    <x v="38"/>
    <x v="38"/>
    <x v="37"/>
    <x v="37"/>
    <x v="3"/>
    <x v="3"/>
  </r>
  <r>
    <x v="38"/>
    <x v="3"/>
    <x v="3"/>
    <x v="0"/>
    <x v="3"/>
    <x v="39"/>
    <x v="39"/>
    <x v="3"/>
    <x v="1"/>
    <x v="2"/>
    <x v="1"/>
    <x v="39"/>
    <x v="1"/>
    <x v="3"/>
    <x v="0"/>
    <x v="39"/>
    <x v="39"/>
    <x v="39"/>
    <x v="38"/>
    <x v="38"/>
    <x v="5"/>
    <x v="3"/>
  </r>
  <r>
    <x v="39"/>
    <x v="10"/>
    <x v="1"/>
    <x v="6"/>
    <x v="6"/>
    <x v="40"/>
    <x v="40"/>
    <x v="1"/>
    <x v="1"/>
    <x v="1"/>
    <x v="0"/>
    <x v="40"/>
    <x v="3"/>
    <x v="1"/>
    <x v="0"/>
    <x v="40"/>
    <x v="40"/>
    <x v="40"/>
    <x v="39"/>
    <x v="23"/>
    <x v="0"/>
    <x v="1"/>
  </r>
  <r>
    <x v="40"/>
    <x v="3"/>
    <x v="3"/>
    <x v="6"/>
    <x v="11"/>
    <x v="41"/>
    <x v="41"/>
    <x v="2"/>
    <x v="0"/>
    <x v="3"/>
    <x v="0"/>
    <x v="41"/>
    <x v="1"/>
    <x v="0"/>
    <x v="0"/>
    <x v="41"/>
    <x v="41"/>
    <x v="41"/>
    <x v="40"/>
    <x v="39"/>
    <x v="1"/>
    <x v="3"/>
  </r>
  <r>
    <x v="41"/>
    <x v="8"/>
    <x v="1"/>
    <x v="0"/>
    <x v="13"/>
    <x v="42"/>
    <x v="42"/>
    <x v="1"/>
    <x v="1"/>
    <x v="0"/>
    <x v="0"/>
    <x v="42"/>
    <x v="0"/>
    <x v="2"/>
    <x v="0"/>
    <x v="42"/>
    <x v="42"/>
    <x v="42"/>
    <x v="41"/>
    <x v="40"/>
    <x v="2"/>
    <x v="1"/>
  </r>
  <r>
    <x v="42"/>
    <x v="2"/>
    <x v="3"/>
    <x v="6"/>
    <x v="15"/>
    <x v="43"/>
    <x v="43"/>
    <x v="3"/>
    <x v="0"/>
    <x v="2"/>
    <x v="3"/>
    <x v="43"/>
    <x v="1"/>
    <x v="2"/>
    <x v="1"/>
    <x v="43"/>
    <x v="43"/>
    <x v="43"/>
    <x v="42"/>
    <x v="41"/>
    <x v="6"/>
    <x v="3"/>
  </r>
  <r>
    <x v="43"/>
    <x v="3"/>
    <x v="1"/>
    <x v="0"/>
    <x v="3"/>
    <x v="44"/>
    <x v="44"/>
    <x v="3"/>
    <x v="1"/>
    <x v="3"/>
    <x v="0"/>
    <x v="44"/>
    <x v="3"/>
    <x v="1"/>
    <x v="0"/>
    <x v="44"/>
    <x v="44"/>
    <x v="44"/>
    <x v="43"/>
    <x v="42"/>
    <x v="0"/>
    <x v="1"/>
  </r>
  <r>
    <x v="44"/>
    <x v="3"/>
    <x v="1"/>
    <x v="5"/>
    <x v="18"/>
    <x v="45"/>
    <x v="45"/>
    <x v="3"/>
    <x v="1"/>
    <x v="0"/>
    <x v="1"/>
    <x v="45"/>
    <x v="0"/>
    <x v="2"/>
    <x v="1"/>
    <x v="45"/>
    <x v="45"/>
    <x v="45"/>
    <x v="44"/>
    <x v="43"/>
    <x v="3"/>
    <x v="1"/>
  </r>
  <r>
    <x v="45"/>
    <x v="0"/>
    <x v="4"/>
    <x v="3"/>
    <x v="10"/>
    <x v="46"/>
    <x v="46"/>
    <x v="1"/>
    <x v="1"/>
    <x v="2"/>
    <x v="2"/>
    <x v="46"/>
    <x v="0"/>
    <x v="0"/>
    <x v="0"/>
    <x v="46"/>
    <x v="46"/>
    <x v="46"/>
    <x v="45"/>
    <x v="44"/>
    <x v="4"/>
    <x v="4"/>
  </r>
  <r>
    <x v="46"/>
    <x v="4"/>
    <x v="0"/>
    <x v="5"/>
    <x v="19"/>
    <x v="47"/>
    <x v="47"/>
    <x v="3"/>
    <x v="1"/>
    <x v="2"/>
    <x v="2"/>
    <x v="47"/>
    <x v="1"/>
    <x v="2"/>
    <x v="0"/>
    <x v="47"/>
    <x v="47"/>
    <x v="47"/>
    <x v="46"/>
    <x v="45"/>
    <x v="0"/>
    <x v="0"/>
  </r>
  <r>
    <x v="47"/>
    <x v="6"/>
    <x v="2"/>
    <x v="2"/>
    <x v="6"/>
    <x v="48"/>
    <x v="48"/>
    <x v="1"/>
    <x v="1"/>
    <x v="1"/>
    <x v="0"/>
    <x v="48"/>
    <x v="1"/>
    <x v="3"/>
    <x v="0"/>
    <x v="48"/>
    <x v="48"/>
    <x v="48"/>
    <x v="47"/>
    <x v="46"/>
    <x v="4"/>
    <x v="2"/>
  </r>
  <r>
    <x v="48"/>
    <x v="11"/>
    <x v="4"/>
    <x v="4"/>
    <x v="0"/>
    <x v="49"/>
    <x v="49"/>
    <x v="3"/>
    <x v="0"/>
    <x v="2"/>
    <x v="1"/>
    <x v="49"/>
    <x v="4"/>
    <x v="2"/>
    <x v="1"/>
    <x v="49"/>
    <x v="49"/>
    <x v="49"/>
    <x v="48"/>
    <x v="47"/>
    <x v="6"/>
    <x v="4"/>
  </r>
  <r>
    <x v="49"/>
    <x v="6"/>
    <x v="0"/>
    <x v="4"/>
    <x v="14"/>
    <x v="50"/>
    <x v="50"/>
    <x v="1"/>
    <x v="0"/>
    <x v="1"/>
    <x v="2"/>
    <x v="50"/>
    <x v="4"/>
    <x v="2"/>
    <x v="0"/>
    <x v="50"/>
    <x v="50"/>
    <x v="50"/>
    <x v="49"/>
    <x v="48"/>
    <x v="2"/>
    <x v="0"/>
  </r>
  <r>
    <x v="50"/>
    <x v="4"/>
    <x v="4"/>
    <x v="3"/>
    <x v="3"/>
    <x v="51"/>
    <x v="51"/>
    <x v="2"/>
    <x v="0"/>
    <x v="0"/>
    <x v="1"/>
    <x v="51"/>
    <x v="3"/>
    <x v="0"/>
    <x v="0"/>
    <x v="51"/>
    <x v="51"/>
    <x v="51"/>
    <x v="50"/>
    <x v="49"/>
    <x v="6"/>
    <x v="4"/>
  </r>
  <r>
    <x v="51"/>
    <x v="11"/>
    <x v="1"/>
    <x v="0"/>
    <x v="1"/>
    <x v="52"/>
    <x v="52"/>
    <x v="0"/>
    <x v="0"/>
    <x v="1"/>
    <x v="0"/>
    <x v="52"/>
    <x v="4"/>
    <x v="2"/>
    <x v="1"/>
    <x v="52"/>
    <x v="52"/>
    <x v="52"/>
    <x v="51"/>
    <x v="50"/>
    <x v="7"/>
    <x v="1"/>
  </r>
  <r>
    <x v="52"/>
    <x v="4"/>
    <x v="1"/>
    <x v="4"/>
    <x v="3"/>
    <x v="53"/>
    <x v="53"/>
    <x v="0"/>
    <x v="0"/>
    <x v="3"/>
    <x v="5"/>
    <x v="53"/>
    <x v="2"/>
    <x v="1"/>
    <x v="0"/>
    <x v="53"/>
    <x v="53"/>
    <x v="53"/>
    <x v="52"/>
    <x v="51"/>
    <x v="3"/>
    <x v="1"/>
  </r>
  <r>
    <x v="53"/>
    <x v="7"/>
    <x v="4"/>
    <x v="5"/>
    <x v="10"/>
    <x v="54"/>
    <x v="54"/>
    <x v="1"/>
    <x v="0"/>
    <x v="2"/>
    <x v="4"/>
    <x v="54"/>
    <x v="0"/>
    <x v="3"/>
    <x v="0"/>
    <x v="54"/>
    <x v="54"/>
    <x v="54"/>
    <x v="53"/>
    <x v="52"/>
    <x v="7"/>
    <x v="4"/>
  </r>
  <r>
    <x v="54"/>
    <x v="3"/>
    <x v="3"/>
    <x v="5"/>
    <x v="10"/>
    <x v="55"/>
    <x v="55"/>
    <x v="3"/>
    <x v="0"/>
    <x v="3"/>
    <x v="0"/>
    <x v="55"/>
    <x v="2"/>
    <x v="1"/>
    <x v="0"/>
    <x v="55"/>
    <x v="55"/>
    <x v="55"/>
    <x v="54"/>
    <x v="53"/>
    <x v="3"/>
    <x v="3"/>
  </r>
  <r>
    <x v="55"/>
    <x v="6"/>
    <x v="0"/>
    <x v="1"/>
    <x v="9"/>
    <x v="56"/>
    <x v="56"/>
    <x v="0"/>
    <x v="1"/>
    <x v="2"/>
    <x v="3"/>
    <x v="56"/>
    <x v="4"/>
    <x v="1"/>
    <x v="0"/>
    <x v="56"/>
    <x v="56"/>
    <x v="56"/>
    <x v="55"/>
    <x v="31"/>
    <x v="1"/>
    <x v="0"/>
  </r>
  <r>
    <x v="56"/>
    <x v="2"/>
    <x v="0"/>
    <x v="3"/>
    <x v="6"/>
    <x v="57"/>
    <x v="57"/>
    <x v="2"/>
    <x v="1"/>
    <x v="1"/>
    <x v="0"/>
    <x v="57"/>
    <x v="1"/>
    <x v="2"/>
    <x v="1"/>
    <x v="57"/>
    <x v="57"/>
    <x v="57"/>
    <x v="56"/>
    <x v="54"/>
    <x v="4"/>
    <x v="0"/>
  </r>
  <r>
    <x v="57"/>
    <x v="4"/>
    <x v="1"/>
    <x v="1"/>
    <x v="10"/>
    <x v="58"/>
    <x v="58"/>
    <x v="0"/>
    <x v="1"/>
    <x v="3"/>
    <x v="5"/>
    <x v="58"/>
    <x v="3"/>
    <x v="2"/>
    <x v="0"/>
    <x v="58"/>
    <x v="58"/>
    <x v="58"/>
    <x v="57"/>
    <x v="55"/>
    <x v="6"/>
    <x v="1"/>
  </r>
  <r>
    <x v="58"/>
    <x v="6"/>
    <x v="1"/>
    <x v="0"/>
    <x v="2"/>
    <x v="59"/>
    <x v="59"/>
    <x v="0"/>
    <x v="0"/>
    <x v="3"/>
    <x v="5"/>
    <x v="59"/>
    <x v="4"/>
    <x v="0"/>
    <x v="0"/>
    <x v="59"/>
    <x v="59"/>
    <x v="59"/>
    <x v="58"/>
    <x v="56"/>
    <x v="7"/>
    <x v="1"/>
  </r>
  <r>
    <x v="59"/>
    <x v="4"/>
    <x v="4"/>
    <x v="0"/>
    <x v="11"/>
    <x v="60"/>
    <x v="60"/>
    <x v="3"/>
    <x v="1"/>
    <x v="2"/>
    <x v="2"/>
    <x v="60"/>
    <x v="0"/>
    <x v="1"/>
    <x v="1"/>
    <x v="60"/>
    <x v="60"/>
    <x v="60"/>
    <x v="59"/>
    <x v="57"/>
    <x v="7"/>
    <x v="4"/>
  </r>
  <r>
    <x v="60"/>
    <x v="3"/>
    <x v="3"/>
    <x v="1"/>
    <x v="19"/>
    <x v="61"/>
    <x v="61"/>
    <x v="3"/>
    <x v="1"/>
    <x v="0"/>
    <x v="0"/>
    <x v="61"/>
    <x v="4"/>
    <x v="1"/>
    <x v="0"/>
    <x v="61"/>
    <x v="61"/>
    <x v="61"/>
    <x v="60"/>
    <x v="58"/>
    <x v="1"/>
    <x v="3"/>
  </r>
  <r>
    <x v="61"/>
    <x v="6"/>
    <x v="3"/>
    <x v="3"/>
    <x v="5"/>
    <x v="62"/>
    <x v="62"/>
    <x v="0"/>
    <x v="1"/>
    <x v="1"/>
    <x v="1"/>
    <x v="62"/>
    <x v="1"/>
    <x v="3"/>
    <x v="0"/>
    <x v="62"/>
    <x v="62"/>
    <x v="62"/>
    <x v="61"/>
    <x v="59"/>
    <x v="0"/>
    <x v="3"/>
  </r>
  <r>
    <x v="62"/>
    <x v="0"/>
    <x v="3"/>
    <x v="2"/>
    <x v="18"/>
    <x v="63"/>
    <x v="63"/>
    <x v="3"/>
    <x v="1"/>
    <x v="2"/>
    <x v="5"/>
    <x v="63"/>
    <x v="3"/>
    <x v="0"/>
    <x v="0"/>
    <x v="63"/>
    <x v="63"/>
    <x v="63"/>
    <x v="62"/>
    <x v="60"/>
    <x v="2"/>
    <x v="3"/>
  </r>
  <r>
    <x v="63"/>
    <x v="1"/>
    <x v="1"/>
    <x v="3"/>
    <x v="7"/>
    <x v="64"/>
    <x v="64"/>
    <x v="0"/>
    <x v="0"/>
    <x v="0"/>
    <x v="2"/>
    <x v="64"/>
    <x v="0"/>
    <x v="0"/>
    <x v="0"/>
    <x v="64"/>
    <x v="64"/>
    <x v="64"/>
    <x v="63"/>
    <x v="61"/>
    <x v="2"/>
    <x v="1"/>
  </r>
  <r>
    <x v="64"/>
    <x v="5"/>
    <x v="3"/>
    <x v="4"/>
    <x v="5"/>
    <x v="65"/>
    <x v="65"/>
    <x v="0"/>
    <x v="1"/>
    <x v="1"/>
    <x v="2"/>
    <x v="65"/>
    <x v="3"/>
    <x v="0"/>
    <x v="0"/>
    <x v="65"/>
    <x v="65"/>
    <x v="65"/>
    <x v="64"/>
    <x v="62"/>
    <x v="0"/>
    <x v="3"/>
  </r>
  <r>
    <x v="65"/>
    <x v="8"/>
    <x v="4"/>
    <x v="5"/>
    <x v="6"/>
    <x v="66"/>
    <x v="66"/>
    <x v="3"/>
    <x v="0"/>
    <x v="3"/>
    <x v="2"/>
    <x v="66"/>
    <x v="0"/>
    <x v="3"/>
    <x v="0"/>
    <x v="66"/>
    <x v="66"/>
    <x v="66"/>
    <x v="65"/>
    <x v="63"/>
    <x v="6"/>
    <x v="4"/>
  </r>
  <r>
    <x v="66"/>
    <x v="1"/>
    <x v="1"/>
    <x v="3"/>
    <x v="19"/>
    <x v="67"/>
    <x v="67"/>
    <x v="1"/>
    <x v="0"/>
    <x v="3"/>
    <x v="3"/>
    <x v="67"/>
    <x v="2"/>
    <x v="2"/>
    <x v="0"/>
    <x v="67"/>
    <x v="67"/>
    <x v="67"/>
    <x v="66"/>
    <x v="64"/>
    <x v="6"/>
    <x v="1"/>
  </r>
  <r>
    <x v="67"/>
    <x v="9"/>
    <x v="2"/>
    <x v="1"/>
    <x v="1"/>
    <x v="68"/>
    <x v="68"/>
    <x v="0"/>
    <x v="1"/>
    <x v="1"/>
    <x v="5"/>
    <x v="68"/>
    <x v="2"/>
    <x v="0"/>
    <x v="0"/>
    <x v="68"/>
    <x v="68"/>
    <x v="68"/>
    <x v="67"/>
    <x v="65"/>
    <x v="0"/>
    <x v="2"/>
  </r>
  <r>
    <x v="68"/>
    <x v="6"/>
    <x v="4"/>
    <x v="4"/>
    <x v="18"/>
    <x v="69"/>
    <x v="69"/>
    <x v="2"/>
    <x v="1"/>
    <x v="2"/>
    <x v="3"/>
    <x v="69"/>
    <x v="3"/>
    <x v="1"/>
    <x v="0"/>
    <x v="69"/>
    <x v="69"/>
    <x v="69"/>
    <x v="68"/>
    <x v="66"/>
    <x v="1"/>
    <x v="4"/>
  </r>
  <r>
    <x v="69"/>
    <x v="6"/>
    <x v="0"/>
    <x v="5"/>
    <x v="7"/>
    <x v="70"/>
    <x v="70"/>
    <x v="3"/>
    <x v="1"/>
    <x v="2"/>
    <x v="1"/>
    <x v="70"/>
    <x v="1"/>
    <x v="2"/>
    <x v="0"/>
    <x v="70"/>
    <x v="70"/>
    <x v="70"/>
    <x v="69"/>
    <x v="67"/>
    <x v="1"/>
    <x v="0"/>
  </r>
  <r>
    <x v="70"/>
    <x v="0"/>
    <x v="3"/>
    <x v="5"/>
    <x v="11"/>
    <x v="71"/>
    <x v="71"/>
    <x v="1"/>
    <x v="0"/>
    <x v="1"/>
    <x v="0"/>
    <x v="71"/>
    <x v="2"/>
    <x v="2"/>
    <x v="1"/>
    <x v="71"/>
    <x v="71"/>
    <x v="71"/>
    <x v="70"/>
    <x v="68"/>
    <x v="2"/>
    <x v="3"/>
  </r>
  <r>
    <x v="71"/>
    <x v="5"/>
    <x v="1"/>
    <x v="2"/>
    <x v="14"/>
    <x v="72"/>
    <x v="72"/>
    <x v="0"/>
    <x v="0"/>
    <x v="3"/>
    <x v="3"/>
    <x v="72"/>
    <x v="1"/>
    <x v="2"/>
    <x v="1"/>
    <x v="72"/>
    <x v="72"/>
    <x v="72"/>
    <x v="71"/>
    <x v="69"/>
    <x v="3"/>
    <x v="1"/>
  </r>
  <r>
    <x v="72"/>
    <x v="5"/>
    <x v="1"/>
    <x v="4"/>
    <x v="14"/>
    <x v="73"/>
    <x v="73"/>
    <x v="1"/>
    <x v="0"/>
    <x v="3"/>
    <x v="1"/>
    <x v="73"/>
    <x v="2"/>
    <x v="3"/>
    <x v="0"/>
    <x v="73"/>
    <x v="73"/>
    <x v="73"/>
    <x v="72"/>
    <x v="25"/>
    <x v="6"/>
    <x v="1"/>
  </r>
  <r>
    <x v="73"/>
    <x v="4"/>
    <x v="3"/>
    <x v="5"/>
    <x v="8"/>
    <x v="74"/>
    <x v="74"/>
    <x v="3"/>
    <x v="1"/>
    <x v="2"/>
    <x v="4"/>
    <x v="74"/>
    <x v="3"/>
    <x v="0"/>
    <x v="0"/>
    <x v="74"/>
    <x v="74"/>
    <x v="74"/>
    <x v="73"/>
    <x v="70"/>
    <x v="7"/>
    <x v="3"/>
  </r>
  <r>
    <x v="74"/>
    <x v="8"/>
    <x v="3"/>
    <x v="2"/>
    <x v="12"/>
    <x v="75"/>
    <x v="75"/>
    <x v="3"/>
    <x v="0"/>
    <x v="1"/>
    <x v="0"/>
    <x v="75"/>
    <x v="0"/>
    <x v="3"/>
    <x v="0"/>
    <x v="75"/>
    <x v="75"/>
    <x v="75"/>
    <x v="74"/>
    <x v="12"/>
    <x v="0"/>
    <x v="3"/>
  </r>
  <r>
    <x v="75"/>
    <x v="5"/>
    <x v="1"/>
    <x v="1"/>
    <x v="0"/>
    <x v="76"/>
    <x v="76"/>
    <x v="0"/>
    <x v="1"/>
    <x v="1"/>
    <x v="5"/>
    <x v="76"/>
    <x v="0"/>
    <x v="1"/>
    <x v="0"/>
    <x v="76"/>
    <x v="76"/>
    <x v="76"/>
    <x v="75"/>
    <x v="71"/>
    <x v="4"/>
    <x v="1"/>
  </r>
  <r>
    <x v="76"/>
    <x v="11"/>
    <x v="1"/>
    <x v="3"/>
    <x v="6"/>
    <x v="77"/>
    <x v="77"/>
    <x v="0"/>
    <x v="1"/>
    <x v="2"/>
    <x v="1"/>
    <x v="77"/>
    <x v="0"/>
    <x v="2"/>
    <x v="1"/>
    <x v="77"/>
    <x v="77"/>
    <x v="77"/>
    <x v="76"/>
    <x v="72"/>
    <x v="8"/>
    <x v="1"/>
  </r>
  <r>
    <x v="77"/>
    <x v="1"/>
    <x v="0"/>
    <x v="1"/>
    <x v="14"/>
    <x v="78"/>
    <x v="78"/>
    <x v="3"/>
    <x v="1"/>
    <x v="0"/>
    <x v="3"/>
    <x v="78"/>
    <x v="1"/>
    <x v="1"/>
    <x v="0"/>
    <x v="78"/>
    <x v="78"/>
    <x v="78"/>
    <x v="77"/>
    <x v="73"/>
    <x v="0"/>
    <x v="0"/>
  </r>
  <r>
    <x v="78"/>
    <x v="4"/>
    <x v="3"/>
    <x v="6"/>
    <x v="8"/>
    <x v="79"/>
    <x v="79"/>
    <x v="1"/>
    <x v="0"/>
    <x v="0"/>
    <x v="1"/>
    <x v="79"/>
    <x v="2"/>
    <x v="3"/>
    <x v="0"/>
    <x v="79"/>
    <x v="79"/>
    <x v="79"/>
    <x v="78"/>
    <x v="74"/>
    <x v="2"/>
    <x v="3"/>
  </r>
  <r>
    <x v="79"/>
    <x v="0"/>
    <x v="2"/>
    <x v="1"/>
    <x v="15"/>
    <x v="80"/>
    <x v="80"/>
    <x v="1"/>
    <x v="1"/>
    <x v="3"/>
    <x v="1"/>
    <x v="80"/>
    <x v="3"/>
    <x v="1"/>
    <x v="1"/>
    <x v="80"/>
    <x v="80"/>
    <x v="80"/>
    <x v="79"/>
    <x v="37"/>
    <x v="1"/>
    <x v="2"/>
  </r>
  <r>
    <x v="80"/>
    <x v="2"/>
    <x v="0"/>
    <x v="4"/>
    <x v="6"/>
    <x v="81"/>
    <x v="81"/>
    <x v="1"/>
    <x v="0"/>
    <x v="2"/>
    <x v="2"/>
    <x v="81"/>
    <x v="0"/>
    <x v="3"/>
    <x v="1"/>
    <x v="81"/>
    <x v="81"/>
    <x v="81"/>
    <x v="80"/>
    <x v="75"/>
    <x v="1"/>
    <x v="0"/>
  </r>
  <r>
    <x v="81"/>
    <x v="2"/>
    <x v="4"/>
    <x v="4"/>
    <x v="2"/>
    <x v="82"/>
    <x v="82"/>
    <x v="2"/>
    <x v="1"/>
    <x v="3"/>
    <x v="5"/>
    <x v="82"/>
    <x v="2"/>
    <x v="1"/>
    <x v="1"/>
    <x v="82"/>
    <x v="82"/>
    <x v="82"/>
    <x v="81"/>
    <x v="76"/>
    <x v="7"/>
    <x v="4"/>
  </r>
  <r>
    <x v="82"/>
    <x v="4"/>
    <x v="0"/>
    <x v="2"/>
    <x v="13"/>
    <x v="47"/>
    <x v="83"/>
    <x v="1"/>
    <x v="0"/>
    <x v="0"/>
    <x v="5"/>
    <x v="83"/>
    <x v="2"/>
    <x v="0"/>
    <x v="0"/>
    <x v="83"/>
    <x v="83"/>
    <x v="83"/>
    <x v="82"/>
    <x v="7"/>
    <x v="7"/>
    <x v="0"/>
  </r>
  <r>
    <x v="83"/>
    <x v="2"/>
    <x v="0"/>
    <x v="3"/>
    <x v="11"/>
    <x v="83"/>
    <x v="84"/>
    <x v="1"/>
    <x v="1"/>
    <x v="2"/>
    <x v="4"/>
    <x v="84"/>
    <x v="0"/>
    <x v="2"/>
    <x v="0"/>
    <x v="84"/>
    <x v="84"/>
    <x v="84"/>
    <x v="83"/>
    <x v="77"/>
    <x v="4"/>
    <x v="0"/>
  </r>
  <r>
    <x v="12"/>
    <x v="8"/>
    <x v="3"/>
    <x v="5"/>
    <x v="9"/>
    <x v="84"/>
    <x v="85"/>
    <x v="0"/>
    <x v="1"/>
    <x v="0"/>
    <x v="0"/>
    <x v="85"/>
    <x v="1"/>
    <x v="0"/>
    <x v="1"/>
    <x v="85"/>
    <x v="85"/>
    <x v="85"/>
    <x v="12"/>
    <x v="78"/>
    <x v="0"/>
    <x v="3"/>
  </r>
  <r>
    <x v="84"/>
    <x v="2"/>
    <x v="0"/>
    <x v="0"/>
    <x v="7"/>
    <x v="85"/>
    <x v="86"/>
    <x v="2"/>
    <x v="1"/>
    <x v="0"/>
    <x v="5"/>
    <x v="86"/>
    <x v="3"/>
    <x v="2"/>
    <x v="0"/>
    <x v="86"/>
    <x v="86"/>
    <x v="86"/>
    <x v="84"/>
    <x v="79"/>
    <x v="1"/>
    <x v="0"/>
  </r>
  <r>
    <x v="85"/>
    <x v="9"/>
    <x v="1"/>
    <x v="5"/>
    <x v="11"/>
    <x v="86"/>
    <x v="87"/>
    <x v="0"/>
    <x v="1"/>
    <x v="1"/>
    <x v="5"/>
    <x v="87"/>
    <x v="1"/>
    <x v="2"/>
    <x v="0"/>
    <x v="87"/>
    <x v="87"/>
    <x v="87"/>
    <x v="85"/>
    <x v="80"/>
    <x v="7"/>
    <x v="1"/>
  </r>
  <r>
    <x v="86"/>
    <x v="9"/>
    <x v="2"/>
    <x v="0"/>
    <x v="18"/>
    <x v="87"/>
    <x v="88"/>
    <x v="2"/>
    <x v="0"/>
    <x v="3"/>
    <x v="2"/>
    <x v="88"/>
    <x v="0"/>
    <x v="3"/>
    <x v="0"/>
    <x v="88"/>
    <x v="88"/>
    <x v="88"/>
    <x v="86"/>
    <x v="81"/>
    <x v="7"/>
    <x v="2"/>
  </r>
  <r>
    <x v="87"/>
    <x v="4"/>
    <x v="3"/>
    <x v="0"/>
    <x v="7"/>
    <x v="88"/>
    <x v="89"/>
    <x v="1"/>
    <x v="0"/>
    <x v="3"/>
    <x v="5"/>
    <x v="89"/>
    <x v="0"/>
    <x v="1"/>
    <x v="0"/>
    <x v="89"/>
    <x v="89"/>
    <x v="89"/>
    <x v="87"/>
    <x v="82"/>
    <x v="1"/>
    <x v="3"/>
  </r>
  <r>
    <x v="88"/>
    <x v="6"/>
    <x v="2"/>
    <x v="4"/>
    <x v="8"/>
    <x v="89"/>
    <x v="90"/>
    <x v="1"/>
    <x v="0"/>
    <x v="1"/>
    <x v="3"/>
    <x v="90"/>
    <x v="2"/>
    <x v="2"/>
    <x v="0"/>
    <x v="90"/>
    <x v="90"/>
    <x v="90"/>
    <x v="88"/>
    <x v="83"/>
    <x v="8"/>
    <x v="2"/>
  </r>
  <r>
    <x v="89"/>
    <x v="6"/>
    <x v="2"/>
    <x v="2"/>
    <x v="19"/>
    <x v="90"/>
    <x v="91"/>
    <x v="2"/>
    <x v="1"/>
    <x v="3"/>
    <x v="3"/>
    <x v="91"/>
    <x v="0"/>
    <x v="1"/>
    <x v="0"/>
    <x v="91"/>
    <x v="91"/>
    <x v="91"/>
    <x v="89"/>
    <x v="84"/>
    <x v="0"/>
    <x v="2"/>
  </r>
  <r>
    <x v="90"/>
    <x v="5"/>
    <x v="2"/>
    <x v="3"/>
    <x v="13"/>
    <x v="91"/>
    <x v="92"/>
    <x v="0"/>
    <x v="0"/>
    <x v="2"/>
    <x v="4"/>
    <x v="92"/>
    <x v="0"/>
    <x v="1"/>
    <x v="1"/>
    <x v="92"/>
    <x v="92"/>
    <x v="92"/>
    <x v="90"/>
    <x v="85"/>
    <x v="4"/>
    <x v="2"/>
  </r>
  <r>
    <x v="91"/>
    <x v="7"/>
    <x v="0"/>
    <x v="2"/>
    <x v="12"/>
    <x v="92"/>
    <x v="93"/>
    <x v="2"/>
    <x v="0"/>
    <x v="0"/>
    <x v="5"/>
    <x v="93"/>
    <x v="2"/>
    <x v="2"/>
    <x v="0"/>
    <x v="93"/>
    <x v="93"/>
    <x v="93"/>
    <x v="91"/>
    <x v="86"/>
    <x v="4"/>
    <x v="0"/>
  </r>
  <r>
    <x v="92"/>
    <x v="2"/>
    <x v="3"/>
    <x v="0"/>
    <x v="4"/>
    <x v="93"/>
    <x v="94"/>
    <x v="1"/>
    <x v="1"/>
    <x v="3"/>
    <x v="1"/>
    <x v="94"/>
    <x v="4"/>
    <x v="1"/>
    <x v="1"/>
    <x v="94"/>
    <x v="94"/>
    <x v="94"/>
    <x v="92"/>
    <x v="77"/>
    <x v="3"/>
    <x v="3"/>
  </r>
  <r>
    <x v="93"/>
    <x v="7"/>
    <x v="4"/>
    <x v="6"/>
    <x v="9"/>
    <x v="94"/>
    <x v="95"/>
    <x v="0"/>
    <x v="0"/>
    <x v="3"/>
    <x v="0"/>
    <x v="95"/>
    <x v="0"/>
    <x v="0"/>
    <x v="0"/>
    <x v="95"/>
    <x v="95"/>
    <x v="95"/>
    <x v="93"/>
    <x v="87"/>
    <x v="7"/>
    <x v="4"/>
  </r>
  <r>
    <x v="94"/>
    <x v="4"/>
    <x v="3"/>
    <x v="4"/>
    <x v="1"/>
    <x v="95"/>
    <x v="96"/>
    <x v="0"/>
    <x v="0"/>
    <x v="3"/>
    <x v="0"/>
    <x v="96"/>
    <x v="2"/>
    <x v="2"/>
    <x v="0"/>
    <x v="96"/>
    <x v="96"/>
    <x v="96"/>
    <x v="94"/>
    <x v="88"/>
    <x v="5"/>
    <x v="3"/>
  </r>
  <r>
    <x v="95"/>
    <x v="6"/>
    <x v="3"/>
    <x v="3"/>
    <x v="12"/>
    <x v="96"/>
    <x v="97"/>
    <x v="2"/>
    <x v="1"/>
    <x v="0"/>
    <x v="5"/>
    <x v="97"/>
    <x v="2"/>
    <x v="0"/>
    <x v="0"/>
    <x v="97"/>
    <x v="97"/>
    <x v="97"/>
    <x v="95"/>
    <x v="89"/>
    <x v="8"/>
    <x v="3"/>
  </r>
  <r>
    <x v="96"/>
    <x v="2"/>
    <x v="4"/>
    <x v="0"/>
    <x v="11"/>
    <x v="97"/>
    <x v="98"/>
    <x v="3"/>
    <x v="0"/>
    <x v="2"/>
    <x v="1"/>
    <x v="98"/>
    <x v="0"/>
    <x v="1"/>
    <x v="1"/>
    <x v="98"/>
    <x v="98"/>
    <x v="98"/>
    <x v="96"/>
    <x v="90"/>
    <x v="2"/>
    <x v="4"/>
  </r>
  <r>
    <x v="97"/>
    <x v="8"/>
    <x v="2"/>
    <x v="1"/>
    <x v="9"/>
    <x v="98"/>
    <x v="99"/>
    <x v="1"/>
    <x v="1"/>
    <x v="3"/>
    <x v="3"/>
    <x v="99"/>
    <x v="2"/>
    <x v="0"/>
    <x v="0"/>
    <x v="99"/>
    <x v="99"/>
    <x v="99"/>
    <x v="97"/>
    <x v="40"/>
    <x v="0"/>
    <x v="2"/>
  </r>
  <r>
    <x v="58"/>
    <x v="6"/>
    <x v="2"/>
    <x v="0"/>
    <x v="10"/>
    <x v="99"/>
    <x v="100"/>
    <x v="3"/>
    <x v="1"/>
    <x v="2"/>
    <x v="2"/>
    <x v="100"/>
    <x v="1"/>
    <x v="1"/>
    <x v="0"/>
    <x v="100"/>
    <x v="100"/>
    <x v="100"/>
    <x v="58"/>
    <x v="91"/>
    <x v="1"/>
    <x v="2"/>
  </r>
  <r>
    <x v="32"/>
    <x v="7"/>
    <x v="4"/>
    <x v="6"/>
    <x v="5"/>
    <x v="100"/>
    <x v="101"/>
    <x v="0"/>
    <x v="0"/>
    <x v="0"/>
    <x v="2"/>
    <x v="101"/>
    <x v="4"/>
    <x v="0"/>
    <x v="0"/>
    <x v="101"/>
    <x v="101"/>
    <x v="101"/>
    <x v="32"/>
    <x v="92"/>
    <x v="2"/>
    <x v="4"/>
  </r>
  <r>
    <x v="98"/>
    <x v="10"/>
    <x v="0"/>
    <x v="4"/>
    <x v="16"/>
    <x v="101"/>
    <x v="102"/>
    <x v="2"/>
    <x v="0"/>
    <x v="3"/>
    <x v="1"/>
    <x v="102"/>
    <x v="1"/>
    <x v="3"/>
    <x v="0"/>
    <x v="102"/>
    <x v="102"/>
    <x v="102"/>
    <x v="98"/>
    <x v="93"/>
    <x v="7"/>
    <x v="0"/>
  </r>
  <r>
    <x v="99"/>
    <x v="8"/>
    <x v="2"/>
    <x v="2"/>
    <x v="5"/>
    <x v="102"/>
    <x v="103"/>
    <x v="3"/>
    <x v="1"/>
    <x v="0"/>
    <x v="5"/>
    <x v="103"/>
    <x v="1"/>
    <x v="0"/>
    <x v="1"/>
    <x v="103"/>
    <x v="103"/>
    <x v="103"/>
    <x v="99"/>
    <x v="94"/>
    <x v="3"/>
    <x v="2"/>
  </r>
  <r>
    <x v="100"/>
    <x v="11"/>
    <x v="0"/>
    <x v="4"/>
    <x v="0"/>
    <x v="103"/>
    <x v="104"/>
    <x v="3"/>
    <x v="1"/>
    <x v="3"/>
    <x v="1"/>
    <x v="104"/>
    <x v="1"/>
    <x v="1"/>
    <x v="1"/>
    <x v="104"/>
    <x v="104"/>
    <x v="104"/>
    <x v="100"/>
    <x v="95"/>
    <x v="1"/>
    <x v="0"/>
  </r>
  <r>
    <x v="101"/>
    <x v="5"/>
    <x v="4"/>
    <x v="4"/>
    <x v="18"/>
    <x v="104"/>
    <x v="105"/>
    <x v="2"/>
    <x v="0"/>
    <x v="1"/>
    <x v="3"/>
    <x v="105"/>
    <x v="3"/>
    <x v="0"/>
    <x v="0"/>
    <x v="105"/>
    <x v="105"/>
    <x v="105"/>
    <x v="101"/>
    <x v="96"/>
    <x v="6"/>
    <x v="4"/>
  </r>
  <r>
    <x v="102"/>
    <x v="3"/>
    <x v="3"/>
    <x v="6"/>
    <x v="3"/>
    <x v="105"/>
    <x v="106"/>
    <x v="0"/>
    <x v="0"/>
    <x v="3"/>
    <x v="3"/>
    <x v="106"/>
    <x v="3"/>
    <x v="1"/>
    <x v="0"/>
    <x v="106"/>
    <x v="106"/>
    <x v="106"/>
    <x v="102"/>
    <x v="97"/>
    <x v="6"/>
    <x v="3"/>
  </r>
  <r>
    <x v="103"/>
    <x v="3"/>
    <x v="0"/>
    <x v="6"/>
    <x v="18"/>
    <x v="106"/>
    <x v="107"/>
    <x v="1"/>
    <x v="0"/>
    <x v="1"/>
    <x v="0"/>
    <x v="107"/>
    <x v="0"/>
    <x v="1"/>
    <x v="0"/>
    <x v="107"/>
    <x v="107"/>
    <x v="107"/>
    <x v="103"/>
    <x v="98"/>
    <x v="4"/>
    <x v="0"/>
  </r>
  <r>
    <x v="104"/>
    <x v="3"/>
    <x v="0"/>
    <x v="3"/>
    <x v="5"/>
    <x v="107"/>
    <x v="108"/>
    <x v="1"/>
    <x v="1"/>
    <x v="0"/>
    <x v="3"/>
    <x v="108"/>
    <x v="4"/>
    <x v="3"/>
    <x v="1"/>
    <x v="108"/>
    <x v="108"/>
    <x v="108"/>
    <x v="104"/>
    <x v="99"/>
    <x v="6"/>
    <x v="0"/>
  </r>
  <r>
    <x v="105"/>
    <x v="6"/>
    <x v="2"/>
    <x v="6"/>
    <x v="0"/>
    <x v="108"/>
    <x v="109"/>
    <x v="0"/>
    <x v="1"/>
    <x v="2"/>
    <x v="1"/>
    <x v="109"/>
    <x v="2"/>
    <x v="3"/>
    <x v="1"/>
    <x v="109"/>
    <x v="109"/>
    <x v="109"/>
    <x v="105"/>
    <x v="100"/>
    <x v="3"/>
    <x v="2"/>
  </r>
  <r>
    <x v="106"/>
    <x v="8"/>
    <x v="1"/>
    <x v="5"/>
    <x v="15"/>
    <x v="109"/>
    <x v="110"/>
    <x v="0"/>
    <x v="0"/>
    <x v="0"/>
    <x v="1"/>
    <x v="110"/>
    <x v="1"/>
    <x v="1"/>
    <x v="1"/>
    <x v="110"/>
    <x v="110"/>
    <x v="110"/>
    <x v="106"/>
    <x v="101"/>
    <x v="6"/>
    <x v="1"/>
  </r>
  <r>
    <x v="107"/>
    <x v="6"/>
    <x v="1"/>
    <x v="5"/>
    <x v="9"/>
    <x v="110"/>
    <x v="111"/>
    <x v="1"/>
    <x v="0"/>
    <x v="1"/>
    <x v="5"/>
    <x v="111"/>
    <x v="1"/>
    <x v="2"/>
    <x v="0"/>
    <x v="111"/>
    <x v="111"/>
    <x v="111"/>
    <x v="107"/>
    <x v="102"/>
    <x v="3"/>
    <x v="1"/>
  </r>
  <r>
    <x v="108"/>
    <x v="7"/>
    <x v="3"/>
    <x v="3"/>
    <x v="7"/>
    <x v="111"/>
    <x v="112"/>
    <x v="0"/>
    <x v="1"/>
    <x v="3"/>
    <x v="3"/>
    <x v="112"/>
    <x v="4"/>
    <x v="3"/>
    <x v="1"/>
    <x v="112"/>
    <x v="112"/>
    <x v="112"/>
    <x v="108"/>
    <x v="103"/>
    <x v="8"/>
    <x v="3"/>
  </r>
  <r>
    <x v="37"/>
    <x v="0"/>
    <x v="4"/>
    <x v="5"/>
    <x v="2"/>
    <x v="112"/>
    <x v="113"/>
    <x v="1"/>
    <x v="0"/>
    <x v="2"/>
    <x v="3"/>
    <x v="113"/>
    <x v="3"/>
    <x v="1"/>
    <x v="0"/>
    <x v="113"/>
    <x v="113"/>
    <x v="113"/>
    <x v="37"/>
    <x v="104"/>
    <x v="8"/>
    <x v="4"/>
  </r>
  <r>
    <x v="109"/>
    <x v="4"/>
    <x v="0"/>
    <x v="2"/>
    <x v="6"/>
    <x v="113"/>
    <x v="114"/>
    <x v="2"/>
    <x v="0"/>
    <x v="0"/>
    <x v="2"/>
    <x v="114"/>
    <x v="0"/>
    <x v="2"/>
    <x v="0"/>
    <x v="114"/>
    <x v="114"/>
    <x v="114"/>
    <x v="109"/>
    <x v="105"/>
    <x v="3"/>
    <x v="0"/>
  </r>
  <r>
    <x v="110"/>
    <x v="7"/>
    <x v="3"/>
    <x v="0"/>
    <x v="2"/>
    <x v="114"/>
    <x v="115"/>
    <x v="3"/>
    <x v="0"/>
    <x v="0"/>
    <x v="3"/>
    <x v="115"/>
    <x v="2"/>
    <x v="0"/>
    <x v="0"/>
    <x v="115"/>
    <x v="115"/>
    <x v="115"/>
    <x v="110"/>
    <x v="106"/>
    <x v="5"/>
    <x v="3"/>
  </r>
  <r>
    <x v="110"/>
    <x v="7"/>
    <x v="3"/>
    <x v="3"/>
    <x v="19"/>
    <x v="115"/>
    <x v="116"/>
    <x v="1"/>
    <x v="1"/>
    <x v="1"/>
    <x v="2"/>
    <x v="116"/>
    <x v="0"/>
    <x v="0"/>
    <x v="0"/>
    <x v="116"/>
    <x v="116"/>
    <x v="116"/>
    <x v="110"/>
    <x v="107"/>
    <x v="8"/>
    <x v="3"/>
  </r>
  <r>
    <x v="111"/>
    <x v="10"/>
    <x v="4"/>
    <x v="6"/>
    <x v="3"/>
    <x v="116"/>
    <x v="117"/>
    <x v="2"/>
    <x v="1"/>
    <x v="3"/>
    <x v="4"/>
    <x v="117"/>
    <x v="0"/>
    <x v="1"/>
    <x v="0"/>
    <x v="117"/>
    <x v="117"/>
    <x v="117"/>
    <x v="111"/>
    <x v="108"/>
    <x v="4"/>
    <x v="4"/>
  </r>
  <r>
    <x v="112"/>
    <x v="1"/>
    <x v="1"/>
    <x v="2"/>
    <x v="6"/>
    <x v="117"/>
    <x v="118"/>
    <x v="0"/>
    <x v="0"/>
    <x v="0"/>
    <x v="4"/>
    <x v="118"/>
    <x v="2"/>
    <x v="0"/>
    <x v="0"/>
    <x v="118"/>
    <x v="118"/>
    <x v="118"/>
    <x v="112"/>
    <x v="18"/>
    <x v="6"/>
    <x v="1"/>
  </r>
  <r>
    <x v="23"/>
    <x v="10"/>
    <x v="3"/>
    <x v="0"/>
    <x v="12"/>
    <x v="118"/>
    <x v="119"/>
    <x v="3"/>
    <x v="1"/>
    <x v="3"/>
    <x v="5"/>
    <x v="119"/>
    <x v="0"/>
    <x v="1"/>
    <x v="0"/>
    <x v="119"/>
    <x v="119"/>
    <x v="119"/>
    <x v="23"/>
    <x v="109"/>
    <x v="8"/>
    <x v="3"/>
  </r>
  <r>
    <x v="113"/>
    <x v="4"/>
    <x v="3"/>
    <x v="0"/>
    <x v="10"/>
    <x v="119"/>
    <x v="120"/>
    <x v="2"/>
    <x v="0"/>
    <x v="1"/>
    <x v="3"/>
    <x v="120"/>
    <x v="4"/>
    <x v="0"/>
    <x v="0"/>
    <x v="120"/>
    <x v="120"/>
    <x v="120"/>
    <x v="113"/>
    <x v="110"/>
    <x v="6"/>
    <x v="3"/>
  </r>
  <r>
    <x v="114"/>
    <x v="6"/>
    <x v="3"/>
    <x v="3"/>
    <x v="17"/>
    <x v="120"/>
    <x v="121"/>
    <x v="3"/>
    <x v="1"/>
    <x v="0"/>
    <x v="3"/>
    <x v="121"/>
    <x v="0"/>
    <x v="0"/>
    <x v="0"/>
    <x v="121"/>
    <x v="121"/>
    <x v="121"/>
    <x v="114"/>
    <x v="111"/>
    <x v="7"/>
    <x v="3"/>
  </r>
  <r>
    <x v="115"/>
    <x v="4"/>
    <x v="1"/>
    <x v="5"/>
    <x v="6"/>
    <x v="121"/>
    <x v="122"/>
    <x v="2"/>
    <x v="0"/>
    <x v="1"/>
    <x v="3"/>
    <x v="122"/>
    <x v="3"/>
    <x v="1"/>
    <x v="1"/>
    <x v="122"/>
    <x v="122"/>
    <x v="122"/>
    <x v="115"/>
    <x v="112"/>
    <x v="7"/>
    <x v="1"/>
  </r>
  <r>
    <x v="0"/>
    <x v="0"/>
    <x v="0"/>
    <x v="6"/>
    <x v="1"/>
    <x v="122"/>
    <x v="123"/>
    <x v="0"/>
    <x v="1"/>
    <x v="2"/>
    <x v="2"/>
    <x v="123"/>
    <x v="4"/>
    <x v="2"/>
    <x v="1"/>
    <x v="123"/>
    <x v="123"/>
    <x v="123"/>
    <x v="0"/>
    <x v="0"/>
    <x v="0"/>
    <x v="0"/>
  </r>
  <r>
    <x v="116"/>
    <x v="3"/>
    <x v="2"/>
    <x v="5"/>
    <x v="19"/>
    <x v="123"/>
    <x v="124"/>
    <x v="0"/>
    <x v="1"/>
    <x v="0"/>
    <x v="4"/>
    <x v="124"/>
    <x v="4"/>
    <x v="1"/>
    <x v="1"/>
    <x v="124"/>
    <x v="124"/>
    <x v="124"/>
    <x v="116"/>
    <x v="113"/>
    <x v="5"/>
    <x v="2"/>
  </r>
  <r>
    <x v="92"/>
    <x v="2"/>
    <x v="2"/>
    <x v="0"/>
    <x v="18"/>
    <x v="124"/>
    <x v="125"/>
    <x v="1"/>
    <x v="1"/>
    <x v="3"/>
    <x v="2"/>
    <x v="125"/>
    <x v="4"/>
    <x v="0"/>
    <x v="0"/>
    <x v="125"/>
    <x v="125"/>
    <x v="125"/>
    <x v="92"/>
    <x v="114"/>
    <x v="4"/>
    <x v="2"/>
  </r>
  <r>
    <x v="117"/>
    <x v="8"/>
    <x v="3"/>
    <x v="6"/>
    <x v="18"/>
    <x v="125"/>
    <x v="126"/>
    <x v="2"/>
    <x v="1"/>
    <x v="2"/>
    <x v="4"/>
    <x v="126"/>
    <x v="1"/>
    <x v="0"/>
    <x v="0"/>
    <x v="126"/>
    <x v="126"/>
    <x v="126"/>
    <x v="117"/>
    <x v="115"/>
    <x v="6"/>
    <x v="3"/>
  </r>
  <r>
    <x v="118"/>
    <x v="8"/>
    <x v="0"/>
    <x v="5"/>
    <x v="6"/>
    <x v="126"/>
    <x v="127"/>
    <x v="0"/>
    <x v="0"/>
    <x v="0"/>
    <x v="2"/>
    <x v="127"/>
    <x v="2"/>
    <x v="2"/>
    <x v="0"/>
    <x v="127"/>
    <x v="127"/>
    <x v="127"/>
    <x v="118"/>
    <x v="116"/>
    <x v="1"/>
    <x v="0"/>
  </r>
  <r>
    <x v="98"/>
    <x v="10"/>
    <x v="0"/>
    <x v="6"/>
    <x v="11"/>
    <x v="127"/>
    <x v="128"/>
    <x v="2"/>
    <x v="0"/>
    <x v="2"/>
    <x v="0"/>
    <x v="128"/>
    <x v="1"/>
    <x v="0"/>
    <x v="0"/>
    <x v="128"/>
    <x v="128"/>
    <x v="64"/>
    <x v="98"/>
    <x v="93"/>
    <x v="7"/>
    <x v="0"/>
  </r>
  <r>
    <x v="119"/>
    <x v="3"/>
    <x v="4"/>
    <x v="5"/>
    <x v="4"/>
    <x v="128"/>
    <x v="129"/>
    <x v="1"/>
    <x v="0"/>
    <x v="3"/>
    <x v="2"/>
    <x v="129"/>
    <x v="1"/>
    <x v="0"/>
    <x v="0"/>
    <x v="129"/>
    <x v="129"/>
    <x v="128"/>
    <x v="119"/>
    <x v="117"/>
    <x v="6"/>
    <x v="4"/>
  </r>
  <r>
    <x v="120"/>
    <x v="2"/>
    <x v="2"/>
    <x v="2"/>
    <x v="10"/>
    <x v="129"/>
    <x v="130"/>
    <x v="1"/>
    <x v="0"/>
    <x v="0"/>
    <x v="3"/>
    <x v="130"/>
    <x v="3"/>
    <x v="3"/>
    <x v="1"/>
    <x v="130"/>
    <x v="130"/>
    <x v="129"/>
    <x v="120"/>
    <x v="77"/>
    <x v="6"/>
    <x v="2"/>
  </r>
  <r>
    <x v="118"/>
    <x v="8"/>
    <x v="0"/>
    <x v="1"/>
    <x v="0"/>
    <x v="130"/>
    <x v="131"/>
    <x v="0"/>
    <x v="1"/>
    <x v="0"/>
    <x v="0"/>
    <x v="131"/>
    <x v="1"/>
    <x v="1"/>
    <x v="0"/>
    <x v="131"/>
    <x v="131"/>
    <x v="130"/>
    <x v="118"/>
    <x v="118"/>
    <x v="7"/>
    <x v="0"/>
  </r>
  <r>
    <x v="121"/>
    <x v="11"/>
    <x v="4"/>
    <x v="0"/>
    <x v="13"/>
    <x v="131"/>
    <x v="132"/>
    <x v="0"/>
    <x v="0"/>
    <x v="0"/>
    <x v="5"/>
    <x v="132"/>
    <x v="0"/>
    <x v="0"/>
    <x v="0"/>
    <x v="132"/>
    <x v="132"/>
    <x v="131"/>
    <x v="121"/>
    <x v="119"/>
    <x v="1"/>
    <x v="4"/>
  </r>
  <r>
    <x v="122"/>
    <x v="6"/>
    <x v="0"/>
    <x v="4"/>
    <x v="0"/>
    <x v="132"/>
    <x v="133"/>
    <x v="2"/>
    <x v="0"/>
    <x v="3"/>
    <x v="5"/>
    <x v="133"/>
    <x v="3"/>
    <x v="0"/>
    <x v="1"/>
    <x v="133"/>
    <x v="133"/>
    <x v="132"/>
    <x v="122"/>
    <x v="120"/>
    <x v="7"/>
    <x v="0"/>
  </r>
  <r>
    <x v="88"/>
    <x v="6"/>
    <x v="1"/>
    <x v="3"/>
    <x v="15"/>
    <x v="133"/>
    <x v="134"/>
    <x v="3"/>
    <x v="0"/>
    <x v="3"/>
    <x v="1"/>
    <x v="134"/>
    <x v="4"/>
    <x v="3"/>
    <x v="0"/>
    <x v="134"/>
    <x v="134"/>
    <x v="133"/>
    <x v="88"/>
    <x v="83"/>
    <x v="8"/>
    <x v="1"/>
  </r>
  <r>
    <x v="123"/>
    <x v="8"/>
    <x v="3"/>
    <x v="2"/>
    <x v="13"/>
    <x v="134"/>
    <x v="135"/>
    <x v="0"/>
    <x v="0"/>
    <x v="3"/>
    <x v="2"/>
    <x v="135"/>
    <x v="0"/>
    <x v="0"/>
    <x v="0"/>
    <x v="135"/>
    <x v="135"/>
    <x v="134"/>
    <x v="123"/>
    <x v="121"/>
    <x v="1"/>
    <x v="3"/>
  </r>
  <r>
    <x v="124"/>
    <x v="6"/>
    <x v="4"/>
    <x v="0"/>
    <x v="14"/>
    <x v="135"/>
    <x v="136"/>
    <x v="2"/>
    <x v="1"/>
    <x v="3"/>
    <x v="4"/>
    <x v="136"/>
    <x v="2"/>
    <x v="0"/>
    <x v="0"/>
    <x v="136"/>
    <x v="136"/>
    <x v="135"/>
    <x v="124"/>
    <x v="122"/>
    <x v="1"/>
    <x v="4"/>
  </r>
  <r>
    <x v="125"/>
    <x v="2"/>
    <x v="3"/>
    <x v="0"/>
    <x v="10"/>
    <x v="136"/>
    <x v="137"/>
    <x v="2"/>
    <x v="1"/>
    <x v="1"/>
    <x v="5"/>
    <x v="137"/>
    <x v="4"/>
    <x v="3"/>
    <x v="0"/>
    <x v="137"/>
    <x v="137"/>
    <x v="136"/>
    <x v="125"/>
    <x v="123"/>
    <x v="2"/>
    <x v="3"/>
  </r>
  <r>
    <x v="126"/>
    <x v="2"/>
    <x v="3"/>
    <x v="4"/>
    <x v="3"/>
    <x v="137"/>
    <x v="138"/>
    <x v="1"/>
    <x v="0"/>
    <x v="3"/>
    <x v="4"/>
    <x v="138"/>
    <x v="0"/>
    <x v="1"/>
    <x v="0"/>
    <x v="138"/>
    <x v="138"/>
    <x v="137"/>
    <x v="126"/>
    <x v="76"/>
    <x v="2"/>
    <x v="3"/>
  </r>
  <r>
    <x v="127"/>
    <x v="6"/>
    <x v="2"/>
    <x v="1"/>
    <x v="3"/>
    <x v="138"/>
    <x v="139"/>
    <x v="2"/>
    <x v="0"/>
    <x v="3"/>
    <x v="1"/>
    <x v="139"/>
    <x v="4"/>
    <x v="3"/>
    <x v="0"/>
    <x v="139"/>
    <x v="139"/>
    <x v="138"/>
    <x v="127"/>
    <x v="124"/>
    <x v="2"/>
    <x v="2"/>
  </r>
  <r>
    <x v="128"/>
    <x v="10"/>
    <x v="3"/>
    <x v="2"/>
    <x v="14"/>
    <x v="139"/>
    <x v="140"/>
    <x v="0"/>
    <x v="0"/>
    <x v="2"/>
    <x v="1"/>
    <x v="140"/>
    <x v="2"/>
    <x v="1"/>
    <x v="0"/>
    <x v="140"/>
    <x v="140"/>
    <x v="139"/>
    <x v="128"/>
    <x v="23"/>
    <x v="8"/>
    <x v="3"/>
  </r>
  <r>
    <x v="129"/>
    <x v="5"/>
    <x v="2"/>
    <x v="3"/>
    <x v="14"/>
    <x v="140"/>
    <x v="141"/>
    <x v="0"/>
    <x v="0"/>
    <x v="2"/>
    <x v="5"/>
    <x v="141"/>
    <x v="2"/>
    <x v="2"/>
    <x v="0"/>
    <x v="141"/>
    <x v="141"/>
    <x v="140"/>
    <x v="129"/>
    <x v="125"/>
    <x v="6"/>
    <x v="2"/>
  </r>
  <r>
    <x v="130"/>
    <x v="0"/>
    <x v="0"/>
    <x v="3"/>
    <x v="10"/>
    <x v="141"/>
    <x v="142"/>
    <x v="0"/>
    <x v="1"/>
    <x v="0"/>
    <x v="1"/>
    <x v="142"/>
    <x v="0"/>
    <x v="2"/>
    <x v="0"/>
    <x v="142"/>
    <x v="142"/>
    <x v="141"/>
    <x v="130"/>
    <x v="126"/>
    <x v="5"/>
    <x v="0"/>
  </r>
  <r>
    <x v="54"/>
    <x v="3"/>
    <x v="2"/>
    <x v="1"/>
    <x v="2"/>
    <x v="142"/>
    <x v="143"/>
    <x v="2"/>
    <x v="1"/>
    <x v="2"/>
    <x v="4"/>
    <x v="143"/>
    <x v="3"/>
    <x v="0"/>
    <x v="1"/>
    <x v="143"/>
    <x v="143"/>
    <x v="142"/>
    <x v="54"/>
    <x v="127"/>
    <x v="1"/>
    <x v="2"/>
  </r>
  <r>
    <x v="131"/>
    <x v="7"/>
    <x v="3"/>
    <x v="5"/>
    <x v="15"/>
    <x v="143"/>
    <x v="144"/>
    <x v="0"/>
    <x v="1"/>
    <x v="0"/>
    <x v="5"/>
    <x v="144"/>
    <x v="1"/>
    <x v="2"/>
    <x v="1"/>
    <x v="144"/>
    <x v="144"/>
    <x v="143"/>
    <x v="131"/>
    <x v="128"/>
    <x v="4"/>
    <x v="3"/>
  </r>
  <r>
    <x v="132"/>
    <x v="6"/>
    <x v="4"/>
    <x v="0"/>
    <x v="8"/>
    <x v="144"/>
    <x v="145"/>
    <x v="2"/>
    <x v="0"/>
    <x v="2"/>
    <x v="5"/>
    <x v="145"/>
    <x v="3"/>
    <x v="0"/>
    <x v="1"/>
    <x v="145"/>
    <x v="145"/>
    <x v="144"/>
    <x v="132"/>
    <x v="48"/>
    <x v="4"/>
    <x v="4"/>
  </r>
  <r>
    <x v="133"/>
    <x v="1"/>
    <x v="2"/>
    <x v="3"/>
    <x v="17"/>
    <x v="145"/>
    <x v="146"/>
    <x v="0"/>
    <x v="1"/>
    <x v="1"/>
    <x v="3"/>
    <x v="146"/>
    <x v="2"/>
    <x v="3"/>
    <x v="0"/>
    <x v="146"/>
    <x v="146"/>
    <x v="145"/>
    <x v="133"/>
    <x v="129"/>
    <x v="7"/>
    <x v="2"/>
  </r>
  <r>
    <x v="134"/>
    <x v="7"/>
    <x v="4"/>
    <x v="3"/>
    <x v="9"/>
    <x v="146"/>
    <x v="147"/>
    <x v="1"/>
    <x v="1"/>
    <x v="1"/>
    <x v="2"/>
    <x v="147"/>
    <x v="2"/>
    <x v="1"/>
    <x v="1"/>
    <x v="147"/>
    <x v="147"/>
    <x v="146"/>
    <x v="134"/>
    <x v="130"/>
    <x v="1"/>
    <x v="4"/>
  </r>
  <r>
    <x v="15"/>
    <x v="2"/>
    <x v="3"/>
    <x v="3"/>
    <x v="7"/>
    <x v="147"/>
    <x v="148"/>
    <x v="2"/>
    <x v="0"/>
    <x v="3"/>
    <x v="2"/>
    <x v="148"/>
    <x v="0"/>
    <x v="1"/>
    <x v="0"/>
    <x v="148"/>
    <x v="148"/>
    <x v="147"/>
    <x v="15"/>
    <x v="131"/>
    <x v="3"/>
    <x v="3"/>
  </r>
  <r>
    <x v="69"/>
    <x v="6"/>
    <x v="1"/>
    <x v="1"/>
    <x v="17"/>
    <x v="148"/>
    <x v="149"/>
    <x v="3"/>
    <x v="0"/>
    <x v="0"/>
    <x v="0"/>
    <x v="149"/>
    <x v="4"/>
    <x v="3"/>
    <x v="0"/>
    <x v="149"/>
    <x v="149"/>
    <x v="148"/>
    <x v="69"/>
    <x v="132"/>
    <x v="4"/>
    <x v="1"/>
  </r>
  <r>
    <x v="135"/>
    <x v="4"/>
    <x v="2"/>
    <x v="4"/>
    <x v="5"/>
    <x v="149"/>
    <x v="150"/>
    <x v="2"/>
    <x v="1"/>
    <x v="2"/>
    <x v="3"/>
    <x v="150"/>
    <x v="2"/>
    <x v="0"/>
    <x v="0"/>
    <x v="150"/>
    <x v="150"/>
    <x v="149"/>
    <x v="135"/>
    <x v="133"/>
    <x v="3"/>
    <x v="2"/>
  </r>
  <r>
    <x v="61"/>
    <x v="6"/>
    <x v="2"/>
    <x v="5"/>
    <x v="6"/>
    <x v="150"/>
    <x v="151"/>
    <x v="2"/>
    <x v="1"/>
    <x v="0"/>
    <x v="0"/>
    <x v="151"/>
    <x v="0"/>
    <x v="1"/>
    <x v="1"/>
    <x v="151"/>
    <x v="151"/>
    <x v="150"/>
    <x v="61"/>
    <x v="134"/>
    <x v="5"/>
    <x v="2"/>
  </r>
  <r>
    <x v="136"/>
    <x v="6"/>
    <x v="1"/>
    <x v="6"/>
    <x v="11"/>
    <x v="151"/>
    <x v="152"/>
    <x v="3"/>
    <x v="1"/>
    <x v="2"/>
    <x v="2"/>
    <x v="152"/>
    <x v="1"/>
    <x v="2"/>
    <x v="0"/>
    <x v="152"/>
    <x v="4"/>
    <x v="151"/>
    <x v="136"/>
    <x v="134"/>
    <x v="4"/>
    <x v="1"/>
  </r>
  <r>
    <x v="130"/>
    <x v="0"/>
    <x v="2"/>
    <x v="1"/>
    <x v="14"/>
    <x v="152"/>
    <x v="153"/>
    <x v="2"/>
    <x v="0"/>
    <x v="3"/>
    <x v="2"/>
    <x v="153"/>
    <x v="4"/>
    <x v="0"/>
    <x v="0"/>
    <x v="153"/>
    <x v="152"/>
    <x v="152"/>
    <x v="130"/>
    <x v="135"/>
    <x v="0"/>
    <x v="2"/>
  </r>
  <r>
    <x v="137"/>
    <x v="9"/>
    <x v="1"/>
    <x v="5"/>
    <x v="11"/>
    <x v="153"/>
    <x v="154"/>
    <x v="1"/>
    <x v="0"/>
    <x v="0"/>
    <x v="0"/>
    <x v="154"/>
    <x v="0"/>
    <x v="0"/>
    <x v="0"/>
    <x v="154"/>
    <x v="153"/>
    <x v="153"/>
    <x v="137"/>
    <x v="136"/>
    <x v="2"/>
    <x v="1"/>
  </r>
  <r>
    <x v="138"/>
    <x v="6"/>
    <x v="1"/>
    <x v="1"/>
    <x v="2"/>
    <x v="154"/>
    <x v="155"/>
    <x v="0"/>
    <x v="1"/>
    <x v="3"/>
    <x v="5"/>
    <x v="155"/>
    <x v="2"/>
    <x v="0"/>
    <x v="0"/>
    <x v="155"/>
    <x v="154"/>
    <x v="154"/>
    <x v="138"/>
    <x v="137"/>
    <x v="0"/>
    <x v="1"/>
  </r>
  <r>
    <x v="139"/>
    <x v="10"/>
    <x v="1"/>
    <x v="4"/>
    <x v="5"/>
    <x v="155"/>
    <x v="156"/>
    <x v="2"/>
    <x v="1"/>
    <x v="1"/>
    <x v="5"/>
    <x v="156"/>
    <x v="4"/>
    <x v="0"/>
    <x v="0"/>
    <x v="156"/>
    <x v="155"/>
    <x v="155"/>
    <x v="139"/>
    <x v="138"/>
    <x v="2"/>
    <x v="1"/>
  </r>
  <r>
    <x v="19"/>
    <x v="3"/>
    <x v="1"/>
    <x v="3"/>
    <x v="0"/>
    <x v="156"/>
    <x v="157"/>
    <x v="1"/>
    <x v="1"/>
    <x v="0"/>
    <x v="3"/>
    <x v="157"/>
    <x v="4"/>
    <x v="3"/>
    <x v="0"/>
    <x v="157"/>
    <x v="156"/>
    <x v="79"/>
    <x v="19"/>
    <x v="139"/>
    <x v="5"/>
    <x v="1"/>
  </r>
  <r>
    <x v="62"/>
    <x v="0"/>
    <x v="1"/>
    <x v="1"/>
    <x v="19"/>
    <x v="157"/>
    <x v="158"/>
    <x v="2"/>
    <x v="1"/>
    <x v="0"/>
    <x v="1"/>
    <x v="158"/>
    <x v="1"/>
    <x v="0"/>
    <x v="1"/>
    <x v="158"/>
    <x v="157"/>
    <x v="156"/>
    <x v="62"/>
    <x v="5"/>
    <x v="7"/>
    <x v="1"/>
  </r>
  <r>
    <x v="10"/>
    <x v="7"/>
    <x v="2"/>
    <x v="1"/>
    <x v="12"/>
    <x v="158"/>
    <x v="159"/>
    <x v="3"/>
    <x v="1"/>
    <x v="3"/>
    <x v="1"/>
    <x v="159"/>
    <x v="2"/>
    <x v="2"/>
    <x v="0"/>
    <x v="159"/>
    <x v="158"/>
    <x v="157"/>
    <x v="10"/>
    <x v="140"/>
    <x v="8"/>
    <x v="2"/>
  </r>
  <r>
    <x v="140"/>
    <x v="2"/>
    <x v="1"/>
    <x v="4"/>
    <x v="14"/>
    <x v="159"/>
    <x v="160"/>
    <x v="1"/>
    <x v="0"/>
    <x v="0"/>
    <x v="1"/>
    <x v="160"/>
    <x v="0"/>
    <x v="0"/>
    <x v="0"/>
    <x v="160"/>
    <x v="159"/>
    <x v="158"/>
    <x v="140"/>
    <x v="2"/>
    <x v="8"/>
    <x v="1"/>
  </r>
  <r>
    <x v="141"/>
    <x v="6"/>
    <x v="1"/>
    <x v="4"/>
    <x v="16"/>
    <x v="160"/>
    <x v="161"/>
    <x v="0"/>
    <x v="0"/>
    <x v="2"/>
    <x v="0"/>
    <x v="161"/>
    <x v="2"/>
    <x v="0"/>
    <x v="0"/>
    <x v="161"/>
    <x v="160"/>
    <x v="159"/>
    <x v="141"/>
    <x v="141"/>
    <x v="6"/>
    <x v="1"/>
  </r>
  <r>
    <x v="142"/>
    <x v="10"/>
    <x v="3"/>
    <x v="6"/>
    <x v="6"/>
    <x v="161"/>
    <x v="162"/>
    <x v="3"/>
    <x v="1"/>
    <x v="0"/>
    <x v="0"/>
    <x v="162"/>
    <x v="2"/>
    <x v="3"/>
    <x v="1"/>
    <x v="162"/>
    <x v="161"/>
    <x v="160"/>
    <x v="142"/>
    <x v="142"/>
    <x v="4"/>
    <x v="3"/>
  </r>
  <r>
    <x v="143"/>
    <x v="0"/>
    <x v="1"/>
    <x v="4"/>
    <x v="18"/>
    <x v="162"/>
    <x v="163"/>
    <x v="3"/>
    <x v="1"/>
    <x v="2"/>
    <x v="5"/>
    <x v="163"/>
    <x v="4"/>
    <x v="1"/>
    <x v="0"/>
    <x v="163"/>
    <x v="162"/>
    <x v="161"/>
    <x v="143"/>
    <x v="5"/>
    <x v="6"/>
    <x v="1"/>
  </r>
  <r>
    <x v="144"/>
    <x v="4"/>
    <x v="2"/>
    <x v="4"/>
    <x v="10"/>
    <x v="163"/>
    <x v="164"/>
    <x v="1"/>
    <x v="1"/>
    <x v="3"/>
    <x v="0"/>
    <x v="164"/>
    <x v="0"/>
    <x v="1"/>
    <x v="0"/>
    <x v="164"/>
    <x v="163"/>
    <x v="162"/>
    <x v="144"/>
    <x v="143"/>
    <x v="6"/>
    <x v="2"/>
  </r>
  <r>
    <x v="145"/>
    <x v="4"/>
    <x v="0"/>
    <x v="5"/>
    <x v="12"/>
    <x v="164"/>
    <x v="165"/>
    <x v="2"/>
    <x v="0"/>
    <x v="1"/>
    <x v="2"/>
    <x v="165"/>
    <x v="4"/>
    <x v="2"/>
    <x v="1"/>
    <x v="165"/>
    <x v="164"/>
    <x v="163"/>
    <x v="145"/>
    <x v="144"/>
    <x v="7"/>
    <x v="0"/>
  </r>
  <r>
    <x v="82"/>
    <x v="4"/>
    <x v="2"/>
    <x v="0"/>
    <x v="8"/>
    <x v="165"/>
    <x v="166"/>
    <x v="0"/>
    <x v="1"/>
    <x v="0"/>
    <x v="5"/>
    <x v="166"/>
    <x v="4"/>
    <x v="0"/>
    <x v="0"/>
    <x v="166"/>
    <x v="165"/>
    <x v="164"/>
    <x v="82"/>
    <x v="145"/>
    <x v="2"/>
    <x v="2"/>
  </r>
  <r>
    <x v="146"/>
    <x v="1"/>
    <x v="2"/>
    <x v="2"/>
    <x v="4"/>
    <x v="166"/>
    <x v="167"/>
    <x v="3"/>
    <x v="0"/>
    <x v="3"/>
    <x v="5"/>
    <x v="167"/>
    <x v="1"/>
    <x v="3"/>
    <x v="0"/>
    <x v="167"/>
    <x v="166"/>
    <x v="165"/>
    <x v="146"/>
    <x v="146"/>
    <x v="1"/>
    <x v="2"/>
  </r>
  <r>
    <x v="147"/>
    <x v="2"/>
    <x v="4"/>
    <x v="0"/>
    <x v="11"/>
    <x v="167"/>
    <x v="168"/>
    <x v="2"/>
    <x v="0"/>
    <x v="3"/>
    <x v="1"/>
    <x v="168"/>
    <x v="3"/>
    <x v="0"/>
    <x v="0"/>
    <x v="168"/>
    <x v="167"/>
    <x v="166"/>
    <x v="147"/>
    <x v="76"/>
    <x v="5"/>
    <x v="4"/>
  </r>
  <r>
    <x v="148"/>
    <x v="3"/>
    <x v="3"/>
    <x v="3"/>
    <x v="16"/>
    <x v="168"/>
    <x v="169"/>
    <x v="3"/>
    <x v="0"/>
    <x v="2"/>
    <x v="4"/>
    <x v="169"/>
    <x v="1"/>
    <x v="0"/>
    <x v="0"/>
    <x v="169"/>
    <x v="168"/>
    <x v="167"/>
    <x v="148"/>
    <x v="147"/>
    <x v="5"/>
    <x v="3"/>
  </r>
  <r>
    <x v="149"/>
    <x v="0"/>
    <x v="4"/>
    <x v="2"/>
    <x v="14"/>
    <x v="169"/>
    <x v="170"/>
    <x v="0"/>
    <x v="1"/>
    <x v="3"/>
    <x v="4"/>
    <x v="170"/>
    <x v="2"/>
    <x v="2"/>
    <x v="0"/>
    <x v="170"/>
    <x v="169"/>
    <x v="168"/>
    <x v="149"/>
    <x v="148"/>
    <x v="6"/>
    <x v="4"/>
  </r>
  <r>
    <x v="150"/>
    <x v="4"/>
    <x v="4"/>
    <x v="5"/>
    <x v="13"/>
    <x v="170"/>
    <x v="171"/>
    <x v="0"/>
    <x v="0"/>
    <x v="1"/>
    <x v="0"/>
    <x v="171"/>
    <x v="4"/>
    <x v="3"/>
    <x v="1"/>
    <x v="171"/>
    <x v="170"/>
    <x v="169"/>
    <x v="150"/>
    <x v="149"/>
    <x v="0"/>
    <x v="4"/>
  </r>
  <r>
    <x v="151"/>
    <x v="0"/>
    <x v="1"/>
    <x v="5"/>
    <x v="12"/>
    <x v="171"/>
    <x v="172"/>
    <x v="2"/>
    <x v="0"/>
    <x v="1"/>
    <x v="1"/>
    <x v="172"/>
    <x v="4"/>
    <x v="2"/>
    <x v="0"/>
    <x v="172"/>
    <x v="171"/>
    <x v="151"/>
    <x v="151"/>
    <x v="150"/>
    <x v="3"/>
    <x v="1"/>
  </r>
  <r>
    <x v="152"/>
    <x v="6"/>
    <x v="0"/>
    <x v="4"/>
    <x v="9"/>
    <x v="172"/>
    <x v="173"/>
    <x v="1"/>
    <x v="0"/>
    <x v="0"/>
    <x v="1"/>
    <x v="173"/>
    <x v="3"/>
    <x v="2"/>
    <x v="1"/>
    <x v="173"/>
    <x v="172"/>
    <x v="170"/>
    <x v="152"/>
    <x v="151"/>
    <x v="6"/>
    <x v="0"/>
  </r>
  <r>
    <x v="56"/>
    <x v="2"/>
    <x v="2"/>
    <x v="5"/>
    <x v="0"/>
    <x v="173"/>
    <x v="174"/>
    <x v="2"/>
    <x v="0"/>
    <x v="3"/>
    <x v="0"/>
    <x v="174"/>
    <x v="0"/>
    <x v="3"/>
    <x v="0"/>
    <x v="174"/>
    <x v="173"/>
    <x v="171"/>
    <x v="56"/>
    <x v="76"/>
    <x v="1"/>
    <x v="2"/>
  </r>
  <r>
    <x v="153"/>
    <x v="3"/>
    <x v="2"/>
    <x v="6"/>
    <x v="9"/>
    <x v="174"/>
    <x v="175"/>
    <x v="3"/>
    <x v="1"/>
    <x v="3"/>
    <x v="5"/>
    <x v="175"/>
    <x v="4"/>
    <x v="2"/>
    <x v="0"/>
    <x v="175"/>
    <x v="174"/>
    <x v="172"/>
    <x v="153"/>
    <x v="152"/>
    <x v="7"/>
    <x v="2"/>
  </r>
  <r>
    <x v="154"/>
    <x v="7"/>
    <x v="2"/>
    <x v="3"/>
    <x v="10"/>
    <x v="175"/>
    <x v="176"/>
    <x v="0"/>
    <x v="1"/>
    <x v="3"/>
    <x v="4"/>
    <x v="176"/>
    <x v="0"/>
    <x v="3"/>
    <x v="1"/>
    <x v="176"/>
    <x v="175"/>
    <x v="173"/>
    <x v="154"/>
    <x v="153"/>
    <x v="0"/>
    <x v="2"/>
  </r>
  <r>
    <x v="155"/>
    <x v="6"/>
    <x v="3"/>
    <x v="6"/>
    <x v="19"/>
    <x v="176"/>
    <x v="177"/>
    <x v="0"/>
    <x v="1"/>
    <x v="0"/>
    <x v="3"/>
    <x v="177"/>
    <x v="3"/>
    <x v="0"/>
    <x v="0"/>
    <x v="177"/>
    <x v="176"/>
    <x v="174"/>
    <x v="155"/>
    <x v="154"/>
    <x v="7"/>
    <x v="3"/>
  </r>
  <r>
    <x v="156"/>
    <x v="8"/>
    <x v="0"/>
    <x v="0"/>
    <x v="16"/>
    <x v="177"/>
    <x v="178"/>
    <x v="2"/>
    <x v="1"/>
    <x v="1"/>
    <x v="2"/>
    <x v="178"/>
    <x v="2"/>
    <x v="3"/>
    <x v="1"/>
    <x v="178"/>
    <x v="177"/>
    <x v="175"/>
    <x v="156"/>
    <x v="155"/>
    <x v="1"/>
    <x v="0"/>
  </r>
  <r>
    <x v="157"/>
    <x v="10"/>
    <x v="0"/>
    <x v="2"/>
    <x v="14"/>
    <x v="178"/>
    <x v="179"/>
    <x v="0"/>
    <x v="0"/>
    <x v="0"/>
    <x v="5"/>
    <x v="179"/>
    <x v="4"/>
    <x v="3"/>
    <x v="0"/>
    <x v="179"/>
    <x v="178"/>
    <x v="176"/>
    <x v="157"/>
    <x v="156"/>
    <x v="2"/>
    <x v="0"/>
  </r>
  <r>
    <x v="148"/>
    <x v="3"/>
    <x v="2"/>
    <x v="0"/>
    <x v="18"/>
    <x v="179"/>
    <x v="180"/>
    <x v="3"/>
    <x v="0"/>
    <x v="1"/>
    <x v="1"/>
    <x v="180"/>
    <x v="4"/>
    <x v="2"/>
    <x v="0"/>
    <x v="180"/>
    <x v="179"/>
    <x v="177"/>
    <x v="148"/>
    <x v="157"/>
    <x v="1"/>
    <x v="2"/>
  </r>
  <r>
    <x v="158"/>
    <x v="9"/>
    <x v="1"/>
    <x v="6"/>
    <x v="5"/>
    <x v="180"/>
    <x v="181"/>
    <x v="2"/>
    <x v="0"/>
    <x v="1"/>
    <x v="5"/>
    <x v="181"/>
    <x v="2"/>
    <x v="2"/>
    <x v="0"/>
    <x v="181"/>
    <x v="180"/>
    <x v="178"/>
    <x v="158"/>
    <x v="158"/>
    <x v="6"/>
    <x v="1"/>
  </r>
  <r>
    <x v="159"/>
    <x v="7"/>
    <x v="0"/>
    <x v="5"/>
    <x v="6"/>
    <x v="181"/>
    <x v="182"/>
    <x v="3"/>
    <x v="1"/>
    <x v="0"/>
    <x v="4"/>
    <x v="182"/>
    <x v="0"/>
    <x v="1"/>
    <x v="1"/>
    <x v="182"/>
    <x v="181"/>
    <x v="179"/>
    <x v="159"/>
    <x v="159"/>
    <x v="2"/>
    <x v="0"/>
  </r>
  <r>
    <x v="160"/>
    <x v="8"/>
    <x v="4"/>
    <x v="0"/>
    <x v="18"/>
    <x v="182"/>
    <x v="183"/>
    <x v="2"/>
    <x v="0"/>
    <x v="3"/>
    <x v="2"/>
    <x v="183"/>
    <x v="4"/>
    <x v="0"/>
    <x v="0"/>
    <x v="183"/>
    <x v="182"/>
    <x v="171"/>
    <x v="160"/>
    <x v="99"/>
    <x v="8"/>
    <x v="4"/>
  </r>
  <r>
    <x v="63"/>
    <x v="1"/>
    <x v="4"/>
    <x v="6"/>
    <x v="2"/>
    <x v="183"/>
    <x v="184"/>
    <x v="3"/>
    <x v="1"/>
    <x v="3"/>
    <x v="5"/>
    <x v="184"/>
    <x v="1"/>
    <x v="2"/>
    <x v="0"/>
    <x v="184"/>
    <x v="183"/>
    <x v="180"/>
    <x v="63"/>
    <x v="160"/>
    <x v="1"/>
    <x v="4"/>
  </r>
  <r>
    <x v="161"/>
    <x v="3"/>
    <x v="2"/>
    <x v="2"/>
    <x v="7"/>
    <x v="184"/>
    <x v="185"/>
    <x v="0"/>
    <x v="1"/>
    <x v="1"/>
    <x v="3"/>
    <x v="185"/>
    <x v="3"/>
    <x v="0"/>
    <x v="0"/>
    <x v="185"/>
    <x v="184"/>
    <x v="181"/>
    <x v="161"/>
    <x v="139"/>
    <x v="2"/>
    <x v="2"/>
  </r>
  <r>
    <x v="123"/>
    <x v="8"/>
    <x v="1"/>
    <x v="3"/>
    <x v="17"/>
    <x v="185"/>
    <x v="186"/>
    <x v="3"/>
    <x v="1"/>
    <x v="0"/>
    <x v="5"/>
    <x v="186"/>
    <x v="0"/>
    <x v="1"/>
    <x v="1"/>
    <x v="186"/>
    <x v="185"/>
    <x v="182"/>
    <x v="123"/>
    <x v="161"/>
    <x v="2"/>
    <x v="1"/>
  </r>
  <r>
    <x v="162"/>
    <x v="0"/>
    <x v="1"/>
    <x v="5"/>
    <x v="4"/>
    <x v="186"/>
    <x v="187"/>
    <x v="2"/>
    <x v="0"/>
    <x v="2"/>
    <x v="1"/>
    <x v="187"/>
    <x v="1"/>
    <x v="0"/>
    <x v="0"/>
    <x v="187"/>
    <x v="186"/>
    <x v="183"/>
    <x v="162"/>
    <x v="162"/>
    <x v="5"/>
    <x v="1"/>
  </r>
  <r>
    <x v="163"/>
    <x v="3"/>
    <x v="4"/>
    <x v="5"/>
    <x v="16"/>
    <x v="187"/>
    <x v="188"/>
    <x v="2"/>
    <x v="0"/>
    <x v="2"/>
    <x v="3"/>
    <x v="188"/>
    <x v="3"/>
    <x v="0"/>
    <x v="1"/>
    <x v="188"/>
    <x v="187"/>
    <x v="184"/>
    <x v="163"/>
    <x v="163"/>
    <x v="1"/>
    <x v="4"/>
  </r>
  <r>
    <x v="164"/>
    <x v="7"/>
    <x v="4"/>
    <x v="0"/>
    <x v="3"/>
    <x v="188"/>
    <x v="189"/>
    <x v="3"/>
    <x v="0"/>
    <x v="0"/>
    <x v="5"/>
    <x v="189"/>
    <x v="2"/>
    <x v="3"/>
    <x v="0"/>
    <x v="189"/>
    <x v="188"/>
    <x v="185"/>
    <x v="164"/>
    <x v="164"/>
    <x v="6"/>
    <x v="4"/>
  </r>
  <r>
    <x v="165"/>
    <x v="9"/>
    <x v="0"/>
    <x v="4"/>
    <x v="13"/>
    <x v="189"/>
    <x v="190"/>
    <x v="2"/>
    <x v="0"/>
    <x v="3"/>
    <x v="1"/>
    <x v="190"/>
    <x v="4"/>
    <x v="1"/>
    <x v="0"/>
    <x v="190"/>
    <x v="189"/>
    <x v="186"/>
    <x v="165"/>
    <x v="165"/>
    <x v="1"/>
    <x v="0"/>
  </r>
  <r>
    <x v="166"/>
    <x v="6"/>
    <x v="0"/>
    <x v="6"/>
    <x v="6"/>
    <x v="190"/>
    <x v="191"/>
    <x v="3"/>
    <x v="0"/>
    <x v="0"/>
    <x v="3"/>
    <x v="191"/>
    <x v="3"/>
    <x v="3"/>
    <x v="0"/>
    <x v="191"/>
    <x v="190"/>
    <x v="187"/>
    <x v="166"/>
    <x v="166"/>
    <x v="4"/>
    <x v="0"/>
  </r>
  <r>
    <x v="23"/>
    <x v="10"/>
    <x v="1"/>
    <x v="4"/>
    <x v="4"/>
    <x v="191"/>
    <x v="192"/>
    <x v="0"/>
    <x v="0"/>
    <x v="1"/>
    <x v="1"/>
    <x v="192"/>
    <x v="2"/>
    <x v="2"/>
    <x v="1"/>
    <x v="192"/>
    <x v="191"/>
    <x v="188"/>
    <x v="23"/>
    <x v="167"/>
    <x v="0"/>
    <x v="1"/>
  </r>
  <r>
    <x v="167"/>
    <x v="1"/>
    <x v="1"/>
    <x v="6"/>
    <x v="7"/>
    <x v="192"/>
    <x v="193"/>
    <x v="0"/>
    <x v="0"/>
    <x v="2"/>
    <x v="3"/>
    <x v="193"/>
    <x v="3"/>
    <x v="0"/>
    <x v="0"/>
    <x v="193"/>
    <x v="192"/>
    <x v="189"/>
    <x v="167"/>
    <x v="168"/>
    <x v="1"/>
    <x v="1"/>
  </r>
  <r>
    <x v="50"/>
    <x v="4"/>
    <x v="3"/>
    <x v="5"/>
    <x v="2"/>
    <x v="193"/>
    <x v="194"/>
    <x v="0"/>
    <x v="0"/>
    <x v="2"/>
    <x v="3"/>
    <x v="194"/>
    <x v="3"/>
    <x v="1"/>
    <x v="0"/>
    <x v="194"/>
    <x v="193"/>
    <x v="190"/>
    <x v="50"/>
    <x v="169"/>
    <x v="1"/>
    <x v="3"/>
  </r>
  <r>
    <x v="168"/>
    <x v="9"/>
    <x v="4"/>
    <x v="2"/>
    <x v="13"/>
    <x v="194"/>
    <x v="195"/>
    <x v="2"/>
    <x v="1"/>
    <x v="1"/>
    <x v="5"/>
    <x v="195"/>
    <x v="0"/>
    <x v="0"/>
    <x v="0"/>
    <x v="195"/>
    <x v="194"/>
    <x v="191"/>
    <x v="168"/>
    <x v="170"/>
    <x v="7"/>
    <x v="4"/>
  </r>
  <r>
    <x v="169"/>
    <x v="0"/>
    <x v="0"/>
    <x v="3"/>
    <x v="19"/>
    <x v="195"/>
    <x v="196"/>
    <x v="1"/>
    <x v="1"/>
    <x v="1"/>
    <x v="2"/>
    <x v="196"/>
    <x v="1"/>
    <x v="2"/>
    <x v="0"/>
    <x v="196"/>
    <x v="195"/>
    <x v="192"/>
    <x v="169"/>
    <x v="171"/>
    <x v="0"/>
    <x v="0"/>
  </r>
  <r>
    <x v="170"/>
    <x v="0"/>
    <x v="3"/>
    <x v="6"/>
    <x v="4"/>
    <x v="196"/>
    <x v="197"/>
    <x v="2"/>
    <x v="1"/>
    <x v="0"/>
    <x v="4"/>
    <x v="197"/>
    <x v="4"/>
    <x v="2"/>
    <x v="0"/>
    <x v="197"/>
    <x v="196"/>
    <x v="143"/>
    <x v="170"/>
    <x v="172"/>
    <x v="0"/>
    <x v="3"/>
  </r>
  <r>
    <x v="171"/>
    <x v="7"/>
    <x v="4"/>
    <x v="6"/>
    <x v="5"/>
    <x v="197"/>
    <x v="198"/>
    <x v="0"/>
    <x v="0"/>
    <x v="1"/>
    <x v="3"/>
    <x v="198"/>
    <x v="1"/>
    <x v="3"/>
    <x v="0"/>
    <x v="198"/>
    <x v="197"/>
    <x v="193"/>
    <x v="171"/>
    <x v="173"/>
    <x v="1"/>
    <x v="4"/>
  </r>
  <r>
    <x v="172"/>
    <x v="8"/>
    <x v="2"/>
    <x v="4"/>
    <x v="2"/>
    <x v="198"/>
    <x v="199"/>
    <x v="2"/>
    <x v="0"/>
    <x v="1"/>
    <x v="0"/>
    <x v="199"/>
    <x v="4"/>
    <x v="2"/>
    <x v="0"/>
    <x v="199"/>
    <x v="198"/>
    <x v="194"/>
    <x v="172"/>
    <x v="174"/>
    <x v="8"/>
    <x v="2"/>
  </r>
  <r>
    <x v="162"/>
    <x v="0"/>
    <x v="3"/>
    <x v="6"/>
    <x v="8"/>
    <x v="199"/>
    <x v="200"/>
    <x v="0"/>
    <x v="0"/>
    <x v="2"/>
    <x v="1"/>
    <x v="200"/>
    <x v="0"/>
    <x v="3"/>
    <x v="0"/>
    <x v="200"/>
    <x v="199"/>
    <x v="195"/>
    <x v="162"/>
    <x v="68"/>
    <x v="7"/>
    <x v="3"/>
  </r>
  <r>
    <x v="173"/>
    <x v="7"/>
    <x v="4"/>
    <x v="2"/>
    <x v="3"/>
    <x v="200"/>
    <x v="201"/>
    <x v="2"/>
    <x v="0"/>
    <x v="0"/>
    <x v="0"/>
    <x v="201"/>
    <x v="2"/>
    <x v="0"/>
    <x v="0"/>
    <x v="201"/>
    <x v="200"/>
    <x v="196"/>
    <x v="173"/>
    <x v="175"/>
    <x v="6"/>
    <x v="4"/>
  </r>
  <r>
    <x v="174"/>
    <x v="10"/>
    <x v="3"/>
    <x v="6"/>
    <x v="17"/>
    <x v="201"/>
    <x v="202"/>
    <x v="2"/>
    <x v="0"/>
    <x v="2"/>
    <x v="2"/>
    <x v="202"/>
    <x v="1"/>
    <x v="3"/>
    <x v="0"/>
    <x v="202"/>
    <x v="201"/>
    <x v="197"/>
    <x v="174"/>
    <x v="176"/>
    <x v="0"/>
    <x v="3"/>
  </r>
  <r>
    <x v="175"/>
    <x v="11"/>
    <x v="4"/>
    <x v="5"/>
    <x v="8"/>
    <x v="202"/>
    <x v="203"/>
    <x v="3"/>
    <x v="1"/>
    <x v="3"/>
    <x v="2"/>
    <x v="203"/>
    <x v="2"/>
    <x v="0"/>
    <x v="0"/>
    <x v="203"/>
    <x v="202"/>
    <x v="198"/>
    <x v="175"/>
    <x v="177"/>
    <x v="0"/>
    <x v="4"/>
  </r>
  <r>
    <x v="176"/>
    <x v="3"/>
    <x v="3"/>
    <x v="4"/>
    <x v="18"/>
    <x v="203"/>
    <x v="204"/>
    <x v="1"/>
    <x v="0"/>
    <x v="2"/>
    <x v="1"/>
    <x v="204"/>
    <x v="4"/>
    <x v="1"/>
    <x v="0"/>
    <x v="204"/>
    <x v="203"/>
    <x v="199"/>
    <x v="176"/>
    <x v="178"/>
    <x v="8"/>
    <x v="3"/>
  </r>
  <r>
    <x v="177"/>
    <x v="7"/>
    <x v="4"/>
    <x v="0"/>
    <x v="3"/>
    <x v="204"/>
    <x v="205"/>
    <x v="0"/>
    <x v="0"/>
    <x v="3"/>
    <x v="4"/>
    <x v="205"/>
    <x v="3"/>
    <x v="2"/>
    <x v="0"/>
    <x v="205"/>
    <x v="204"/>
    <x v="200"/>
    <x v="177"/>
    <x v="179"/>
    <x v="7"/>
    <x v="4"/>
  </r>
  <r>
    <x v="178"/>
    <x v="7"/>
    <x v="3"/>
    <x v="5"/>
    <x v="19"/>
    <x v="205"/>
    <x v="206"/>
    <x v="0"/>
    <x v="1"/>
    <x v="0"/>
    <x v="3"/>
    <x v="206"/>
    <x v="4"/>
    <x v="3"/>
    <x v="1"/>
    <x v="206"/>
    <x v="205"/>
    <x v="201"/>
    <x v="178"/>
    <x v="180"/>
    <x v="3"/>
    <x v="3"/>
  </r>
  <r>
    <x v="179"/>
    <x v="10"/>
    <x v="0"/>
    <x v="1"/>
    <x v="1"/>
    <x v="206"/>
    <x v="207"/>
    <x v="1"/>
    <x v="0"/>
    <x v="0"/>
    <x v="3"/>
    <x v="207"/>
    <x v="0"/>
    <x v="3"/>
    <x v="0"/>
    <x v="207"/>
    <x v="206"/>
    <x v="202"/>
    <x v="179"/>
    <x v="181"/>
    <x v="3"/>
    <x v="0"/>
  </r>
  <r>
    <x v="180"/>
    <x v="7"/>
    <x v="4"/>
    <x v="0"/>
    <x v="18"/>
    <x v="207"/>
    <x v="208"/>
    <x v="2"/>
    <x v="1"/>
    <x v="1"/>
    <x v="2"/>
    <x v="208"/>
    <x v="4"/>
    <x v="1"/>
    <x v="0"/>
    <x v="208"/>
    <x v="57"/>
    <x v="203"/>
    <x v="180"/>
    <x v="182"/>
    <x v="3"/>
    <x v="4"/>
  </r>
  <r>
    <x v="181"/>
    <x v="10"/>
    <x v="1"/>
    <x v="2"/>
    <x v="15"/>
    <x v="208"/>
    <x v="209"/>
    <x v="1"/>
    <x v="1"/>
    <x v="3"/>
    <x v="0"/>
    <x v="209"/>
    <x v="1"/>
    <x v="3"/>
    <x v="1"/>
    <x v="209"/>
    <x v="207"/>
    <x v="153"/>
    <x v="181"/>
    <x v="183"/>
    <x v="2"/>
    <x v="1"/>
  </r>
  <r>
    <x v="182"/>
    <x v="3"/>
    <x v="4"/>
    <x v="6"/>
    <x v="9"/>
    <x v="209"/>
    <x v="210"/>
    <x v="3"/>
    <x v="1"/>
    <x v="2"/>
    <x v="5"/>
    <x v="210"/>
    <x v="2"/>
    <x v="2"/>
    <x v="0"/>
    <x v="210"/>
    <x v="208"/>
    <x v="204"/>
    <x v="182"/>
    <x v="184"/>
    <x v="1"/>
    <x v="4"/>
  </r>
  <r>
    <x v="183"/>
    <x v="1"/>
    <x v="0"/>
    <x v="6"/>
    <x v="1"/>
    <x v="210"/>
    <x v="211"/>
    <x v="1"/>
    <x v="0"/>
    <x v="1"/>
    <x v="0"/>
    <x v="211"/>
    <x v="3"/>
    <x v="3"/>
    <x v="0"/>
    <x v="211"/>
    <x v="209"/>
    <x v="205"/>
    <x v="183"/>
    <x v="149"/>
    <x v="1"/>
    <x v="0"/>
  </r>
  <r>
    <x v="184"/>
    <x v="6"/>
    <x v="0"/>
    <x v="2"/>
    <x v="13"/>
    <x v="211"/>
    <x v="212"/>
    <x v="3"/>
    <x v="1"/>
    <x v="2"/>
    <x v="5"/>
    <x v="212"/>
    <x v="2"/>
    <x v="0"/>
    <x v="1"/>
    <x v="212"/>
    <x v="210"/>
    <x v="206"/>
    <x v="184"/>
    <x v="185"/>
    <x v="0"/>
    <x v="0"/>
  </r>
  <r>
    <x v="185"/>
    <x v="11"/>
    <x v="1"/>
    <x v="1"/>
    <x v="11"/>
    <x v="212"/>
    <x v="213"/>
    <x v="3"/>
    <x v="1"/>
    <x v="2"/>
    <x v="2"/>
    <x v="213"/>
    <x v="3"/>
    <x v="3"/>
    <x v="0"/>
    <x v="213"/>
    <x v="211"/>
    <x v="207"/>
    <x v="185"/>
    <x v="186"/>
    <x v="7"/>
    <x v="1"/>
  </r>
  <r>
    <x v="186"/>
    <x v="10"/>
    <x v="4"/>
    <x v="5"/>
    <x v="16"/>
    <x v="213"/>
    <x v="214"/>
    <x v="0"/>
    <x v="0"/>
    <x v="1"/>
    <x v="2"/>
    <x v="214"/>
    <x v="3"/>
    <x v="0"/>
    <x v="0"/>
    <x v="214"/>
    <x v="212"/>
    <x v="208"/>
    <x v="186"/>
    <x v="108"/>
    <x v="5"/>
    <x v="4"/>
  </r>
  <r>
    <x v="187"/>
    <x v="4"/>
    <x v="2"/>
    <x v="3"/>
    <x v="18"/>
    <x v="214"/>
    <x v="215"/>
    <x v="3"/>
    <x v="1"/>
    <x v="0"/>
    <x v="2"/>
    <x v="215"/>
    <x v="1"/>
    <x v="3"/>
    <x v="0"/>
    <x v="215"/>
    <x v="213"/>
    <x v="209"/>
    <x v="187"/>
    <x v="187"/>
    <x v="0"/>
    <x v="2"/>
  </r>
  <r>
    <x v="188"/>
    <x v="2"/>
    <x v="0"/>
    <x v="5"/>
    <x v="15"/>
    <x v="215"/>
    <x v="216"/>
    <x v="3"/>
    <x v="0"/>
    <x v="1"/>
    <x v="3"/>
    <x v="216"/>
    <x v="2"/>
    <x v="3"/>
    <x v="0"/>
    <x v="216"/>
    <x v="214"/>
    <x v="210"/>
    <x v="188"/>
    <x v="188"/>
    <x v="6"/>
    <x v="0"/>
  </r>
  <r>
    <x v="169"/>
    <x v="0"/>
    <x v="2"/>
    <x v="5"/>
    <x v="13"/>
    <x v="216"/>
    <x v="217"/>
    <x v="0"/>
    <x v="0"/>
    <x v="2"/>
    <x v="3"/>
    <x v="217"/>
    <x v="0"/>
    <x v="2"/>
    <x v="0"/>
    <x v="217"/>
    <x v="215"/>
    <x v="211"/>
    <x v="169"/>
    <x v="189"/>
    <x v="5"/>
    <x v="2"/>
  </r>
  <r>
    <x v="189"/>
    <x v="3"/>
    <x v="3"/>
    <x v="5"/>
    <x v="1"/>
    <x v="217"/>
    <x v="218"/>
    <x v="3"/>
    <x v="1"/>
    <x v="2"/>
    <x v="0"/>
    <x v="218"/>
    <x v="1"/>
    <x v="0"/>
    <x v="0"/>
    <x v="218"/>
    <x v="216"/>
    <x v="212"/>
    <x v="189"/>
    <x v="190"/>
    <x v="1"/>
    <x v="3"/>
  </r>
  <r>
    <x v="190"/>
    <x v="9"/>
    <x v="3"/>
    <x v="5"/>
    <x v="11"/>
    <x v="218"/>
    <x v="219"/>
    <x v="3"/>
    <x v="1"/>
    <x v="3"/>
    <x v="4"/>
    <x v="219"/>
    <x v="4"/>
    <x v="0"/>
    <x v="0"/>
    <x v="219"/>
    <x v="217"/>
    <x v="213"/>
    <x v="190"/>
    <x v="191"/>
    <x v="6"/>
    <x v="3"/>
  </r>
  <r>
    <x v="191"/>
    <x v="4"/>
    <x v="4"/>
    <x v="1"/>
    <x v="12"/>
    <x v="219"/>
    <x v="220"/>
    <x v="0"/>
    <x v="0"/>
    <x v="0"/>
    <x v="4"/>
    <x v="220"/>
    <x v="1"/>
    <x v="2"/>
    <x v="0"/>
    <x v="220"/>
    <x v="218"/>
    <x v="214"/>
    <x v="191"/>
    <x v="192"/>
    <x v="4"/>
    <x v="4"/>
  </r>
  <r>
    <x v="192"/>
    <x v="6"/>
    <x v="4"/>
    <x v="0"/>
    <x v="2"/>
    <x v="220"/>
    <x v="221"/>
    <x v="3"/>
    <x v="0"/>
    <x v="3"/>
    <x v="4"/>
    <x v="221"/>
    <x v="4"/>
    <x v="2"/>
    <x v="1"/>
    <x v="221"/>
    <x v="219"/>
    <x v="215"/>
    <x v="192"/>
    <x v="35"/>
    <x v="5"/>
    <x v="4"/>
  </r>
  <r>
    <x v="193"/>
    <x v="0"/>
    <x v="4"/>
    <x v="4"/>
    <x v="15"/>
    <x v="221"/>
    <x v="222"/>
    <x v="2"/>
    <x v="0"/>
    <x v="3"/>
    <x v="2"/>
    <x v="222"/>
    <x v="2"/>
    <x v="2"/>
    <x v="1"/>
    <x v="222"/>
    <x v="220"/>
    <x v="216"/>
    <x v="193"/>
    <x v="5"/>
    <x v="5"/>
    <x v="4"/>
  </r>
  <r>
    <x v="177"/>
    <x v="7"/>
    <x v="2"/>
    <x v="6"/>
    <x v="13"/>
    <x v="222"/>
    <x v="223"/>
    <x v="3"/>
    <x v="1"/>
    <x v="2"/>
    <x v="5"/>
    <x v="223"/>
    <x v="4"/>
    <x v="0"/>
    <x v="0"/>
    <x v="223"/>
    <x v="221"/>
    <x v="217"/>
    <x v="177"/>
    <x v="193"/>
    <x v="5"/>
    <x v="2"/>
  </r>
  <r>
    <x v="103"/>
    <x v="3"/>
    <x v="2"/>
    <x v="3"/>
    <x v="8"/>
    <x v="223"/>
    <x v="224"/>
    <x v="0"/>
    <x v="1"/>
    <x v="1"/>
    <x v="0"/>
    <x v="224"/>
    <x v="1"/>
    <x v="3"/>
    <x v="0"/>
    <x v="224"/>
    <x v="222"/>
    <x v="218"/>
    <x v="103"/>
    <x v="194"/>
    <x v="7"/>
    <x v="2"/>
  </r>
  <r>
    <x v="194"/>
    <x v="2"/>
    <x v="0"/>
    <x v="0"/>
    <x v="4"/>
    <x v="224"/>
    <x v="225"/>
    <x v="3"/>
    <x v="0"/>
    <x v="2"/>
    <x v="2"/>
    <x v="225"/>
    <x v="3"/>
    <x v="1"/>
    <x v="1"/>
    <x v="225"/>
    <x v="223"/>
    <x v="219"/>
    <x v="194"/>
    <x v="28"/>
    <x v="0"/>
    <x v="0"/>
  </r>
  <r>
    <x v="195"/>
    <x v="6"/>
    <x v="1"/>
    <x v="2"/>
    <x v="9"/>
    <x v="225"/>
    <x v="226"/>
    <x v="1"/>
    <x v="1"/>
    <x v="0"/>
    <x v="1"/>
    <x v="226"/>
    <x v="4"/>
    <x v="3"/>
    <x v="0"/>
    <x v="226"/>
    <x v="224"/>
    <x v="220"/>
    <x v="195"/>
    <x v="195"/>
    <x v="2"/>
    <x v="1"/>
  </r>
  <r>
    <x v="196"/>
    <x v="9"/>
    <x v="1"/>
    <x v="6"/>
    <x v="8"/>
    <x v="226"/>
    <x v="227"/>
    <x v="0"/>
    <x v="1"/>
    <x v="2"/>
    <x v="2"/>
    <x v="227"/>
    <x v="3"/>
    <x v="3"/>
    <x v="1"/>
    <x v="227"/>
    <x v="225"/>
    <x v="221"/>
    <x v="196"/>
    <x v="196"/>
    <x v="2"/>
    <x v="1"/>
  </r>
  <r>
    <x v="197"/>
    <x v="8"/>
    <x v="0"/>
    <x v="5"/>
    <x v="5"/>
    <x v="227"/>
    <x v="228"/>
    <x v="0"/>
    <x v="0"/>
    <x v="0"/>
    <x v="1"/>
    <x v="228"/>
    <x v="1"/>
    <x v="2"/>
    <x v="1"/>
    <x v="228"/>
    <x v="226"/>
    <x v="222"/>
    <x v="197"/>
    <x v="161"/>
    <x v="3"/>
    <x v="0"/>
  </r>
  <r>
    <x v="198"/>
    <x v="5"/>
    <x v="0"/>
    <x v="5"/>
    <x v="11"/>
    <x v="228"/>
    <x v="229"/>
    <x v="3"/>
    <x v="0"/>
    <x v="3"/>
    <x v="0"/>
    <x v="229"/>
    <x v="2"/>
    <x v="3"/>
    <x v="0"/>
    <x v="229"/>
    <x v="227"/>
    <x v="223"/>
    <x v="198"/>
    <x v="197"/>
    <x v="0"/>
    <x v="0"/>
  </r>
  <r>
    <x v="199"/>
    <x v="6"/>
    <x v="4"/>
    <x v="0"/>
    <x v="4"/>
    <x v="229"/>
    <x v="230"/>
    <x v="0"/>
    <x v="0"/>
    <x v="0"/>
    <x v="4"/>
    <x v="230"/>
    <x v="0"/>
    <x v="2"/>
    <x v="0"/>
    <x v="230"/>
    <x v="228"/>
    <x v="224"/>
    <x v="199"/>
    <x v="198"/>
    <x v="5"/>
    <x v="4"/>
  </r>
  <r>
    <x v="159"/>
    <x v="7"/>
    <x v="4"/>
    <x v="6"/>
    <x v="19"/>
    <x v="230"/>
    <x v="231"/>
    <x v="1"/>
    <x v="0"/>
    <x v="3"/>
    <x v="3"/>
    <x v="231"/>
    <x v="3"/>
    <x v="1"/>
    <x v="0"/>
    <x v="231"/>
    <x v="229"/>
    <x v="225"/>
    <x v="159"/>
    <x v="159"/>
    <x v="2"/>
    <x v="4"/>
  </r>
  <r>
    <x v="200"/>
    <x v="10"/>
    <x v="4"/>
    <x v="6"/>
    <x v="0"/>
    <x v="231"/>
    <x v="232"/>
    <x v="1"/>
    <x v="0"/>
    <x v="3"/>
    <x v="3"/>
    <x v="232"/>
    <x v="1"/>
    <x v="0"/>
    <x v="0"/>
    <x v="232"/>
    <x v="230"/>
    <x v="226"/>
    <x v="200"/>
    <x v="199"/>
    <x v="2"/>
    <x v="4"/>
  </r>
  <r>
    <x v="201"/>
    <x v="10"/>
    <x v="1"/>
    <x v="1"/>
    <x v="11"/>
    <x v="232"/>
    <x v="233"/>
    <x v="3"/>
    <x v="0"/>
    <x v="1"/>
    <x v="3"/>
    <x v="233"/>
    <x v="3"/>
    <x v="3"/>
    <x v="0"/>
    <x v="233"/>
    <x v="231"/>
    <x v="227"/>
    <x v="201"/>
    <x v="200"/>
    <x v="6"/>
    <x v="1"/>
  </r>
  <r>
    <x v="202"/>
    <x v="0"/>
    <x v="3"/>
    <x v="5"/>
    <x v="2"/>
    <x v="233"/>
    <x v="234"/>
    <x v="0"/>
    <x v="1"/>
    <x v="2"/>
    <x v="1"/>
    <x v="234"/>
    <x v="3"/>
    <x v="3"/>
    <x v="0"/>
    <x v="234"/>
    <x v="232"/>
    <x v="228"/>
    <x v="202"/>
    <x v="148"/>
    <x v="8"/>
    <x v="3"/>
  </r>
  <r>
    <x v="203"/>
    <x v="9"/>
    <x v="4"/>
    <x v="4"/>
    <x v="0"/>
    <x v="234"/>
    <x v="235"/>
    <x v="0"/>
    <x v="0"/>
    <x v="1"/>
    <x v="4"/>
    <x v="235"/>
    <x v="3"/>
    <x v="2"/>
    <x v="0"/>
    <x v="235"/>
    <x v="233"/>
    <x v="229"/>
    <x v="203"/>
    <x v="201"/>
    <x v="8"/>
    <x v="4"/>
  </r>
  <r>
    <x v="204"/>
    <x v="7"/>
    <x v="3"/>
    <x v="2"/>
    <x v="9"/>
    <x v="235"/>
    <x v="236"/>
    <x v="2"/>
    <x v="0"/>
    <x v="2"/>
    <x v="3"/>
    <x v="236"/>
    <x v="0"/>
    <x v="0"/>
    <x v="0"/>
    <x v="236"/>
    <x v="234"/>
    <x v="230"/>
    <x v="204"/>
    <x v="202"/>
    <x v="5"/>
    <x v="3"/>
  </r>
  <r>
    <x v="205"/>
    <x v="3"/>
    <x v="1"/>
    <x v="3"/>
    <x v="6"/>
    <x v="236"/>
    <x v="237"/>
    <x v="2"/>
    <x v="1"/>
    <x v="3"/>
    <x v="4"/>
    <x v="237"/>
    <x v="2"/>
    <x v="3"/>
    <x v="0"/>
    <x v="237"/>
    <x v="235"/>
    <x v="231"/>
    <x v="205"/>
    <x v="203"/>
    <x v="6"/>
    <x v="1"/>
  </r>
  <r>
    <x v="206"/>
    <x v="9"/>
    <x v="2"/>
    <x v="3"/>
    <x v="2"/>
    <x v="237"/>
    <x v="238"/>
    <x v="0"/>
    <x v="0"/>
    <x v="1"/>
    <x v="2"/>
    <x v="238"/>
    <x v="0"/>
    <x v="1"/>
    <x v="0"/>
    <x v="238"/>
    <x v="236"/>
    <x v="232"/>
    <x v="206"/>
    <x v="204"/>
    <x v="8"/>
    <x v="2"/>
  </r>
  <r>
    <x v="207"/>
    <x v="9"/>
    <x v="3"/>
    <x v="2"/>
    <x v="10"/>
    <x v="238"/>
    <x v="239"/>
    <x v="1"/>
    <x v="1"/>
    <x v="1"/>
    <x v="5"/>
    <x v="239"/>
    <x v="3"/>
    <x v="3"/>
    <x v="1"/>
    <x v="239"/>
    <x v="237"/>
    <x v="233"/>
    <x v="207"/>
    <x v="205"/>
    <x v="8"/>
    <x v="3"/>
  </r>
  <r>
    <x v="208"/>
    <x v="9"/>
    <x v="2"/>
    <x v="2"/>
    <x v="18"/>
    <x v="239"/>
    <x v="240"/>
    <x v="3"/>
    <x v="1"/>
    <x v="0"/>
    <x v="1"/>
    <x v="240"/>
    <x v="2"/>
    <x v="3"/>
    <x v="0"/>
    <x v="240"/>
    <x v="238"/>
    <x v="234"/>
    <x v="208"/>
    <x v="206"/>
    <x v="0"/>
    <x v="2"/>
  </r>
  <r>
    <x v="209"/>
    <x v="4"/>
    <x v="3"/>
    <x v="3"/>
    <x v="10"/>
    <x v="240"/>
    <x v="241"/>
    <x v="3"/>
    <x v="1"/>
    <x v="0"/>
    <x v="3"/>
    <x v="241"/>
    <x v="3"/>
    <x v="2"/>
    <x v="0"/>
    <x v="241"/>
    <x v="239"/>
    <x v="235"/>
    <x v="209"/>
    <x v="7"/>
    <x v="3"/>
    <x v="3"/>
  </r>
  <r>
    <x v="13"/>
    <x v="4"/>
    <x v="2"/>
    <x v="5"/>
    <x v="1"/>
    <x v="241"/>
    <x v="242"/>
    <x v="2"/>
    <x v="1"/>
    <x v="1"/>
    <x v="0"/>
    <x v="242"/>
    <x v="1"/>
    <x v="2"/>
    <x v="0"/>
    <x v="242"/>
    <x v="240"/>
    <x v="236"/>
    <x v="13"/>
    <x v="207"/>
    <x v="4"/>
    <x v="2"/>
  </r>
  <r>
    <x v="210"/>
    <x v="2"/>
    <x v="3"/>
    <x v="6"/>
    <x v="14"/>
    <x v="242"/>
    <x v="243"/>
    <x v="1"/>
    <x v="0"/>
    <x v="3"/>
    <x v="0"/>
    <x v="243"/>
    <x v="2"/>
    <x v="2"/>
    <x v="0"/>
    <x v="243"/>
    <x v="241"/>
    <x v="237"/>
    <x v="210"/>
    <x v="208"/>
    <x v="5"/>
    <x v="3"/>
  </r>
  <r>
    <x v="211"/>
    <x v="2"/>
    <x v="4"/>
    <x v="6"/>
    <x v="12"/>
    <x v="243"/>
    <x v="244"/>
    <x v="0"/>
    <x v="1"/>
    <x v="2"/>
    <x v="2"/>
    <x v="244"/>
    <x v="0"/>
    <x v="3"/>
    <x v="0"/>
    <x v="244"/>
    <x v="242"/>
    <x v="238"/>
    <x v="211"/>
    <x v="209"/>
    <x v="7"/>
    <x v="4"/>
  </r>
  <r>
    <x v="212"/>
    <x v="1"/>
    <x v="1"/>
    <x v="4"/>
    <x v="0"/>
    <x v="244"/>
    <x v="245"/>
    <x v="2"/>
    <x v="0"/>
    <x v="1"/>
    <x v="4"/>
    <x v="245"/>
    <x v="0"/>
    <x v="0"/>
    <x v="1"/>
    <x v="245"/>
    <x v="243"/>
    <x v="31"/>
    <x v="212"/>
    <x v="210"/>
    <x v="1"/>
    <x v="1"/>
  </r>
  <r>
    <x v="213"/>
    <x v="6"/>
    <x v="4"/>
    <x v="3"/>
    <x v="3"/>
    <x v="245"/>
    <x v="246"/>
    <x v="0"/>
    <x v="1"/>
    <x v="1"/>
    <x v="0"/>
    <x v="246"/>
    <x v="3"/>
    <x v="3"/>
    <x v="0"/>
    <x v="246"/>
    <x v="244"/>
    <x v="239"/>
    <x v="213"/>
    <x v="211"/>
    <x v="7"/>
    <x v="4"/>
  </r>
  <r>
    <x v="214"/>
    <x v="6"/>
    <x v="0"/>
    <x v="0"/>
    <x v="16"/>
    <x v="246"/>
    <x v="247"/>
    <x v="2"/>
    <x v="0"/>
    <x v="0"/>
    <x v="4"/>
    <x v="247"/>
    <x v="4"/>
    <x v="1"/>
    <x v="1"/>
    <x v="247"/>
    <x v="53"/>
    <x v="240"/>
    <x v="214"/>
    <x v="122"/>
    <x v="6"/>
    <x v="0"/>
  </r>
  <r>
    <x v="215"/>
    <x v="1"/>
    <x v="0"/>
    <x v="0"/>
    <x v="16"/>
    <x v="247"/>
    <x v="248"/>
    <x v="2"/>
    <x v="0"/>
    <x v="3"/>
    <x v="5"/>
    <x v="248"/>
    <x v="0"/>
    <x v="3"/>
    <x v="1"/>
    <x v="248"/>
    <x v="144"/>
    <x v="241"/>
    <x v="215"/>
    <x v="212"/>
    <x v="5"/>
    <x v="0"/>
  </r>
  <r>
    <x v="6"/>
    <x v="4"/>
    <x v="2"/>
    <x v="2"/>
    <x v="16"/>
    <x v="248"/>
    <x v="249"/>
    <x v="3"/>
    <x v="1"/>
    <x v="3"/>
    <x v="0"/>
    <x v="249"/>
    <x v="1"/>
    <x v="0"/>
    <x v="0"/>
    <x v="249"/>
    <x v="245"/>
    <x v="242"/>
    <x v="6"/>
    <x v="6"/>
    <x v="2"/>
    <x v="2"/>
  </r>
  <r>
    <x v="216"/>
    <x v="3"/>
    <x v="1"/>
    <x v="0"/>
    <x v="14"/>
    <x v="249"/>
    <x v="250"/>
    <x v="1"/>
    <x v="0"/>
    <x v="2"/>
    <x v="2"/>
    <x v="250"/>
    <x v="4"/>
    <x v="1"/>
    <x v="0"/>
    <x v="250"/>
    <x v="246"/>
    <x v="243"/>
    <x v="216"/>
    <x v="213"/>
    <x v="1"/>
    <x v="1"/>
  </r>
  <r>
    <x v="217"/>
    <x v="11"/>
    <x v="0"/>
    <x v="2"/>
    <x v="10"/>
    <x v="250"/>
    <x v="251"/>
    <x v="3"/>
    <x v="1"/>
    <x v="2"/>
    <x v="3"/>
    <x v="251"/>
    <x v="2"/>
    <x v="3"/>
    <x v="1"/>
    <x v="251"/>
    <x v="247"/>
    <x v="244"/>
    <x v="217"/>
    <x v="214"/>
    <x v="8"/>
    <x v="0"/>
  </r>
  <r>
    <x v="218"/>
    <x v="10"/>
    <x v="0"/>
    <x v="1"/>
    <x v="11"/>
    <x v="251"/>
    <x v="252"/>
    <x v="2"/>
    <x v="1"/>
    <x v="1"/>
    <x v="4"/>
    <x v="252"/>
    <x v="1"/>
    <x v="3"/>
    <x v="0"/>
    <x v="252"/>
    <x v="248"/>
    <x v="245"/>
    <x v="218"/>
    <x v="181"/>
    <x v="6"/>
    <x v="0"/>
  </r>
  <r>
    <x v="219"/>
    <x v="6"/>
    <x v="1"/>
    <x v="1"/>
    <x v="13"/>
    <x v="252"/>
    <x v="253"/>
    <x v="2"/>
    <x v="1"/>
    <x v="1"/>
    <x v="2"/>
    <x v="253"/>
    <x v="4"/>
    <x v="3"/>
    <x v="0"/>
    <x v="253"/>
    <x v="249"/>
    <x v="246"/>
    <x v="219"/>
    <x v="154"/>
    <x v="5"/>
    <x v="1"/>
  </r>
  <r>
    <x v="220"/>
    <x v="0"/>
    <x v="0"/>
    <x v="5"/>
    <x v="15"/>
    <x v="253"/>
    <x v="254"/>
    <x v="0"/>
    <x v="0"/>
    <x v="0"/>
    <x v="3"/>
    <x v="254"/>
    <x v="2"/>
    <x v="2"/>
    <x v="0"/>
    <x v="254"/>
    <x v="250"/>
    <x v="247"/>
    <x v="220"/>
    <x v="215"/>
    <x v="1"/>
    <x v="0"/>
  </r>
  <r>
    <x v="221"/>
    <x v="9"/>
    <x v="0"/>
    <x v="0"/>
    <x v="16"/>
    <x v="254"/>
    <x v="255"/>
    <x v="2"/>
    <x v="1"/>
    <x v="0"/>
    <x v="1"/>
    <x v="255"/>
    <x v="2"/>
    <x v="2"/>
    <x v="0"/>
    <x v="255"/>
    <x v="251"/>
    <x v="248"/>
    <x v="221"/>
    <x v="216"/>
    <x v="6"/>
    <x v="0"/>
  </r>
  <r>
    <x v="222"/>
    <x v="10"/>
    <x v="0"/>
    <x v="3"/>
    <x v="11"/>
    <x v="255"/>
    <x v="256"/>
    <x v="0"/>
    <x v="1"/>
    <x v="0"/>
    <x v="4"/>
    <x v="256"/>
    <x v="3"/>
    <x v="0"/>
    <x v="1"/>
    <x v="256"/>
    <x v="252"/>
    <x v="249"/>
    <x v="222"/>
    <x v="217"/>
    <x v="2"/>
    <x v="0"/>
  </r>
  <r>
    <x v="223"/>
    <x v="4"/>
    <x v="1"/>
    <x v="4"/>
    <x v="4"/>
    <x v="256"/>
    <x v="257"/>
    <x v="0"/>
    <x v="1"/>
    <x v="0"/>
    <x v="2"/>
    <x v="257"/>
    <x v="4"/>
    <x v="0"/>
    <x v="0"/>
    <x v="257"/>
    <x v="253"/>
    <x v="250"/>
    <x v="223"/>
    <x v="218"/>
    <x v="6"/>
    <x v="1"/>
  </r>
  <r>
    <x v="224"/>
    <x v="9"/>
    <x v="1"/>
    <x v="6"/>
    <x v="13"/>
    <x v="257"/>
    <x v="258"/>
    <x v="3"/>
    <x v="1"/>
    <x v="3"/>
    <x v="4"/>
    <x v="258"/>
    <x v="4"/>
    <x v="2"/>
    <x v="0"/>
    <x v="258"/>
    <x v="254"/>
    <x v="251"/>
    <x v="224"/>
    <x v="219"/>
    <x v="7"/>
    <x v="1"/>
  </r>
  <r>
    <x v="225"/>
    <x v="10"/>
    <x v="1"/>
    <x v="5"/>
    <x v="4"/>
    <x v="258"/>
    <x v="259"/>
    <x v="2"/>
    <x v="1"/>
    <x v="2"/>
    <x v="4"/>
    <x v="259"/>
    <x v="4"/>
    <x v="3"/>
    <x v="0"/>
    <x v="259"/>
    <x v="255"/>
    <x v="252"/>
    <x v="225"/>
    <x v="93"/>
    <x v="6"/>
    <x v="1"/>
  </r>
  <r>
    <x v="226"/>
    <x v="3"/>
    <x v="1"/>
    <x v="0"/>
    <x v="3"/>
    <x v="259"/>
    <x v="260"/>
    <x v="2"/>
    <x v="0"/>
    <x v="2"/>
    <x v="3"/>
    <x v="260"/>
    <x v="0"/>
    <x v="1"/>
    <x v="0"/>
    <x v="260"/>
    <x v="256"/>
    <x v="253"/>
    <x v="226"/>
    <x v="220"/>
    <x v="5"/>
    <x v="1"/>
  </r>
  <r>
    <x v="227"/>
    <x v="1"/>
    <x v="2"/>
    <x v="6"/>
    <x v="4"/>
    <x v="260"/>
    <x v="261"/>
    <x v="1"/>
    <x v="1"/>
    <x v="1"/>
    <x v="3"/>
    <x v="261"/>
    <x v="3"/>
    <x v="3"/>
    <x v="0"/>
    <x v="261"/>
    <x v="257"/>
    <x v="254"/>
    <x v="227"/>
    <x v="221"/>
    <x v="5"/>
    <x v="2"/>
  </r>
  <r>
    <x v="228"/>
    <x v="10"/>
    <x v="0"/>
    <x v="3"/>
    <x v="5"/>
    <x v="261"/>
    <x v="262"/>
    <x v="1"/>
    <x v="1"/>
    <x v="3"/>
    <x v="2"/>
    <x v="262"/>
    <x v="3"/>
    <x v="0"/>
    <x v="1"/>
    <x v="262"/>
    <x v="258"/>
    <x v="255"/>
    <x v="228"/>
    <x v="138"/>
    <x v="0"/>
    <x v="0"/>
  </r>
  <r>
    <x v="229"/>
    <x v="4"/>
    <x v="4"/>
    <x v="1"/>
    <x v="14"/>
    <x v="262"/>
    <x v="263"/>
    <x v="1"/>
    <x v="1"/>
    <x v="0"/>
    <x v="0"/>
    <x v="263"/>
    <x v="3"/>
    <x v="1"/>
    <x v="0"/>
    <x v="263"/>
    <x v="259"/>
    <x v="256"/>
    <x v="229"/>
    <x v="222"/>
    <x v="1"/>
    <x v="4"/>
  </r>
  <r>
    <x v="230"/>
    <x v="0"/>
    <x v="2"/>
    <x v="4"/>
    <x v="5"/>
    <x v="263"/>
    <x v="264"/>
    <x v="0"/>
    <x v="1"/>
    <x v="2"/>
    <x v="2"/>
    <x v="264"/>
    <x v="3"/>
    <x v="0"/>
    <x v="0"/>
    <x v="264"/>
    <x v="260"/>
    <x v="257"/>
    <x v="230"/>
    <x v="68"/>
    <x v="6"/>
    <x v="2"/>
  </r>
  <r>
    <x v="231"/>
    <x v="9"/>
    <x v="1"/>
    <x v="4"/>
    <x v="19"/>
    <x v="264"/>
    <x v="265"/>
    <x v="1"/>
    <x v="0"/>
    <x v="3"/>
    <x v="2"/>
    <x v="265"/>
    <x v="0"/>
    <x v="2"/>
    <x v="1"/>
    <x v="265"/>
    <x v="261"/>
    <x v="89"/>
    <x v="231"/>
    <x v="223"/>
    <x v="6"/>
    <x v="1"/>
  </r>
  <r>
    <x v="232"/>
    <x v="4"/>
    <x v="4"/>
    <x v="2"/>
    <x v="16"/>
    <x v="265"/>
    <x v="266"/>
    <x v="2"/>
    <x v="1"/>
    <x v="2"/>
    <x v="3"/>
    <x v="266"/>
    <x v="3"/>
    <x v="0"/>
    <x v="1"/>
    <x v="266"/>
    <x v="262"/>
    <x v="258"/>
    <x v="232"/>
    <x v="224"/>
    <x v="0"/>
    <x v="4"/>
  </r>
  <r>
    <x v="9"/>
    <x v="6"/>
    <x v="1"/>
    <x v="5"/>
    <x v="2"/>
    <x v="266"/>
    <x v="267"/>
    <x v="3"/>
    <x v="0"/>
    <x v="3"/>
    <x v="4"/>
    <x v="267"/>
    <x v="3"/>
    <x v="1"/>
    <x v="0"/>
    <x v="267"/>
    <x v="263"/>
    <x v="259"/>
    <x v="9"/>
    <x v="225"/>
    <x v="0"/>
    <x v="1"/>
  </r>
  <r>
    <x v="233"/>
    <x v="0"/>
    <x v="2"/>
    <x v="6"/>
    <x v="12"/>
    <x v="267"/>
    <x v="268"/>
    <x v="3"/>
    <x v="1"/>
    <x v="1"/>
    <x v="5"/>
    <x v="268"/>
    <x v="1"/>
    <x v="2"/>
    <x v="1"/>
    <x v="268"/>
    <x v="264"/>
    <x v="260"/>
    <x v="233"/>
    <x v="226"/>
    <x v="3"/>
    <x v="2"/>
  </r>
  <r>
    <x v="56"/>
    <x v="2"/>
    <x v="2"/>
    <x v="5"/>
    <x v="7"/>
    <x v="268"/>
    <x v="269"/>
    <x v="1"/>
    <x v="0"/>
    <x v="1"/>
    <x v="1"/>
    <x v="269"/>
    <x v="0"/>
    <x v="1"/>
    <x v="0"/>
    <x v="269"/>
    <x v="265"/>
    <x v="261"/>
    <x v="56"/>
    <x v="227"/>
    <x v="5"/>
    <x v="2"/>
  </r>
  <r>
    <x v="234"/>
    <x v="2"/>
    <x v="1"/>
    <x v="6"/>
    <x v="15"/>
    <x v="269"/>
    <x v="270"/>
    <x v="2"/>
    <x v="0"/>
    <x v="2"/>
    <x v="4"/>
    <x v="270"/>
    <x v="3"/>
    <x v="1"/>
    <x v="1"/>
    <x v="270"/>
    <x v="39"/>
    <x v="262"/>
    <x v="234"/>
    <x v="228"/>
    <x v="6"/>
    <x v="1"/>
  </r>
  <r>
    <x v="145"/>
    <x v="4"/>
    <x v="4"/>
    <x v="2"/>
    <x v="7"/>
    <x v="270"/>
    <x v="271"/>
    <x v="2"/>
    <x v="1"/>
    <x v="2"/>
    <x v="0"/>
    <x v="271"/>
    <x v="2"/>
    <x v="3"/>
    <x v="0"/>
    <x v="271"/>
    <x v="266"/>
    <x v="263"/>
    <x v="145"/>
    <x v="110"/>
    <x v="5"/>
    <x v="4"/>
  </r>
  <r>
    <x v="235"/>
    <x v="0"/>
    <x v="2"/>
    <x v="3"/>
    <x v="12"/>
    <x v="271"/>
    <x v="272"/>
    <x v="1"/>
    <x v="1"/>
    <x v="2"/>
    <x v="5"/>
    <x v="272"/>
    <x v="2"/>
    <x v="0"/>
    <x v="0"/>
    <x v="272"/>
    <x v="267"/>
    <x v="264"/>
    <x v="235"/>
    <x v="229"/>
    <x v="1"/>
    <x v="2"/>
  </r>
  <r>
    <x v="236"/>
    <x v="8"/>
    <x v="4"/>
    <x v="1"/>
    <x v="7"/>
    <x v="272"/>
    <x v="273"/>
    <x v="0"/>
    <x v="0"/>
    <x v="3"/>
    <x v="3"/>
    <x v="273"/>
    <x v="0"/>
    <x v="1"/>
    <x v="0"/>
    <x v="273"/>
    <x v="268"/>
    <x v="265"/>
    <x v="236"/>
    <x v="230"/>
    <x v="0"/>
    <x v="4"/>
  </r>
  <r>
    <x v="55"/>
    <x v="6"/>
    <x v="0"/>
    <x v="3"/>
    <x v="6"/>
    <x v="273"/>
    <x v="274"/>
    <x v="2"/>
    <x v="0"/>
    <x v="1"/>
    <x v="2"/>
    <x v="274"/>
    <x v="3"/>
    <x v="2"/>
    <x v="0"/>
    <x v="274"/>
    <x v="269"/>
    <x v="266"/>
    <x v="55"/>
    <x v="231"/>
    <x v="3"/>
    <x v="0"/>
  </r>
  <r>
    <x v="237"/>
    <x v="8"/>
    <x v="3"/>
    <x v="1"/>
    <x v="9"/>
    <x v="274"/>
    <x v="275"/>
    <x v="1"/>
    <x v="1"/>
    <x v="1"/>
    <x v="2"/>
    <x v="275"/>
    <x v="1"/>
    <x v="3"/>
    <x v="0"/>
    <x v="275"/>
    <x v="270"/>
    <x v="267"/>
    <x v="237"/>
    <x v="232"/>
    <x v="3"/>
    <x v="3"/>
  </r>
  <r>
    <x v="238"/>
    <x v="8"/>
    <x v="2"/>
    <x v="6"/>
    <x v="16"/>
    <x v="275"/>
    <x v="276"/>
    <x v="3"/>
    <x v="1"/>
    <x v="1"/>
    <x v="5"/>
    <x v="276"/>
    <x v="0"/>
    <x v="2"/>
    <x v="0"/>
    <x v="276"/>
    <x v="271"/>
    <x v="268"/>
    <x v="238"/>
    <x v="233"/>
    <x v="2"/>
    <x v="2"/>
  </r>
  <r>
    <x v="10"/>
    <x v="7"/>
    <x v="4"/>
    <x v="5"/>
    <x v="19"/>
    <x v="276"/>
    <x v="277"/>
    <x v="2"/>
    <x v="1"/>
    <x v="1"/>
    <x v="4"/>
    <x v="277"/>
    <x v="0"/>
    <x v="1"/>
    <x v="0"/>
    <x v="277"/>
    <x v="272"/>
    <x v="269"/>
    <x v="10"/>
    <x v="234"/>
    <x v="2"/>
    <x v="4"/>
  </r>
  <r>
    <x v="239"/>
    <x v="4"/>
    <x v="2"/>
    <x v="2"/>
    <x v="18"/>
    <x v="277"/>
    <x v="278"/>
    <x v="1"/>
    <x v="0"/>
    <x v="0"/>
    <x v="3"/>
    <x v="278"/>
    <x v="2"/>
    <x v="2"/>
    <x v="0"/>
    <x v="278"/>
    <x v="273"/>
    <x v="270"/>
    <x v="239"/>
    <x v="187"/>
    <x v="2"/>
    <x v="2"/>
  </r>
  <r>
    <x v="240"/>
    <x v="7"/>
    <x v="4"/>
    <x v="0"/>
    <x v="3"/>
    <x v="278"/>
    <x v="279"/>
    <x v="0"/>
    <x v="0"/>
    <x v="1"/>
    <x v="4"/>
    <x v="279"/>
    <x v="2"/>
    <x v="2"/>
    <x v="1"/>
    <x v="279"/>
    <x v="274"/>
    <x v="271"/>
    <x v="240"/>
    <x v="235"/>
    <x v="7"/>
    <x v="4"/>
  </r>
  <r>
    <x v="241"/>
    <x v="0"/>
    <x v="0"/>
    <x v="1"/>
    <x v="15"/>
    <x v="279"/>
    <x v="280"/>
    <x v="0"/>
    <x v="0"/>
    <x v="1"/>
    <x v="2"/>
    <x v="280"/>
    <x v="0"/>
    <x v="2"/>
    <x v="0"/>
    <x v="280"/>
    <x v="275"/>
    <x v="272"/>
    <x v="241"/>
    <x v="236"/>
    <x v="2"/>
    <x v="0"/>
  </r>
  <r>
    <x v="242"/>
    <x v="11"/>
    <x v="2"/>
    <x v="6"/>
    <x v="12"/>
    <x v="280"/>
    <x v="281"/>
    <x v="1"/>
    <x v="1"/>
    <x v="2"/>
    <x v="5"/>
    <x v="281"/>
    <x v="3"/>
    <x v="1"/>
    <x v="0"/>
    <x v="281"/>
    <x v="222"/>
    <x v="273"/>
    <x v="242"/>
    <x v="237"/>
    <x v="8"/>
    <x v="2"/>
  </r>
  <r>
    <x v="243"/>
    <x v="7"/>
    <x v="4"/>
    <x v="5"/>
    <x v="4"/>
    <x v="281"/>
    <x v="282"/>
    <x v="2"/>
    <x v="0"/>
    <x v="2"/>
    <x v="1"/>
    <x v="282"/>
    <x v="3"/>
    <x v="1"/>
    <x v="1"/>
    <x v="282"/>
    <x v="276"/>
    <x v="274"/>
    <x v="243"/>
    <x v="87"/>
    <x v="3"/>
    <x v="4"/>
  </r>
  <r>
    <x v="244"/>
    <x v="9"/>
    <x v="3"/>
    <x v="5"/>
    <x v="13"/>
    <x v="282"/>
    <x v="283"/>
    <x v="1"/>
    <x v="1"/>
    <x v="0"/>
    <x v="1"/>
    <x v="283"/>
    <x v="1"/>
    <x v="3"/>
    <x v="0"/>
    <x v="283"/>
    <x v="277"/>
    <x v="275"/>
    <x v="244"/>
    <x v="238"/>
    <x v="0"/>
    <x v="3"/>
  </r>
  <r>
    <x v="245"/>
    <x v="8"/>
    <x v="2"/>
    <x v="3"/>
    <x v="7"/>
    <x v="283"/>
    <x v="284"/>
    <x v="3"/>
    <x v="0"/>
    <x v="1"/>
    <x v="5"/>
    <x v="284"/>
    <x v="1"/>
    <x v="3"/>
    <x v="0"/>
    <x v="284"/>
    <x v="278"/>
    <x v="276"/>
    <x v="245"/>
    <x v="116"/>
    <x v="4"/>
    <x v="2"/>
  </r>
  <r>
    <x v="186"/>
    <x v="10"/>
    <x v="0"/>
    <x v="1"/>
    <x v="8"/>
    <x v="284"/>
    <x v="285"/>
    <x v="1"/>
    <x v="0"/>
    <x v="1"/>
    <x v="1"/>
    <x v="285"/>
    <x v="2"/>
    <x v="2"/>
    <x v="0"/>
    <x v="285"/>
    <x v="279"/>
    <x v="277"/>
    <x v="186"/>
    <x v="239"/>
    <x v="3"/>
    <x v="0"/>
  </r>
  <r>
    <x v="187"/>
    <x v="4"/>
    <x v="4"/>
    <x v="0"/>
    <x v="16"/>
    <x v="285"/>
    <x v="286"/>
    <x v="1"/>
    <x v="0"/>
    <x v="0"/>
    <x v="4"/>
    <x v="286"/>
    <x v="3"/>
    <x v="3"/>
    <x v="1"/>
    <x v="286"/>
    <x v="280"/>
    <x v="278"/>
    <x v="187"/>
    <x v="240"/>
    <x v="3"/>
    <x v="4"/>
  </r>
  <r>
    <x v="240"/>
    <x v="7"/>
    <x v="4"/>
    <x v="6"/>
    <x v="18"/>
    <x v="286"/>
    <x v="287"/>
    <x v="1"/>
    <x v="0"/>
    <x v="2"/>
    <x v="5"/>
    <x v="287"/>
    <x v="3"/>
    <x v="0"/>
    <x v="1"/>
    <x v="287"/>
    <x v="281"/>
    <x v="279"/>
    <x v="240"/>
    <x v="235"/>
    <x v="7"/>
    <x v="4"/>
  </r>
  <r>
    <x v="246"/>
    <x v="11"/>
    <x v="1"/>
    <x v="1"/>
    <x v="16"/>
    <x v="287"/>
    <x v="288"/>
    <x v="1"/>
    <x v="1"/>
    <x v="0"/>
    <x v="0"/>
    <x v="288"/>
    <x v="1"/>
    <x v="0"/>
    <x v="0"/>
    <x v="288"/>
    <x v="282"/>
    <x v="280"/>
    <x v="246"/>
    <x v="241"/>
    <x v="2"/>
    <x v="1"/>
  </r>
  <r>
    <x v="247"/>
    <x v="11"/>
    <x v="4"/>
    <x v="0"/>
    <x v="8"/>
    <x v="288"/>
    <x v="289"/>
    <x v="3"/>
    <x v="0"/>
    <x v="2"/>
    <x v="3"/>
    <x v="289"/>
    <x v="0"/>
    <x v="2"/>
    <x v="0"/>
    <x v="289"/>
    <x v="283"/>
    <x v="281"/>
    <x v="247"/>
    <x v="242"/>
    <x v="6"/>
    <x v="4"/>
  </r>
  <r>
    <x v="248"/>
    <x v="7"/>
    <x v="1"/>
    <x v="0"/>
    <x v="6"/>
    <x v="289"/>
    <x v="290"/>
    <x v="1"/>
    <x v="0"/>
    <x v="0"/>
    <x v="5"/>
    <x v="290"/>
    <x v="2"/>
    <x v="3"/>
    <x v="1"/>
    <x v="290"/>
    <x v="284"/>
    <x v="282"/>
    <x v="248"/>
    <x v="243"/>
    <x v="5"/>
    <x v="1"/>
  </r>
  <r>
    <x v="249"/>
    <x v="3"/>
    <x v="2"/>
    <x v="1"/>
    <x v="5"/>
    <x v="290"/>
    <x v="291"/>
    <x v="2"/>
    <x v="1"/>
    <x v="1"/>
    <x v="2"/>
    <x v="291"/>
    <x v="1"/>
    <x v="0"/>
    <x v="0"/>
    <x v="291"/>
    <x v="285"/>
    <x v="283"/>
    <x v="249"/>
    <x v="244"/>
    <x v="6"/>
    <x v="2"/>
  </r>
  <r>
    <x v="6"/>
    <x v="4"/>
    <x v="0"/>
    <x v="5"/>
    <x v="13"/>
    <x v="291"/>
    <x v="292"/>
    <x v="3"/>
    <x v="1"/>
    <x v="0"/>
    <x v="0"/>
    <x v="292"/>
    <x v="2"/>
    <x v="1"/>
    <x v="1"/>
    <x v="292"/>
    <x v="286"/>
    <x v="284"/>
    <x v="6"/>
    <x v="245"/>
    <x v="1"/>
    <x v="0"/>
  </r>
  <r>
    <x v="250"/>
    <x v="8"/>
    <x v="2"/>
    <x v="2"/>
    <x v="9"/>
    <x v="292"/>
    <x v="293"/>
    <x v="3"/>
    <x v="1"/>
    <x v="3"/>
    <x v="4"/>
    <x v="293"/>
    <x v="4"/>
    <x v="3"/>
    <x v="0"/>
    <x v="293"/>
    <x v="287"/>
    <x v="285"/>
    <x v="250"/>
    <x v="246"/>
    <x v="2"/>
    <x v="2"/>
  </r>
  <r>
    <x v="251"/>
    <x v="6"/>
    <x v="3"/>
    <x v="4"/>
    <x v="17"/>
    <x v="293"/>
    <x v="294"/>
    <x v="3"/>
    <x v="1"/>
    <x v="2"/>
    <x v="1"/>
    <x v="294"/>
    <x v="0"/>
    <x v="1"/>
    <x v="0"/>
    <x v="294"/>
    <x v="288"/>
    <x v="286"/>
    <x v="251"/>
    <x v="247"/>
    <x v="3"/>
    <x v="3"/>
  </r>
  <r>
    <x v="252"/>
    <x v="0"/>
    <x v="1"/>
    <x v="3"/>
    <x v="16"/>
    <x v="294"/>
    <x v="295"/>
    <x v="1"/>
    <x v="0"/>
    <x v="2"/>
    <x v="2"/>
    <x v="295"/>
    <x v="4"/>
    <x v="3"/>
    <x v="0"/>
    <x v="295"/>
    <x v="289"/>
    <x v="287"/>
    <x v="252"/>
    <x v="248"/>
    <x v="4"/>
    <x v="1"/>
  </r>
  <r>
    <x v="253"/>
    <x v="6"/>
    <x v="4"/>
    <x v="4"/>
    <x v="12"/>
    <x v="295"/>
    <x v="296"/>
    <x v="2"/>
    <x v="1"/>
    <x v="1"/>
    <x v="4"/>
    <x v="296"/>
    <x v="4"/>
    <x v="1"/>
    <x v="0"/>
    <x v="296"/>
    <x v="290"/>
    <x v="288"/>
    <x v="253"/>
    <x v="249"/>
    <x v="0"/>
    <x v="4"/>
  </r>
  <r>
    <x v="254"/>
    <x v="9"/>
    <x v="0"/>
    <x v="6"/>
    <x v="5"/>
    <x v="296"/>
    <x v="297"/>
    <x v="3"/>
    <x v="1"/>
    <x v="3"/>
    <x v="5"/>
    <x v="297"/>
    <x v="0"/>
    <x v="1"/>
    <x v="0"/>
    <x v="297"/>
    <x v="291"/>
    <x v="289"/>
    <x v="254"/>
    <x v="191"/>
    <x v="7"/>
    <x v="0"/>
  </r>
  <r>
    <x v="18"/>
    <x v="9"/>
    <x v="3"/>
    <x v="6"/>
    <x v="7"/>
    <x v="297"/>
    <x v="298"/>
    <x v="0"/>
    <x v="1"/>
    <x v="3"/>
    <x v="3"/>
    <x v="298"/>
    <x v="0"/>
    <x v="3"/>
    <x v="1"/>
    <x v="298"/>
    <x v="292"/>
    <x v="290"/>
    <x v="18"/>
    <x v="18"/>
    <x v="5"/>
    <x v="3"/>
  </r>
  <r>
    <x v="255"/>
    <x v="10"/>
    <x v="1"/>
    <x v="5"/>
    <x v="11"/>
    <x v="298"/>
    <x v="299"/>
    <x v="0"/>
    <x v="0"/>
    <x v="0"/>
    <x v="1"/>
    <x v="299"/>
    <x v="3"/>
    <x v="0"/>
    <x v="1"/>
    <x v="299"/>
    <x v="293"/>
    <x v="291"/>
    <x v="255"/>
    <x v="156"/>
    <x v="8"/>
    <x v="1"/>
  </r>
  <r>
    <x v="256"/>
    <x v="6"/>
    <x v="4"/>
    <x v="5"/>
    <x v="18"/>
    <x v="299"/>
    <x v="300"/>
    <x v="2"/>
    <x v="1"/>
    <x v="3"/>
    <x v="0"/>
    <x v="300"/>
    <x v="0"/>
    <x v="1"/>
    <x v="0"/>
    <x v="300"/>
    <x v="294"/>
    <x v="292"/>
    <x v="256"/>
    <x v="250"/>
    <x v="8"/>
    <x v="4"/>
  </r>
  <r>
    <x v="71"/>
    <x v="5"/>
    <x v="4"/>
    <x v="4"/>
    <x v="3"/>
    <x v="300"/>
    <x v="301"/>
    <x v="0"/>
    <x v="1"/>
    <x v="0"/>
    <x v="0"/>
    <x v="301"/>
    <x v="0"/>
    <x v="3"/>
    <x v="0"/>
    <x v="301"/>
    <x v="295"/>
    <x v="293"/>
    <x v="71"/>
    <x v="251"/>
    <x v="8"/>
    <x v="4"/>
  </r>
  <r>
    <x v="257"/>
    <x v="9"/>
    <x v="4"/>
    <x v="1"/>
    <x v="13"/>
    <x v="301"/>
    <x v="302"/>
    <x v="3"/>
    <x v="1"/>
    <x v="1"/>
    <x v="3"/>
    <x v="302"/>
    <x v="0"/>
    <x v="0"/>
    <x v="0"/>
    <x v="302"/>
    <x v="296"/>
    <x v="294"/>
    <x v="257"/>
    <x v="252"/>
    <x v="5"/>
    <x v="4"/>
  </r>
  <r>
    <x v="258"/>
    <x v="4"/>
    <x v="2"/>
    <x v="3"/>
    <x v="18"/>
    <x v="302"/>
    <x v="303"/>
    <x v="2"/>
    <x v="1"/>
    <x v="2"/>
    <x v="2"/>
    <x v="303"/>
    <x v="1"/>
    <x v="1"/>
    <x v="0"/>
    <x v="303"/>
    <x v="297"/>
    <x v="295"/>
    <x v="258"/>
    <x v="44"/>
    <x v="7"/>
    <x v="2"/>
  </r>
  <r>
    <x v="109"/>
    <x v="4"/>
    <x v="4"/>
    <x v="0"/>
    <x v="14"/>
    <x v="303"/>
    <x v="304"/>
    <x v="1"/>
    <x v="0"/>
    <x v="3"/>
    <x v="1"/>
    <x v="304"/>
    <x v="1"/>
    <x v="1"/>
    <x v="0"/>
    <x v="304"/>
    <x v="298"/>
    <x v="296"/>
    <x v="109"/>
    <x v="253"/>
    <x v="1"/>
    <x v="4"/>
  </r>
  <r>
    <x v="259"/>
    <x v="6"/>
    <x v="1"/>
    <x v="0"/>
    <x v="12"/>
    <x v="304"/>
    <x v="305"/>
    <x v="0"/>
    <x v="1"/>
    <x v="2"/>
    <x v="3"/>
    <x v="305"/>
    <x v="1"/>
    <x v="1"/>
    <x v="1"/>
    <x v="305"/>
    <x v="299"/>
    <x v="275"/>
    <x v="259"/>
    <x v="254"/>
    <x v="0"/>
    <x v="1"/>
  </r>
  <r>
    <x v="260"/>
    <x v="9"/>
    <x v="3"/>
    <x v="3"/>
    <x v="18"/>
    <x v="305"/>
    <x v="306"/>
    <x v="1"/>
    <x v="0"/>
    <x v="0"/>
    <x v="1"/>
    <x v="306"/>
    <x v="3"/>
    <x v="2"/>
    <x v="1"/>
    <x v="306"/>
    <x v="300"/>
    <x v="297"/>
    <x v="260"/>
    <x v="255"/>
    <x v="6"/>
    <x v="3"/>
  </r>
  <r>
    <x v="261"/>
    <x v="3"/>
    <x v="3"/>
    <x v="3"/>
    <x v="10"/>
    <x v="306"/>
    <x v="307"/>
    <x v="3"/>
    <x v="0"/>
    <x v="0"/>
    <x v="2"/>
    <x v="307"/>
    <x v="4"/>
    <x v="3"/>
    <x v="0"/>
    <x v="307"/>
    <x v="301"/>
    <x v="298"/>
    <x v="261"/>
    <x v="256"/>
    <x v="1"/>
    <x v="3"/>
  </r>
  <r>
    <x v="6"/>
    <x v="4"/>
    <x v="1"/>
    <x v="5"/>
    <x v="17"/>
    <x v="307"/>
    <x v="308"/>
    <x v="3"/>
    <x v="1"/>
    <x v="1"/>
    <x v="2"/>
    <x v="308"/>
    <x v="1"/>
    <x v="0"/>
    <x v="1"/>
    <x v="308"/>
    <x v="302"/>
    <x v="299"/>
    <x v="6"/>
    <x v="257"/>
    <x v="5"/>
    <x v="1"/>
  </r>
  <r>
    <x v="20"/>
    <x v="3"/>
    <x v="2"/>
    <x v="2"/>
    <x v="14"/>
    <x v="308"/>
    <x v="309"/>
    <x v="2"/>
    <x v="0"/>
    <x v="0"/>
    <x v="0"/>
    <x v="309"/>
    <x v="4"/>
    <x v="0"/>
    <x v="0"/>
    <x v="309"/>
    <x v="303"/>
    <x v="300"/>
    <x v="20"/>
    <x v="98"/>
    <x v="1"/>
    <x v="2"/>
  </r>
  <r>
    <x v="58"/>
    <x v="6"/>
    <x v="2"/>
    <x v="4"/>
    <x v="18"/>
    <x v="309"/>
    <x v="310"/>
    <x v="3"/>
    <x v="1"/>
    <x v="1"/>
    <x v="0"/>
    <x v="310"/>
    <x v="1"/>
    <x v="1"/>
    <x v="0"/>
    <x v="310"/>
    <x v="304"/>
    <x v="301"/>
    <x v="58"/>
    <x v="258"/>
    <x v="2"/>
    <x v="2"/>
  </r>
  <r>
    <x v="262"/>
    <x v="10"/>
    <x v="1"/>
    <x v="2"/>
    <x v="16"/>
    <x v="310"/>
    <x v="311"/>
    <x v="2"/>
    <x v="0"/>
    <x v="3"/>
    <x v="1"/>
    <x v="311"/>
    <x v="1"/>
    <x v="2"/>
    <x v="0"/>
    <x v="311"/>
    <x v="305"/>
    <x v="302"/>
    <x v="262"/>
    <x v="259"/>
    <x v="5"/>
    <x v="1"/>
  </r>
  <r>
    <x v="263"/>
    <x v="5"/>
    <x v="1"/>
    <x v="1"/>
    <x v="9"/>
    <x v="311"/>
    <x v="312"/>
    <x v="1"/>
    <x v="1"/>
    <x v="3"/>
    <x v="0"/>
    <x v="312"/>
    <x v="3"/>
    <x v="0"/>
    <x v="0"/>
    <x v="312"/>
    <x v="306"/>
    <x v="30"/>
    <x v="263"/>
    <x v="260"/>
    <x v="3"/>
    <x v="1"/>
  </r>
  <r>
    <x v="264"/>
    <x v="7"/>
    <x v="2"/>
    <x v="0"/>
    <x v="9"/>
    <x v="312"/>
    <x v="313"/>
    <x v="2"/>
    <x v="0"/>
    <x v="0"/>
    <x v="1"/>
    <x v="313"/>
    <x v="3"/>
    <x v="0"/>
    <x v="0"/>
    <x v="313"/>
    <x v="307"/>
    <x v="303"/>
    <x v="264"/>
    <x v="261"/>
    <x v="2"/>
    <x v="2"/>
  </r>
  <r>
    <x v="265"/>
    <x v="9"/>
    <x v="1"/>
    <x v="6"/>
    <x v="6"/>
    <x v="313"/>
    <x v="314"/>
    <x v="1"/>
    <x v="1"/>
    <x v="2"/>
    <x v="2"/>
    <x v="314"/>
    <x v="2"/>
    <x v="2"/>
    <x v="0"/>
    <x v="314"/>
    <x v="308"/>
    <x v="304"/>
    <x v="265"/>
    <x v="201"/>
    <x v="3"/>
    <x v="1"/>
  </r>
  <r>
    <x v="266"/>
    <x v="7"/>
    <x v="4"/>
    <x v="2"/>
    <x v="3"/>
    <x v="314"/>
    <x v="315"/>
    <x v="3"/>
    <x v="0"/>
    <x v="2"/>
    <x v="4"/>
    <x v="315"/>
    <x v="2"/>
    <x v="1"/>
    <x v="0"/>
    <x v="315"/>
    <x v="309"/>
    <x v="305"/>
    <x v="266"/>
    <x v="262"/>
    <x v="3"/>
    <x v="4"/>
  </r>
  <r>
    <x v="267"/>
    <x v="1"/>
    <x v="4"/>
    <x v="6"/>
    <x v="4"/>
    <x v="315"/>
    <x v="316"/>
    <x v="0"/>
    <x v="1"/>
    <x v="1"/>
    <x v="1"/>
    <x v="316"/>
    <x v="4"/>
    <x v="1"/>
    <x v="0"/>
    <x v="316"/>
    <x v="310"/>
    <x v="306"/>
    <x v="267"/>
    <x v="263"/>
    <x v="2"/>
    <x v="4"/>
  </r>
  <r>
    <x v="268"/>
    <x v="5"/>
    <x v="1"/>
    <x v="1"/>
    <x v="14"/>
    <x v="316"/>
    <x v="317"/>
    <x v="1"/>
    <x v="1"/>
    <x v="0"/>
    <x v="5"/>
    <x v="317"/>
    <x v="4"/>
    <x v="3"/>
    <x v="0"/>
    <x v="317"/>
    <x v="311"/>
    <x v="307"/>
    <x v="268"/>
    <x v="264"/>
    <x v="7"/>
    <x v="1"/>
  </r>
  <r>
    <x v="269"/>
    <x v="0"/>
    <x v="2"/>
    <x v="5"/>
    <x v="2"/>
    <x v="317"/>
    <x v="318"/>
    <x v="0"/>
    <x v="1"/>
    <x v="0"/>
    <x v="2"/>
    <x v="318"/>
    <x v="0"/>
    <x v="2"/>
    <x v="0"/>
    <x v="318"/>
    <x v="312"/>
    <x v="308"/>
    <x v="269"/>
    <x v="265"/>
    <x v="4"/>
    <x v="2"/>
  </r>
  <r>
    <x v="270"/>
    <x v="10"/>
    <x v="3"/>
    <x v="4"/>
    <x v="17"/>
    <x v="318"/>
    <x v="319"/>
    <x v="2"/>
    <x v="0"/>
    <x v="2"/>
    <x v="0"/>
    <x v="319"/>
    <x v="1"/>
    <x v="1"/>
    <x v="1"/>
    <x v="319"/>
    <x v="313"/>
    <x v="309"/>
    <x v="270"/>
    <x v="266"/>
    <x v="3"/>
    <x v="3"/>
  </r>
  <r>
    <x v="75"/>
    <x v="5"/>
    <x v="3"/>
    <x v="5"/>
    <x v="13"/>
    <x v="319"/>
    <x v="320"/>
    <x v="1"/>
    <x v="1"/>
    <x v="3"/>
    <x v="0"/>
    <x v="320"/>
    <x v="2"/>
    <x v="2"/>
    <x v="0"/>
    <x v="320"/>
    <x v="314"/>
    <x v="310"/>
    <x v="75"/>
    <x v="267"/>
    <x v="1"/>
    <x v="3"/>
  </r>
  <r>
    <x v="30"/>
    <x v="0"/>
    <x v="4"/>
    <x v="4"/>
    <x v="4"/>
    <x v="320"/>
    <x v="321"/>
    <x v="2"/>
    <x v="0"/>
    <x v="3"/>
    <x v="3"/>
    <x v="321"/>
    <x v="1"/>
    <x v="0"/>
    <x v="0"/>
    <x v="321"/>
    <x v="315"/>
    <x v="311"/>
    <x v="30"/>
    <x v="104"/>
    <x v="6"/>
    <x v="4"/>
  </r>
  <r>
    <x v="189"/>
    <x v="3"/>
    <x v="1"/>
    <x v="5"/>
    <x v="7"/>
    <x v="321"/>
    <x v="322"/>
    <x v="2"/>
    <x v="1"/>
    <x v="0"/>
    <x v="1"/>
    <x v="322"/>
    <x v="1"/>
    <x v="0"/>
    <x v="0"/>
    <x v="322"/>
    <x v="316"/>
    <x v="312"/>
    <x v="189"/>
    <x v="268"/>
    <x v="0"/>
    <x v="1"/>
  </r>
  <r>
    <x v="271"/>
    <x v="7"/>
    <x v="1"/>
    <x v="6"/>
    <x v="9"/>
    <x v="322"/>
    <x v="323"/>
    <x v="1"/>
    <x v="1"/>
    <x v="2"/>
    <x v="3"/>
    <x v="323"/>
    <x v="3"/>
    <x v="0"/>
    <x v="1"/>
    <x v="323"/>
    <x v="317"/>
    <x v="21"/>
    <x v="271"/>
    <x v="269"/>
    <x v="0"/>
    <x v="1"/>
  </r>
  <r>
    <x v="272"/>
    <x v="5"/>
    <x v="3"/>
    <x v="0"/>
    <x v="18"/>
    <x v="323"/>
    <x v="324"/>
    <x v="2"/>
    <x v="1"/>
    <x v="3"/>
    <x v="4"/>
    <x v="324"/>
    <x v="0"/>
    <x v="3"/>
    <x v="0"/>
    <x v="324"/>
    <x v="318"/>
    <x v="313"/>
    <x v="272"/>
    <x v="270"/>
    <x v="0"/>
    <x v="3"/>
  </r>
  <r>
    <x v="267"/>
    <x v="1"/>
    <x v="1"/>
    <x v="0"/>
    <x v="17"/>
    <x v="324"/>
    <x v="325"/>
    <x v="0"/>
    <x v="0"/>
    <x v="3"/>
    <x v="5"/>
    <x v="325"/>
    <x v="1"/>
    <x v="0"/>
    <x v="0"/>
    <x v="325"/>
    <x v="319"/>
    <x v="314"/>
    <x v="267"/>
    <x v="271"/>
    <x v="0"/>
    <x v="1"/>
  </r>
  <r>
    <x v="262"/>
    <x v="10"/>
    <x v="2"/>
    <x v="0"/>
    <x v="6"/>
    <x v="325"/>
    <x v="326"/>
    <x v="1"/>
    <x v="0"/>
    <x v="2"/>
    <x v="4"/>
    <x v="326"/>
    <x v="4"/>
    <x v="0"/>
    <x v="0"/>
    <x v="326"/>
    <x v="320"/>
    <x v="315"/>
    <x v="262"/>
    <x v="272"/>
    <x v="7"/>
    <x v="2"/>
  </r>
  <r>
    <x v="273"/>
    <x v="11"/>
    <x v="1"/>
    <x v="0"/>
    <x v="15"/>
    <x v="326"/>
    <x v="327"/>
    <x v="3"/>
    <x v="1"/>
    <x v="2"/>
    <x v="2"/>
    <x v="327"/>
    <x v="1"/>
    <x v="3"/>
    <x v="0"/>
    <x v="327"/>
    <x v="321"/>
    <x v="316"/>
    <x v="273"/>
    <x v="119"/>
    <x v="6"/>
    <x v="1"/>
  </r>
  <r>
    <x v="274"/>
    <x v="0"/>
    <x v="3"/>
    <x v="0"/>
    <x v="17"/>
    <x v="327"/>
    <x v="328"/>
    <x v="3"/>
    <x v="1"/>
    <x v="2"/>
    <x v="4"/>
    <x v="328"/>
    <x v="0"/>
    <x v="1"/>
    <x v="0"/>
    <x v="328"/>
    <x v="322"/>
    <x v="317"/>
    <x v="274"/>
    <x v="16"/>
    <x v="8"/>
    <x v="3"/>
  </r>
  <r>
    <x v="275"/>
    <x v="4"/>
    <x v="1"/>
    <x v="5"/>
    <x v="17"/>
    <x v="328"/>
    <x v="329"/>
    <x v="3"/>
    <x v="0"/>
    <x v="1"/>
    <x v="5"/>
    <x v="329"/>
    <x v="0"/>
    <x v="1"/>
    <x v="0"/>
    <x v="329"/>
    <x v="323"/>
    <x v="318"/>
    <x v="275"/>
    <x v="110"/>
    <x v="2"/>
    <x v="1"/>
  </r>
  <r>
    <x v="276"/>
    <x v="2"/>
    <x v="1"/>
    <x v="4"/>
    <x v="17"/>
    <x v="329"/>
    <x v="330"/>
    <x v="2"/>
    <x v="0"/>
    <x v="0"/>
    <x v="0"/>
    <x v="330"/>
    <x v="3"/>
    <x v="2"/>
    <x v="0"/>
    <x v="330"/>
    <x v="324"/>
    <x v="319"/>
    <x v="276"/>
    <x v="273"/>
    <x v="0"/>
    <x v="1"/>
  </r>
  <r>
    <x v="277"/>
    <x v="11"/>
    <x v="0"/>
    <x v="4"/>
    <x v="3"/>
    <x v="58"/>
    <x v="331"/>
    <x v="3"/>
    <x v="1"/>
    <x v="3"/>
    <x v="4"/>
    <x v="331"/>
    <x v="2"/>
    <x v="0"/>
    <x v="0"/>
    <x v="331"/>
    <x v="325"/>
    <x v="320"/>
    <x v="277"/>
    <x v="274"/>
    <x v="4"/>
    <x v="0"/>
  </r>
  <r>
    <x v="147"/>
    <x v="2"/>
    <x v="0"/>
    <x v="6"/>
    <x v="14"/>
    <x v="330"/>
    <x v="332"/>
    <x v="0"/>
    <x v="1"/>
    <x v="1"/>
    <x v="5"/>
    <x v="332"/>
    <x v="1"/>
    <x v="3"/>
    <x v="1"/>
    <x v="332"/>
    <x v="326"/>
    <x v="321"/>
    <x v="147"/>
    <x v="275"/>
    <x v="0"/>
    <x v="0"/>
  </r>
  <r>
    <x v="217"/>
    <x v="11"/>
    <x v="1"/>
    <x v="5"/>
    <x v="4"/>
    <x v="331"/>
    <x v="333"/>
    <x v="2"/>
    <x v="1"/>
    <x v="0"/>
    <x v="1"/>
    <x v="333"/>
    <x v="0"/>
    <x v="1"/>
    <x v="0"/>
    <x v="333"/>
    <x v="327"/>
    <x v="322"/>
    <x v="217"/>
    <x v="214"/>
    <x v="8"/>
    <x v="1"/>
  </r>
  <r>
    <x v="278"/>
    <x v="0"/>
    <x v="1"/>
    <x v="1"/>
    <x v="6"/>
    <x v="332"/>
    <x v="334"/>
    <x v="0"/>
    <x v="0"/>
    <x v="3"/>
    <x v="5"/>
    <x v="334"/>
    <x v="0"/>
    <x v="3"/>
    <x v="0"/>
    <x v="334"/>
    <x v="328"/>
    <x v="323"/>
    <x v="278"/>
    <x v="171"/>
    <x v="8"/>
    <x v="1"/>
  </r>
  <r>
    <x v="249"/>
    <x v="3"/>
    <x v="3"/>
    <x v="3"/>
    <x v="6"/>
    <x v="333"/>
    <x v="335"/>
    <x v="2"/>
    <x v="0"/>
    <x v="1"/>
    <x v="5"/>
    <x v="335"/>
    <x v="1"/>
    <x v="3"/>
    <x v="1"/>
    <x v="335"/>
    <x v="329"/>
    <x v="324"/>
    <x v="249"/>
    <x v="244"/>
    <x v="6"/>
    <x v="3"/>
  </r>
  <r>
    <x v="124"/>
    <x v="6"/>
    <x v="4"/>
    <x v="0"/>
    <x v="8"/>
    <x v="334"/>
    <x v="336"/>
    <x v="3"/>
    <x v="1"/>
    <x v="3"/>
    <x v="1"/>
    <x v="336"/>
    <x v="0"/>
    <x v="0"/>
    <x v="0"/>
    <x v="336"/>
    <x v="330"/>
    <x v="325"/>
    <x v="124"/>
    <x v="102"/>
    <x v="2"/>
    <x v="4"/>
  </r>
  <r>
    <x v="279"/>
    <x v="0"/>
    <x v="4"/>
    <x v="4"/>
    <x v="10"/>
    <x v="335"/>
    <x v="337"/>
    <x v="0"/>
    <x v="0"/>
    <x v="1"/>
    <x v="2"/>
    <x v="337"/>
    <x v="2"/>
    <x v="3"/>
    <x v="1"/>
    <x v="337"/>
    <x v="331"/>
    <x v="326"/>
    <x v="279"/>
    <x v="276"/>
    <x v="2"/>
    <x v="4"/>
  </r>
  <r>
    <x v="280"/>
    <x v="3"/>
    <x v="0"/>
    <x v="2"/>
    <x v="5"/>
    <x v="336"/>
    <x v="338"/>
    <x v="0"/>
    <x v="1"/>
    <x v="1"/>
    <x v="2"/>
    <x v="338"/>
    <x v="0"/>
    <x v="0"/>
    <x v="1"/>
    <x v="338"/>
    <x v="332"/>
    <x v="327"/>
    <x v="280"/>
    <x v="277"/>
    <x v="2"/>
    <x v="0"/>
  </r>
  <r>
    <x v="96"/>
    <x v="2"/>
    <x v="2"/>
    <x v="0"/>
    <x v="18"/>
    <x v="337"/>
    <x v="339"/>
    <x v="2"/>
    <x v="0"/>
    <x v="0"/>
    <x v="4"/>
    <x v="339"/>
    <x v="2"/>
    <x v="2"/>
    <x v="1"/>
    <x v="339"/>
    <x v="333"/>
    <x v="328"/>
    <x v="96"/>
    <x v="17"/>
    <x v="7"/>
    <x v="2"/>
  </r>
  <r>
    <x v="281"/>
    <x v="3"/>
    <x v="0"/>
    <x v="6"/>
    <x v="18"/>
    <x v="338"/>
    <x v="340"/>
    <x v="1"/>
    <x v="0"/>
    <x v="0"/>
    <x v="3"/>
    <x v="340"/>
    <x v="1"/>
    <x v="0"/>
    <x v="0"/>
    <x v="340"/>
    <x v="261"/>
    <x v="329"/>
    <x v="281"/>
    <x v="278"/>
    <x v="8"/>
    <x v="0"/>
  </r>
  <r>
    <x v="282"/>
    <x v="4"/>
    <x v="3"/>
    <x v="6"/>
    <x v="18"/>
    <x v="339"/>
    <x v="341"/>
    <x v="1"/>
    <x v="1"/>
    <x v="1"/>
    <x v="2"/>
    <x v="341"/>
    <x v="4"/>
    <x v="3"/>
    <x v="0"/>
    <x v="341"/>
    <x v="334"/>
    <x v="330"/>
    <x v="282"/>
    <x v="279"/>
    <x v="1"/>
    <x v="3"/>
  </r>
  <r>
    <x v="29"/>
    <x v="1"/>
    <x v="1"/>
    <x v="3"/>
    <x v="19"/>
    <x v="340"/>
    <x v="342"/>
    <x v="0"/>
    <x v="1"/>
    <x v="3"/>
    <x v="1"/>
    <x v="342"/>
    <x v="4"/>
    <x v="0"/>
    <x v="0"/>
    <x v="342"/>
    <x v="335"/>
    <x v="331"/>
    <x v="29"/>
    <x v="280"/>
    <x v="4"/>
    <x v="1"/>
  </r>
  <r>
    <x v="283"/>
    <x v="9"/>
    <x v="4"/>
    <x v="3"/>
    <x v="12"/>
    <x v="341"/>
    <x v="343"/>
    <x v="1"/>
    <x v="1"/>
    <x v="2"/>
    <x v="1"/>
    <x v="343"/>
    <x v="3"/>
    <x v="0"/>
    <x v="0"/>
    <x v="343"/>
    <x v="336"/>
    <x v="332"/>
    <x v="283"/>
    <x v="281"/>
    <x v="8"/>
    <x v="4"/>
  </r>
  <r>
    <x v="284"/>
    <x v="1"/>
    <x v="2"/>
    <x v="3"/>
    <x v="19"/>
    <x v="342"/>
    <x v="344"/>
    <x v="1"/>
    <x v="0"/>
    <x v="1"/>
    <x v="2"/>
    <x v="344"/>
    <x v="3"/>
    <x v="2"/>
    <x v="1"/>
    <x v="344"/>
    <x v="337"/>
    <x v="333"/>
    <x v="284"/>
    <x v="282"/>
    <x v="5"/>
    <x v="2"/>
  </r>
  <r>
    <x v="285"/>
    <x v="10"/>
    <x v="3"/>
    <x v="4"/>
    <x v="13"/>
    <x v="343"/>
    <x v="345"/>
    <x v="2"/>
    <x v="1"/>
    <x v="3"/>
    <x v="4"/>
    <x v="345"/>
    <x v="1"/>
    <x v="1"/>
    <x v="0"/>
    <x v="345"/>
    <x v="338"/>
    <x v="334"/>
    <x v="285"/>
    <x v="183"/>
    <x v="3"/>
    <x v="3"/>
  </r>
  <r>
    <x v="286"/>
    <x v="10"/>
    <x v="3"/>
    <x v="3"/>
    <x v="4"/>
    <x v="344"/>
    <x v="346"/>
    <x v="3"/>
    <x v="1"/>
    <x v="1"/>
    <x v="5"/>
    <x v="346"/>
    <x v="0"/>
    <x v="0"/>
    <x v="1"/>
    <x v="346"/>
    <x v="339"/>
    <x v="335"/>
    <x v="286"/>
    <x v="272"/>
    <x v="6"/>
    <x v="3"/>
  </r>
  <r>
    <x v="287"/>
    <x v="6"/>
    <x v="0"/>
    <x v="6"/>
    <x v="5"/>
    <x v="345"/>
    <x v="347"/>
    <x v="3"/>
    <x v="0"/>
    <x v="2"/>
    <x v="2"/>
    <x v="347"/>
    <x v="0"/>
    <x v="1"/>
    <x v="0"/>
    <x v="347"/>
    <x v="340"/>
    <x v="336"/>
    <x v="287"/>
    <x v="283"/>
    <x v="4"/>
    <x v="0"/>
  </r>
  <r>
    <x v="167"/>
    <x v="1"/>
    <x v="2"/>
    <x v="1"/>
    <x v="7"/>
    <x v="346"/>
    <x v="348"/>
    <x v="2"/>
    <x v="0"/>
    <x v="0"/>
    <x v="1"/>
    <x v="348"/>
    <x v="0"/>
    <x v="2"/>
    <x v="0"/>
    <x v="348"/>
    <x v="341"/>
    <x v="112"/>
    <x v="167"/>
    <x v="168"/>
    <x v="1"/>
    <x v="2"/>
  </r>
  <r>
    <x v="288"/>
    <x v="11"/>
    <x v="3"/>
    <x v="1"/>
    <x v="0"/>
    <x v="347"/>
    <x v="349"/>
    <x v="1"/>
    <x v="1"/>
    <x v="0"/>
    <x v="5"/>
    <x v="349"/>
    <x v="1"/>
    <x v="3"/>
    <x v="1"/>
    <x v="349"/>
    <x v="342"/>
    <x v="337"/>
    <x v="288"/>
    <x v="284"/>
    <x v="6"/>
    <x v="3"/>
  </r>
  <r>
    <x v="289"/>
    <x v="1"/>
    <x v="2"/>
    <x v="4"/>
    <x v="4"/>
    <x v="348"/>
    <x v="350"/>
    <x v="2"/>
    <x v="0"/>
    <x v="0"/>
    <x v="3"/>
    <x v="350"/>
    <x v="2"/>
    <x v="2"/>
    <x v="0"/>
    <x v="350"/>
    <x v="343"/>
    <x v="338"/>
    <x v="289"/>
    <x v="263"/>
    <x v="1"/>
    <x v="2"/>
  </r>
  <r>
    <x v="290"/>
    <x v="7"/>
    <x v="0"/>
    <x v="4"/>
    <x v="8"/>
    <x v="349"/>
    <x v="351"/>
    <x v="0"/>
    <x v="1"/>
    <x v="0"/>
    <x v="5"/>
    <x v="351"/>
    <x v="2"/>
    <x v="2"/>
    <x v="0"/>
    <x v="351"/>
    <x v="344"/>
    <x v="339"/>
    <x v="290"/>
    <x v="285"/>
    <x v="3"/>
    <x v="0"/>
  </r>
  <r>
    <x v="291"/>
    <x v="2"/>
    <x v="2"/>
    <x v="0"/>
    <x v="19"/>
    <x v="350"/>
    <x v="352"/>
    <x v="1"/>
    <x v="0"/>
    <x v="2"/>
    <x v="4"/>
    <x v="352"/>
    <x v="1"/>
    <x v="3"/>
    <x v="0"/>
    <x v="352"/>
    <x v="345"/>
    <x v="340"/>
    <x v="291"/>
    <x v="286"/>
    <x v="2"/>
    <x v="2"/>
  </r>
  <r>
    <x v="292"/>
    <x v="11"/>
    <x v="1"/>
    <x v="4"/>
    <x v="2"/>
    <x v="351"/>
    <x v="353"/>
    <x v="2"/>
    <x v="0"/>
    <x v="3"/>
    <x v="4"/>
    <x v="353"/>
    <x v="2"/>
    <x v="1"/>
    <x v="0"/>
    <x v="353"/>
    <x v="346"/>
    <x v="341"/>
    <x v="292"/>
    <x v="287"/>
    <x v="0"/>
    <x v="1"/>
  </r>
  <r>
    <x v="75"/>
    <x v="5"/>
    <x v="4"/>
    <x v="2"/>
    <x v="9"/>
    <x v="352"/>
    <x v="354"/>
    <x v="3"/>
    <x v="1"/>
    <x v="1"/>
    <x v="1"/>
    <x v="354"/>
    <x v="2"/>
    <x v="2"/>
    <x v="0"/>
    <x v="354"/>
    <x v="347"/>
    <x v="342"/>
    <x v="75"/>
    <x v="288"/>
    <x v="2"/>
    <x v="4"/>
  </r>
  <r>
    <x v="293"/>
    <x v="2"/>
    <x v="2"/>
    <x v="2"/>
    <x v="3"/>
    <x v="353"/>
    <x v="355"/>
    <x v="3"/>
    <x v="1"/>
    <x v="1"/>
    <x v="1"/>
    <x v="355"/>
    <x v="4"/>
    <x v="3"/>
    <x v="1"/>
    <x v="355"/>
    <x v="348"/>
    <x v="343"/>
    <x v="293"/>
    <x v="289"/>
    <x v="2"/>
    <x v="2"/>
  </r>
  <r>
    <x v="213"/>
    <x v="6"/>
    <x v="2"/>
    <x v="6"/>
    <x v="18"/>
    <x v="354"/>
    <x v="356"/>
    <x v="0"/>
    <x v="0"/>
    <x v="2"/>
    <x v="3"/>
    <x v="356"/>
    <x v="4"/>
    <x v="0"/>
    <x v="1"/>
    <x v="356"/>
    <x v="46"/>
    <x v="344"/>
    <x v="213"/>
    <x v="290"/>
    <x v="6"/>
    <x v="2"/>
  </r>
  <r>
    <x v="294"/>
    <x v="10"/>
    <x v="4"/>
    <x v="3"/>
    <x v="14"/>
    <x v="355"/>
    <x v="357"/>
    <x v="0"/>
    <x v="1"/>
    <x v="0"/>
    <x v="0"/>
    <x v="357"/>
    <x v="2"/>
    <x v="0"/>
    <x v="0"/>
    <x v="357"/>
    <x v="349"/>
    <x v="345"/>
    <x v="294"/>
    <x v="291"/>
    <x v="4"/>
    <x v="4"/>
  </r>
  <r>
    <x v="295"/>
    <x v="8"/>
    <x v="2"/>
    <x v="4"/>
    <x v="8"/>
    <x v="356"/>
    <x v="358"/>
    <x v="2"/>
    <x v="1"/>
    <x v="1"/>
    <x v="2"/>
    <x v="358"/>
    <x v="4"/>
    <x v="2"/>
    <x v="1"/>
    <x v="358"/>
    <x v="350"/>
    <x v="346"/>
    <x v="295"/>
    <x v="161"/>
    <x v="0"/>
    <x v="2"/>
  </r>
  <r>
    <x v="296"/>
    <x v="0"/>
    <x v="2"/>
    <x v="5"/>
    <x v="14"/>
    <x v="357"/>
    <x v="359"/>
    <x v="2"/>
    <x v="1"/>
    <x v="1"/>
    <x v="3"/>
    <x v="359"/>
    <x v="2"/>
    <x v="1"/>
    <x v="1"/>
    <x v="359"/>
    <x v="351"/>
    <x v="347"/>
    <x v="296"/>
    <x v="292"/>
    <x v="1"/>
    <x v="2"/>
  </r>
  <r>
    <x v="297"/>
    <x v="7"/>
    <x v="3"/>
    <x v="0"/>
    <x v="0"/>
    <x v="358"/>
    <x v="360"/>
    <x v="0"/>
    <x v="0"/>
    <x v="1"/>
    <x v="0"/>
    <x v="360"/>
    <x v="2"/>
    <x v="1"/>
    <x v="0"/>
    <x v="360"/>
    <x v="352"/>
    <x v="348"/>
    <x v="297"/>
    <x v="293"/>
    <x v="2"/>
    <x v="3"/>
  </r>
  <r>
    <x v="298"/>
    <x v="3"/>
    <x v="3"/>
    <x v="2"/>
    <x v="6"/>
    <x v="359"/>
    <x v="361"/>
    <x v="2"/>
    <x v="1"/>
    <x v="3"/>
    <x v="1"/>
    <x v="361"/>
    <x v="2"/>
    <x v="0"/>
    <x v="0"/>
    <x v="361"/>
    <x v="353"/>
    <x v="349"/>
    <x v="298"/>
    <x v="194"/>
    <x v="2"/>
    <x v="3"/>
  </r>
  <r>
    <x v="299"/>
    <x v="5"/>
    <x v="2"/>
    <x v="4"/>
    <x v="2"/>
    <x v="360"/>
    <x v="362"/>
    <x v="3"/>
    <x v="1"/>
    <x v="1"/>
    <x v="2"/>
    <x v="362"/>
    <x v="2"/>
    <x v="0"/>
    <x v="0"/>
    <x v="362"/>
    <x v="354"/>
    <x v="350"/>
    <x v="299"/>
    <x v="294"/>
    <x v="8"/>
    <x v="2"/>
  </r>
  <r>
    <x v="300"/>
    <x v="3"/>
    <x v="1"/>
    <x v="0"/>
    <x v="17"/>
    <x v="361"/>
    <x v="363"/>
    <x v="3"/>
    <x v="0"/>
    <x v="3"/>
    <x v="0"/>
    <x v="363"/>
    <x v="0"/>
    <x v="3"/>
    <x v="0"/>
    <x v="363"/>
    <x v="355"/>
    <x v="351"/>
    <x v="300"/>
    <x v="295"/>
    <x v="8"/>
    <x v="1"/>
  </r>
  <r>
    <x v="9"/>
    <x v="6"/>
    <x v="1"/>
    <x v="1"/>
    <x v="16"/>
    <x v="362"/>
    <x v="364"/>
    <x v="2"/>
    <x v="0"/>
    <x v="3"/>
    <x v="1"/>
    <x v="364"/>
    <x v="2"/>
    <x v="3"/>
    <x v="0"/>
    <x v="364"/>
    <x v="356"/>
    <x v="352"/>
    <x v="9"/>
    <x v="296"/>
    <x v="7"/>
    <x v="1"/>
  </r>
  <r>
    <x v="301"/>
    <x v="5"/>
    <x v="4"/>
    <x v="5"/>
    <x v="7"/>
    <x v="363"/>
    <x v="365"/>
    <x v="3"/>
    <x v="1"/>
    <x v="1"/>
    <x v="1"/>
    <x v="365"/>
    <x v="3"/>
    <x v="3"/>
    <x v="0"/>
    <x v="365"/>
    <x v="357"/>
    <x v="353"/>
    <x v="301"/>
    <x v="297"/>
    <x v="4"/>
    <x v="4"/>
  </r>
  <r>
    <x v="302"/>
    <x v="6"/>
    <x v="3"/>
    <x v="0"/>
    <x v="9"/>
    <x v="364"/>
    <x v="366"/>
    <x v="0"/>
    <x v="1"/>
    <x v="3"/>
    <x v="3"/>
    <x v="366"/>
    <x v="2"/>
    <x v="2"/>
    <x v="1"/>
    <x v="366"/>
    <x v="358"/>
    <x v="354"/>
    <x v="302"/>
    <x v="59"/>
    <x v="6"/>
    <x v="3"/>
  </r>
  <r>
    <x v="23"/>
    <x v="10"/>
    <x v="4"/>
    <x v="5"/>
    <x v="15"/>
    <x v="365"/>
    <x v="367"/>
    <x v="2"/>
    <x v="1"/>
    <x v="3"/>
    <x v="5"/>
    <x v="367"/>
    <x v="4"/>
    <x v="0"/>
    <x v="0"/>
    <x v="367"/>
    <x v="359"/>
    <x v="240"/>
    <x v="23"/>
    <x v="232"/>
    <x v="4"/>
    <x v="4"/>
  </r>
  <r>
    <x v="303"/>
    <x v="11"/>
    <x v="3"/>
    <x v="4"/>
    <x v="7"/>
    <x v="366"/>
    <x v="368"/>
    <x v="3"/>
    <x v="1"/>
    <x v="3"/>
    <x v="0"/>
    <x v="368"/>
    <x v="3"/>
    <x v="2"/>
    <x v="1"/>
    <x v="368"/>
    <x v="360"/>
    <x v="355"/>
    <x v="303"/>
    <x v="298"/>
    <x v="5"/>
    <x v="3"/>
  </r>
  <r>
    <x v="304"/>
    <x v="4"/>
    <x v="3"/>
    <x v="3"/>
    <x v="15"/>
    <x v="367"/>
    <x v="369"/>
    <x v="1"/>
    <x v="0"/>
    <x v="0"/>
    <x v="2"/>
    <x v="369"/>
    <x v="2"/>
    <x v="0"/>
    <x v="0"/>
    <x v="369"/>
    <x v="361"/>
    <x v="356"/>
    <x v="304"/>
    <x v="299"/>
    <x v="0"/>
    <x v="3"/>
  </r>
  <r>
    <x v="305"/>
    <x v="10"/>
    <x v="3"/>
    <x v="3"/>
    <x v="5"/>
    <x v="368"/>
    <x v="370"/>
    <x v="3"/>
    <x v="0"/>
    <x v="0"/>
    <x v="3"/>
    <x v="370"/>
    <x v="3"/>
    <x v="3"/>
    <x v="1"/>
    <x v="370"/>
    <x v="362"/>
    <x v="357"/>
    <x v="305"/>
    <x v="266"/>
    <x v="4"/>
    <x v="3"/>
  </r>
  <r>
    <x v="306"/>
    <x v="6"/>
    <x v="2"/>
    <x v="4"/>
    <x v="8"/>
    <x v="369"/>
    <x v="371"/>
    <x v="2"/>
    <x v="0"/>
    <x v="1"/>
    <x v="1"/>
    <x v="371"/>
    <x v="0"/>
    <x v="2"/>
    <x v="0"/>
    <x v="371"/>
    <x v="363"/>
    <x v="358"/>
    <x v="306"/>
    <x v="300"/>
    <x v="8"/>
    <x v="2"/>
  </r>
  <r>
    <x v="307"/>
    <x v="0"/>
    <x v="3"/>
    <x v="1"/>
    <x v="4"/>
    <x v="370"/>
    <x v="372"/>
    <x v="3"/>
    <x v="0"/>
    <x v="0"/>
    <x v="3"/>
    <x v="372"/>
    <x v="0"/>
    <x v="1"/>
    <x v="0"/>
    <x v="372"/>
    <x v="364"/>
    <x v="359"/>
    <x v="307"/>
    <x v="301"/>
    <x v="5"/>
    <x v="3"/>
  </r>
  <r>
    <x v="308"/>
    <x v="7"/>
    <x v="2"/>
    <x v="0"/>
    <x v="11"/>
    <x v="371"/>
    <x v="373"/>
    <x v="1"/>
    <x v="0"/>
    <x v="0"/>
    <x v="4"/>
    <x v="373"/>
    <x v="0"/>
    <x v="0"/>
    <x v="0"/>
    <x v="373"/>
    <x v="100"/>
    <x v="360"/>
    <x v="308"/>
    <x v="302"/>
    <x v="1"/>
    <x v="2"/>
  </r>
  <r>
    <x v="259"/>
    <x v="6"/>
    <x v="3"/>
    <x v="4"/>
    <x v="10"/>
    <x v="372"/>
    <x v="374"/>
    <x v="2"/>
    <x v="1"/>
    <x v="1"/>
    <x v="0"/>
    <x v="374"/>
    <x v="2"/>
    <x v="3"/>
    <x v="0"/>
    <x v="374"/>
    <x v="365"/>
    <x v="361"/>
    <x v="259"/>
    <x v="254"/>
    <x v="0"/>
    <x v="3"/>
  </r>
  <r>
    <x v="290"/>
    <x v="7"/>
    <x v="0"/>
    <x v="5"/>
    <x v="1"/>
    <x v="373"/>
    <x v="375"/>
    <x v="3"/>
    <x v="1"/>
    <x v="1"/>
    <x v="0"/>
    <x v="375"/>
    <x v="3"/>
    <x v="0"/>
    <x v="0"/>
    <x v="375"/>
    <x v="366"/>
    <x v="362"/>
    <x v="290"/>
    <x v="303"/>
    <x v="2"/>
    <x v="0"/>
  </r>
  <r>
    <x v="309"/>
    <x v="11"/>
    <x v="1"/>
    <x v="4"/>
    <x v="4"/>
    <x v="374"/>
    <x v="376"/>
    <x v="1"/>
    <x v="1"/>
    <x v="3"/>
    <x v="3"/>
    <x v="376"/>
    <x v="2"/>
    <x v="0"/>
    <x v="0"/>
    <x v="376"/>
    <x v="367"/>
    <x v="363"/>
    <x v="309"/>
    <x v="304"/>
    <x v="8"/>
    <x v="1"/>
  </r>
  <r>
    <x v="285"/>
    <x v="10"/>
    <x v="3"/>
    <x v="5"/>
    <x v="17"/>
    <x v="375"/>
    <x v="377"/>
    <x v="0"/>
    <x v="0"/>
    <x v="0"/>
    <x v="1"/>
    <x v="377"/>
    <x v="0"/>
    <x v="1"/>
    <x v="1"/>
    <x v="377"/>
    <x v="368"/>
    <x v="364"/>
    <x v="285"/>
    <x v="23"/>
    <x v="1"/>
    <x v="3"/>
  </r>
  <r>
    <x v="310"/>
    <x v="3"/>
    <x v="1"/>
    <x v="2"/>
    <x v="1"/>
    <x v="376"/>
    <x v="378"/>
    <x v="0"/>
    <x v="0"/>
    <x v="3"/>
    <x v="5"/>
    <x v="378"/>
    <x v="1"/>
    <x v="2"/>
    <x v="0"/>
    <x v="378"/>
    <x v="369"/>
    <x v="365"/>
    <x v="310"/>
    <x v="305"/>
    <x v="0"/>
    <x v="1"/>
  </r>
  <r>
    <x v="311"/>
    <x v="2"/>
    <x v="0"/>
    <x v="1"/>
    <x v="8"/>
    <x v="377"/>
    <x v="379"/>
    <x v="0"/>
    <x v="0"/>
    <x v="2"/>
    <x v="1"/>
    <x v="379"/>
    <x v="0"/>
    <x v="0"/>
    <x v="0"/>
    <x v="379"/>
    <x v="370"/>
    <x v="366"/>
    <x v="311"/>
    <x v="306"/>
    <x v="7"/>
    <x v="0"/>
  </r>
  <r>
    <x v="118"/>
    <x v="8"/>
    <x v="1"/>
    <x v="3"/>
    <x v="12"/>
    <x v="378"/>
    <x v="380"/>
    <x v="0"/>
    <x v="1"/>
    <x v="2"/>
    <x v="0"/>
    <x v="380"/>
    <x v="4"/>
    <x v="0"/>
    <x v="0"/>
    <x v="380"/>
    <x v="371"/>
    <x v="367"/>
    <x v="118"/>
    <x v="307"/>
    <x v="6"/>
    <x v="1"/>
  </r>
  <r>
    <x v="106"/>
    <x v="8"/>
    <x v="4"/>
    <x v="5"/>
    <x v="5"/>
    <x v="379"/>
    <x v="381"/>
    <x v="0"/>
    <x v="0"/>
    <x v="1"/>
    <x v="2"/>
    <x v="381"/>
    <x v="4"/>
    <x v="2"/>
    <x v="0"/>
    <x v="381"/>
    <x v="372"/>
    <x v="368"/>
    <x v="106"/>
    <x v="308"/>
    <x v="4"/>
    <x v="4"/>
  </r>
  <r>
    <x v="271"/>
    <x v="7"/>
    <x v="3"/>
    <x v="5"/>
    <x v="10"/>
    <x v="380"/>
    <x v="382"/>
    <x v="3"/>
    <x v="0"/>
    <x v="3"/>
    <x v="5"/>
    <x v="382"/>
    <x v="4"/>
    <x v="1"/>
    <x v="0"/>
    <x v="382"/>
    <x v="373"/>
    <x v="369"/>
    <x v="271"/>
    <x v="309"/>
    <x v="8"/>
    <x v="3"/>
  </r>
  <r>
    <x v="312"/>
    <x v="3"/>
    <x v="1"/>
    <x v="6"/>
    <x v="3"/>
    <x v="381"/>
    <x v="383"/>
    <x v="3"/>
    <x v="1"/>
    <x v="1"/>
    <x v="3"/>
    <x v="383"/>
    <x v="0"/>
    <x v="0"/>
    <x v="0"/>
    <x v="383"/>
    <x v="374"/>
    <x v="370"/>
    <x v="312"/>
    <x v="310"/>
    <x v="8"/>
    <x v="1"/>
  </r>
  <r>
    <x v="313"/>
    <x v="7"/>
    <x v="3"/>
    <x v="1"/>
    <x v="17"/>
    <x v="382"/>
    <x v="384"/>
    <x v="3"/>
    <x v="1"/>
    <x v="1"/>
    <x v="1"/>
    <x v="384"/>
    <x v="0"/>
    <x v="2"/>
    <x v="0"/>
    <x v="384"/>
    <x v="375"/>
    <x v="371"/>
    <x v="313"/>
    <x v="107"/>
    <x v="2"/>
    <x v="3"/>
  </r>
  <r>
    <x v="314"/>
    <x v="6"/>
    <x v="0"/>
    <x v="6"/>
    <x v="7"/>
    <x v="383"/>
    <x v="385"/>
    <x v="2"/>
    <x v="0"/>
    <x v="3"/>
    <x v="5"/>
    <x v="385"/>
    <x v="4"/>
    <x v="1"/>
    <x v="0"/>
    <x v="385"/>
    <x v="376"/>
    <x v="372"/>
    <x v="314"/>
    <x v="311"/>
    <x v="1"/>
    <x v="0"/>
  </r>
  <r>
    <x v="236"/>
    <x v="8"/>
    <x v="0"/>
    <x v="6"/>
    <x v="12"/>
    <x v="384"/>
    <x v="386"/>
    <x v="3"/>
    <x v="1"/>
    <x v="0"/>
    <x v="5"/>
    <x v="386"/>
    <x v="4"/>
    <x v="0"/>
    <x v="1"/>
    <x v="386"/>
    <x v="377"/>
    <x v="373"/>
    <x v="236"/>
    <x v="312"/>
    <x v="6"/>
    <x v="0"/>
  </r>
  <r>
    <x v="315"/>
    <x v="10"/>
    <x v="1"/>
    <x v="0"/>
    <x v="9"/>
    <x v="385"/>
    <x v="387"/>
    <x v="0"/>
    <x v="1"/>
    <x v="0"/>
    <x v="3"/>
    <x v="387"/>
    <x v="1"/>
    <x v="2"/>
    <x v="1"/>
    <x v="387"/>
    <x v="378"/>
    <x v="374"/>
    <x v="315"/>
    <x v="93"/>
    <x v="4"/>
    <x v="1"/>
  </r>
  <r>
    <x v="316"/>
    <x v="4"/>
    <x v="3"/>
    <x v="1"/>
    <x v="14"/>
    <x v="386"/>
    <x v="388"/>
    <x v="3"/>
    <x v="0"/>
    <x v="0"/>
    <x v="5"/>
    <x v="388"/>
    <x v="4"/>
    <x v="0"/>
    <x v="0"/>
    <x v="388"/>
    <x v="379"/>
    <x v="235"/>
    <x v="316"/>
    <x v="313"/>
    <x v="2"/>
    <x v="3"/>
  </r>
  <r>
    <x v="317"/>
    <x v="0"/>
    <x v="1"/>
    <x v="1"/>
    <x v="18"/>
    <x v="387"/>
    <x v="389"/>
    <x v="2"/>
    <x v="1"/>
    <x v="3"/>
    <x v="1"/>
    <x v="389"/>
    <x v="3"/>
    <x v="3"/>
    <x v="0"/>
    <x v="389"/>
    <x v="380"/>
    <x v="375"/>
    <x v="317"/>
    <x v="314"/>
    <x v="7"/>
    <x v="1"/>
  </r>
  <r>
    <x v="204"/>
    <x v="7"/>
    <x v="2"/>
    <x v="6"/>
    <x v="2"/>
    <x v="388"/>
    <x v="390"/>
    <x v="0"/>
    <x v="0"/>
    <x v="2"/>
    <x v="2"/>
    <x v="390"/>
    <x v="4"/>
    <x v="2"/>
    <x v="0"/>
    <x v="390"/>
    <x v="381"/>
    <x v="376"/>
    <x v="204"/>
    <x v="315"/>
    <x v="2"/>
    <x v="2"/>
  </r>
  <r>
    <x v="89"/>
    <x v="6"/>
    <x v="4"/>
    <x v="4"/>
    <x v="15"/>
    <x v="389"/>
    <x v="391"/>
    <x v="3"/>
    <x v="0"/>
    <x v="3"/>
    <x v="0"/>
    <x v="391"/>
    <x v="1"/>
    <x v="1"/>
    <x v="0"/>
    <x v="391"/>
    <x v="382"/>
    <x v="377"/>
    <x v="89"/>
    <x v="225"/>
    <x v="5"/>
    <x v="4"/>
  </r>
  <r>
    <x v="318"/>
    <x v="8"/>
    <x v="3"/>
    <x v="4"/>
    <x v="14"/>
    <x v="390"/>
    <x v="392"/>
    <x v="1"/>
    <x v="0"/>
    <x v="2"/>
    <x v="4"/>
    <x v="392"/>
    <x v="4"/>
    <x v="0"/>
    <x v="1"/>
    <x v="392"/>
    <x v="383"/>
    <x v="378"/>
    <x v="318"/>
    <x v="316"/>
    <x v="2"/>
    <x v="3"/>
  </r>
  <r>
    <x v="319"/>
    <x v="7"/>
    <x v="3"/>
    <x v="0"/>
    <x v="14"/>
    <x v="391"/>
    <x v="393"/>
    <x v="0"/>
    <x v="1"/>
    <x v="2"/>
    <x v="5"/>
    <x v="393"/>
    <x v="1"/>
    <x v="1"/>
    <x v="1"/>
    <x v="393"/>
    <x v="384"/>
    <x v="379"/>
    <x v="319"/>
    <x v="317"/>
    <x v="7"/>
    <x v="3"/>
  </r>
  <r>
    <x v="320"/>
    <x v="7"/>
    <x v="4"/>
    <x v="5"/>
    <x v="0"/>
    <x v="392"/>
    <x v="394"/>
    <x v="3"/>
    <x v="1"/>
    <x v="3"/>
    <x v="2"/>
    <x v="394"/>
    <x v="3"/>
    <x v="1"/>
    <x v="0"/>
    <x v="394"/>
    <x v="385"/>
    <x v="380"/>
    <x v="320"/>
    <x v="318"/>
    <x v="3"/>
    <x v="4"/>
  </r>
  <r>
    <x v="321"/>
    <x v="9"/>
    <x v="2"/>
    <x v="4"/>
    <x v="16"/>
    <x v="393"/>
    <x v="395"/>
    <x v="3"/>
    <x v="0"/>
    <x v="0"/>
    <x v="2"/>
    <x v="395"/>
    <x v="1"/>
    <x v="2"/>
    <x v="0"/>
    <x v="395"/>
    <x v="386"/>
    <x v="381"/>
    <x v="321"/>
    <x v="319"/>
    <x v="6"/>
    <x v="2"/>
  </r>
  <r>
    <x v="322"/>
    <x v="4"/>
    <x v="0"/>
    <x v="0"/>
    <x v="17"/>
    <x v="394"/>
    <x v="396"/>
    <x v="2"/>
    <x v="1"/>
    <x v="0"/>
    <x v="4"/>
    <x v="396"/>
    <x v="4"/>
    <x v="3"/>
    <x v="1"/>
    <x v="396"/>
    <x v="387"/>
    <x v="382"/>
    <x v="322"/>
    <x v="257"/>
    <x v="7"/>
    <x v="0"/>
  </r>
  <r>
    <x v="323"/>
    <x v="0"/>
    <x v="4"/>
    <x v="3"/>
    <x v="0"/>
    <x v="395"/>
    <x v="397"/>
    <x v="1"/>
    <x v="1"/>
    <x v="2"/>
    <x v="2"/>
    <x v="397"/>
    <x v="2"/>
    <x v="3"/>
    <x v="0"/>
    <x v="397"/>
    <x v="388"/>
    <x v="383"/>
    <x v="323"/>
    <x v="320"/>
    <x v="0"/>
    <x v="4"/>
  </r>
  <r>
    <x v="42"/>
    <x v="2"/>
    <x v="1"/>
    <x v="4"/>
    <x v="14"/>
    <x v="396"/>
    <x v="398"/>
    <x v="1"/>
    <x v="0"/>
    <x v="0"/>
    <x v="3"/>
    <x v="398"/>
    <x v="1"/>
    <x v="1"/>
    <x v="0"/>
    <x v="398"/>
    <x v="389"/>
    <x v="384"/>
    <x v="42"/>
    <x v="321"/>
    <x v="8"/>
    <x v="1"/>
  </r>
  <r>
    <x v="324"/>
    <x v="3"/>
    <x v="0"/>
    <x v="2"/>
    <x v="15"/>
    <x v="397"/>
    <x v="399"/>
    <x v="3"/>
    <x v="0"/>
    <x v="0"/>
    <x v="4"/>
    <x v="399"/>
    <x v="1"/>
    <x v="2"/>
    <x v="0"/>
    <x v="399"/>
    <x v="390"/>
    <x v="385"/>
    <x v="324"/>
    <x v="322"/>
    <x v="7"/>
    <x v="0"/>
  </r>
  <r>
    <x v="0"/>
    <x v="0"/>
    <x v="4"/>
    <x v="5"/>
    <x v="13"/>
    <x v="398"/>
    <x v="400"/>
    <x v="3"/>
    <x v="1"/>
    <x v="0"/>
    <x v="5"/>
    <x v="400"/>
    <x v="4"/>
    <x v="0"/>
    <x v="1"/>
    <x v="400"/>
    <x v="391"/>
    <x v="386"/>
    <x v="0"/>
    <x v="0"/>
    <x v="0"/>
    <x v="4"/>
  </r>
  <r>
    <x v="325"/>
    <x v="9"/>
    <x v="0"/>
    <x v="6"/>
    <x v="7"/>
    <x v="399"/>
    <x v="401"/>
    <x v="1"/>
    <x v="1"/>
    <x v="0"/>
    <x v="5"/>
    <x v="401"/>
    <x v="0"/>
    <x v="3"/>
    <x v="0"/>
    <x v="401"/>
    <x v="392"/>
    <x v="387"/>
    <x v="325"/>
    <x v="323"/>
    <x v="2"/>
    <x v="0"/>
  </r>
  <r>
    <x v="245"/>
    <x v="8"/>
    <x v="1"/>
    <x v="5"/>
    <x v="5"/>
    <x v="400"/>
    <x v="402"/>
    <x v="3"/>
    <x v="1"/>
    <x v="3"/>
    <x v="2"/>
    <x v="402"/>
    <x v="1"/>
    <x v="1"/>
    <x v="0"/>
    <x v="402"/>
    <x v="393"/>
    <x v="388"/>
    <x v="245"/>
    <x v="324"/>
    <x v="7"/>
    <x v="1"/>
  </r>
  <r>
    <x v="326"/>
    <x v="10"/>
    <x v="4"/>
    <x v="0"/>
    <x v="7"/>
    <x v="401"/>
    <x v="403"/>
    <x v="3"/>
    <x v="0"/>
    <x v="2"/>
    <x v="2"/>
    <x v="403"/>
    <x v="3"/>
    <x v="2"/>
    <x v="0"/>
    <x v="403"/>
    <x v="394"/>
    <x v="389"/>
    <x v="326"/>
    <x v="325"/>
    <x v="0"/>
    <x v="4"/>
  </r>
  <r>
    <x v="327"/>
    <x v="9"/>
    <x v="1"/>
    <x v="4"/>
    <x v="14"/>
    <x v="402"/>
    <x v="404"/>
    <x v="2"/>
    <x v="1"/>
    <x v="1"/>
    <x v="5"/>
    <x v="404"/>
    <x v="0"/>
    <x v="1"/>
    <x v="0"/>
    <x v="404"/>
    <x v="395"/>
    <x v="390"/>
    <x v="327"/>
    <x v="191"/>
    <x v="4"/>
    <x v="1"/>
  </r>
  <r>
    <x v="328"/>
    <x v="11"/>
    <x v="4"/>
    <x v="5"/>
    <x v="14"/>
    <x v="403"/>
    <x v="405"/>
    <x v="1"/>
    <x v="0"/>
    <x v="3"/>
    <x v="1"/>
    <x v="405"/>
    <x v="1"/>
    <x v="1"/>
    <x v="0"/>
    <x v="405"/>
    <x v="396"/>
    <x v="391"/>
    <x v="328"/>
    <x v="50"/>
    <x v="5"/>
    <x v="4"/>
  </r>
  <r>
    <x v="315"/>
    <x v="10"/>
    <x v="3"/>
    <x v="3"/>
    <x v="14"/>
    <x v="404"/>
    <x v="406"/>
    <x v="1"/>
    <x v="1"/>
    <x v="0"/>
    <x v="0"/>
    <x v="406"/>
    <x v="2"/>
    <x v="3"/>
    <x v="0"/>
    <x v="406"/>
    <x v="397"/>
    <x v="392"/>
    <x v="315"/>
    <x v="326"/>
    <x v="2"/>
    <x v="3"/>
  </r>
  <r>
    <x v="329"/>
    <x v="9"/>
    <x v="0"/>
    <x v="5"/>
    <x v="7"/>
    <x v="405"/>
    <x v="407"/>
    <x v="2"/>
    <x v="0"/>
    <x v="0"/>
    <x v="1"/>
    <x v="407"/>
    <x v="2"/>
    <x v="0"/>
    <x v="0"/>
    <x v="407"/>
    <x v="398"/>
    <x v="393"/>
    <x v="329"/>
    <x v="327"/>
    <x v="6"/>
    <x v="0"/>
  </r>
  <r>
    <x v="330"/>
    <x v="7"/>
    <x v="0"/>
    <x v="6"/>
    <x v="1"/>
    <x v="406"/>
    <x v="408"/>
    <x v="3"/>
    <x v="0"/>
    <x v="2"/>
    <x v="2"/>
    <x v="408"/>
    <x v="2"/>
    <x v="2"/>
    <x v="0"/>
    <x v="408"/>
    <x v="399"/>
    <x v="394"/>
    <x v="330"/>
    <x v="309"/>
    <x v="7"/>
    <x v="0"/>
  </r>
  <r>
    <x v="331"/>
    <x v="9"/>
    <x v="0"/>
    <x v="0"/>
    <x v="13"/>
    <x v="407"/>
    <x v="409"/>
    <x v="2"/>
    <x v="0"/>
    <x v="3"/>
    <x v="1"/>
    <x v="409"/>
    <x v="4"/>
    <x v="1"/>
    <x v="0"/>
    <x v="409"/>
    <x v="400"/>
    <x v="230"/>
    <x v="331"/>
    <x v="328"/>
    <x v="6"/>
    <x v="0"/>
  </r>
  <r>
    <x v="297"/>
    <x v="7"/>
    <x v="2"/>
    <x v="6"/>
    <x v="6"/>
    <x v="408"/>
    <x v="410"/>
    <x v="0"/>
    <x v="0"/>
    <x v="2"/>
    <x v="3"/>
    <x v="410"/>
    <x v="4"/>
    <x v="0"/>
    <x v="0"/>
    <x v="410"/>
    <x v="204"/>
    <x v="395"/>
    <x v="297"/>
    <x v="318"/>
    <x v="8"/>
    <x v="2"/>
  </r>
  <r>
    <x v="332"/>
    <x v="6"/>
    <x v="3"/>
    <x v="4"/>
    <x v="10"/>
    <x v="409"/>
    <x v="411"/>
    <x v="0"/>
    <x v="1"/>
    <x v="2"/>
    <x v="3"/>
    <x v="411"/>
    <x v="4"/>
    <x v="2"/>
    <x v="0"/>
    <x v="411"/>
    <x v="148"/>
    <x v="396"/>
    <x v="332"/>
    <x v="329"/>
    <x v="8"/>
    <x v="3"/>
  </r>
  <r>
    <x v="85"/>
    <x v="9"/>
    <x v="2"/>
    <x v="0"/>
    <x v="15"/>
    <x v="410"/>
    <x v="412"/>
    <x v="2"/>
    <x v="1"/>
    <x v="2"/>
    <x v="0"/>
    <x v="412"/>
    <x v="4"/>
    <x v="0"/>
    <x v="0"/>
    <x v="412"/>
    <x v="401"/>
    <x v="397"/>
    <x v="85"/>
    <x v="65"/>
    <x v="2"/>
    <x v="2"/>
  </r>
  <r>
    <x v="333"/>
    <x v="2"/>
    <x v="1"/>
    <x v="0"/>
    <x v="8"/>
    <x v="411"/>
    <x v="413"/>
    <x v="1"/>
    <x v="1"/>
    <x v="0"/>
    <x v="2"/>
    <x v="413"/>
    <x v="3"/>
    <x v="2"/>
    <x v="1"/>
    <x v="413"/>
    <x v="402"/>
    <x v="398"/>
    <x v="333"/>
    <x v="330"/>
    <x v="5"/>
    <x v="1"/>
  </r>
  <r>
    <x v="264"/>
    <x v="7"/>
    <x v="0"/>
    <x v="2"/>
    <x v="6"/>
    <x v="412"/>
    <x v="414"/>
    <x v="3"/>
    <x v="0"/>
    <x v="2"/>
    <x v="1"/>
    <x v="414"/>
    <x v="3"/>
    <x v="1"/>
    <x v="1"/>
    <x v="414"/>
    <x v="403"/>
    <x v="399"/>
    <x v="264"/>
    <x v="261"/>
    <x v="2"/>
    <x v="0"/>
  </r>
  <r>
    <x v="334"/>
    <x v="6"/>
    <x v="1"/>
    <x v="2"/>
    <x v="12"/>
    <x v="413"/>
    <x v="415"/>
    <x v="0"/>
    <x v="1"/>
    <x v="2"/>
    <x v="1"/>
    <x v="415"/>
    <x v="2"/>
    <x v="3"/>
    <x v="0"/>
    <x v="415"/>
    <x v="404"/>
    <x v="400"/>
    <x v="334"/>
    <x v="331"/>
    <x v="7"/>
    <x v="1"/>
  </r>
  <r>
    <x v="52"/>
    <x v="4"/>
    <x v="3"/>
    <x v="3"/>
    <x v="9"/>
    <x v="414"/>
    <x v="416"/>
    <x v="1"/>
    <x v="1"/>
    <x v="1"/>
    <x v="5"/>
    <x v="416"/>
    <x v="3"/>
    <x v="2"/>
    <x v="0"/>
    <x v="416"/>
    <x v="405"/>
    <x v="401"/>
    <x v="52"/>
    <x v="332"/>
    <x v="7"/>
    <x v="3"/>
  </r>
  <r>
    <x v="335"/>
    <x v="5"/>
    <x v="4"/>
    <x v="2"/>
    <x v="9"/>
    <x v="415"/>
    <x v="417"/>
    <x v="2"/>
    <x v="0"/>
    <x v="0"/>
    <x v="1"/>
    <x v="417"/>
    <x v="4"/>
    <x v="2"/>
    <x v="0"/>
    <x v="417"/>
    <x v="406"/>
    <x v="402"/>
    <x v="335"/>
    <x v="333"/>
    <x v="3"/>
    <x v="4"/>
  </r>
  <r>
    <x v="336"/>
    <x v="2"/>
    <x v="4"/>
    <x v="4"/>
    <x v="18"/>
    <x v="416"/>
    <x v="418"/>
    <x v="2"/>
    <x v="1"/>
    <x v="1"/>
    <x v="2"/>
    <x v="418"/>
    <x v="0"/>
    <x v="1"/>
    <x v="1"/>
    <x v="418"/>
    <x v="407"/>
    <x v="403"/>
    <x v="336"/>
    <x v="334"/>
    <x v="7"/>
    <x v="4"/>
  </r>
  <r>
    <x v="337"/>
    <x v="6"/>
    <x v="3"/>
    <x v="4"/>
    <x v="1"/>
    <x v="417"/>
    <x v="419"/>
    <x v="2"/>
    <x v="0"/>
    <x v="2"/>
    <x v="2"/>
    <x v="419"/>
    <x v="3"/>
    <x v="3"/>
    <x v="0"/>
    <x v="419"/>
    <x v="408"/>
    <x v="404"/>
    <x v="337"/>
    <x v="335"/>
    <x v="3"/>
    <x v="3"/>
  </r>
  <r>
    <x v="338"/>
    <x v="8"/>
    <x v="2"/>
    <x v="0"/>
    <x v="13"/>
    <x v="418"/>
    <x v="420"/>
    <x v="1"/>
    <x v="1"/>
    <x v="1"/>
    <x v="5"/>
    <x v="420"/>
    <x v="0"/>
    <x v="3"/>
    <x v="1"/>
    <x v="420"/>
    <x v="409"/>
    <x v="405"/>
    <x v="338"/>
    <x v="336"/>
    <x v="0"/>
    <x v="2"/>
  </r>
  <r>
    <x v="285"/>
    <x v="10"/>
    <x v="1"/>
    <x v="6"/>
    <x v="11"/>
    <x v="419"/>
    <x v="421"/>
    <x v="2"/>
    <x v="1"/>
    <x v="1"/>
    <x v="5"/>
    <x v="421"/>
    <x v="2"/>
    <x v="0"/>
    <x v="0"/>
    <x v="421"/>
    <x v="410"/>
    <x v="406"/>
    <x v="285"/>
    <x v="23"/>
    <x v="1"/>
    <x v="1"/>
  </r>
  <r>
    <x v="339"/>
    <x v="11"/>
    <x v="4"/>
    <x v="5"/>
    <x v="8"/>
    <x v="420"/>
    <x v="422"/>
    <x v="3"/>
    <x v="0"/>
    <x v="0"/>
    <x v="1"/>
    <x v="422"/>
    <x v="3"/>
    <x v="0"/>
    <x v="0"/>
    <x v="422"/>
    <x v="411"/>
    <x v="407"/>
    <x v="339"/>
    <x v="287"/>
    <x v="4"/>
    <x v="4"/>
  </r>
  <r>
    <x v="340"/>
    <x v="6"/>
    <x v="1"/>
    <x v="0"/>
    <x v="19"/>
    <x v="421"/>
    <x v="423"/>
    <x v="3"/>
    <x v="0"/>
    <x v="1"/>
    <x v="2"/>
    <x v="423"/>
    <x v="0"/>
    <x v="1"/>
    <x v="0"/>
    <x v="423"/>
    <x v="412"/>
    <x v="408"/>
    <x v="340"/>
    <x v="337"/>
    <x v="4"/>
    <x v="1"/>
  </r>
  <r>
    <x v="341"/>
    <x v="6"/>
    <x v="0"/>
    <x v="3"/>
    <x v="8"/>
    <x v="422"/>
    <x v="424"/>
    <x v="2"/>
    <x v="0"/>
    <x v="2"/>
    <x v="3"/>
    <x v="424"/>
    <x v="4"/>
    <x v="2"/>
    <x v="1"/>
    <x v="424"/>
    <x v="413"/>
    <x v="409"/>
    <x v="341"/>
    <x v="338"/>
    <x v="1"/>
    <x v="0"/>
  </r>
  <r>
    <x v="342"/>
    <x v="2"/>
    <x v="4"/>
    <x v="2"/>
    <x v="6"/>
    <x v="423"/>
    <x v="425"/>
    <x v="0"/>
    <x v="1"/>
    <x v="2"/>
    <x v="0"/>
    <x v="425"/>
    <x v="0"/>
    <x v="3"/>
    <x v="0"/>
    <x v="425"/>
    <x v="414"/>
    <x v="343"/>
    <x v="342"/>
    <x v="339"/>
    <x v="0"/>
    <x v="4"/>
  </r>
  <r>
    <x v="292"/>
    <x v="11"/>
    <x v="2"/>
    <x v="2"/>
    <x v="9"/>
    <x v="424"/>
    <x v="426"/>
    <x v="0"/>
    <x v="0"/>
    <x v="2"/>
    <x v="0"/>
    <x v="426"/>
    <x v="1"/>
    <x v="1"/>
    <x v="0"/>
    <x v="426"/>
    <x v="415"/>
    <x v="165"/>
    <x v="292"/>
    <x v="119"/>
    <x v="3"/>
    <x v="2"/>
  </r>
  <r>
    <x v="343"/>
    <x v="3"/>
    <x v="1"/>
    <x v="5"/>
    <x v="0"/>
    <x v="425"/>
    <x v="427"/>
    <x v="2"/>
    <x v="1"/>
    <x v="0"/>
    <x v="4"/>
    <x v="427"/>
    <x v="3"/>
    <x v="2"/>
    <x v="0"/>
    <x v="427"/>
    <x v="416"/>
    <x v="410"/>
    <x v="343"/>
    <x v="113"/>
    <x v="1"/>
    <x v="1"/>
  </r>
  <r>
    <x v="321"/>
    <x v="9"/>
    <x v="2"/>
    <x v="2"/>
    <x v="18"/>
    <x v="426"/>
    <x v="428"/>
    <x v="2"/>
    <x v="1"/>
    <x v="1"/>
    <x v="3"/>
    <x v="428"/>
    <x v="0"/>
    <x v="2"/>
    <x v="0"/>
    <x v="428"/>
    <x v="417"/>
    <x v="411"/>
    <x v="321"/>
    <x v="340"/>
    <x v="2"/>
    <x v="2"/>
  </r>
  <r>
    <x v="344"/>
    <x v="9"/>
    <x v="1"/>
    <x v="5"/>
    <x v="19"/>
    <x v="427"/>
    <x v="429"/>
    <x v="1"/>
    <x v="0"/>
    <x v="0"/>
    <x v="1"/>
    <x v="429"/>
    <x v="3"/>
    <x v="1"/>
    <x v="0"/>
    <x v="429"/>
    <x v="418"/>
    <x v="412"/>
    <x v="344"/>
    <x v="341"/>
    <x v="2"/>
    <x v="1"/>
  </r>
  <r>
    <x v="345"/>
    <x v="0"/>
    <x v="3"/>
    <x v="1"/>
    <x v="18"/>
    <x v="428"/>
    <x v="430"/>
    <x v="0"/>
    <x v="1"/>
    <x v="0"/>
    <x v="1"/>
    <x v="430"/>
    <x v="4"/>
    <x v="0"/>
    <x v="0"/>
    <x v="430"/>
    <x v="419"/>
    <x v="413"/>
    <x v="345"/>
    <x v="342"/>
    <x v="1"/>
    <x v="3"/>
  </r>
  <r>
    <x v="346"/>
    <x v="9"/>
    <x v="3"/>
    <x v="6"/>
    <x v="0"/>
    <x v="429"/>
    <x v="431"/>
    <x v="1"/>
    <x v="0"/>
    <x v="1"/>
    <x v="5"/>
    <x v="431"/>
    <x v="2"/>
    <x v="1"/>
    <x v="0"/>
    <x v="431"/>
    <x v="420"/>
    <x v="414"/>
    <x v="346"/>
    <x v="343"/>
    <x v="7"/>
    <x v="3"/>
  </r>
  <r>
    <x v="239"/>
    <x v="4"/>
    <x v="3"/>
    <x v="4"/>
    <x v="16"/>
    <x v="430"/>
    <x v="432"/>
    <x v="1"/>
    <x v="0"/>
    <x v="2"/>
    <x v="1"/>
    <x v="432"/>
    <x v="4"/>
    <x v="1"/>
    <x v="1"/>
    <x v="432"/>
    <x v="421"/>
    <x v="415"/>
    <x v="239"/>
    <x v="344"/>
    <x v="8"/>
    <x v="3"/>
  </r>
  <r>
    <x v="276"/>
    <x v="2"/>
    <x v="3"/>
    <x v="5"/>
    <x v="4"/>
    <x v="431"/>
    <x v="433"/>
    <x v="2"/>
    <x v="0"/>
    <x v="2"/>
    <x v="3"/>
    <x v="433"/>
    <x v="1"/>
    <x v="2"/>
    <x v="1"/>
    <x v="433"/>
    <x v="422"/>
    <x v="416"/>
    <x v="276"/>
    <x v="345"/>
    <x v="2"/>
    <x v="3"/>
  </r>
  <r>
    <x v="347"/>
    <x v="2"/>
    <x v="0"/>
    <x v="6"/>
    <x v="7"/>
    <x v="432"/>
    <x v="434"/>
    <x v="1"/>
    <x v="1"/>
    <x v="2"/>
    <x v="5"/>
    <x v="434"/>
    <x v="4"/>
    <x v="0"/>
    <x v="1"/>
    <x v="434"/>
    <x v="423"/>
    <x v="417"/>
    <x v="347"/>
    <x v="346"/>
    <x v="3"/>
    <x v="0"/>
  </r>
  <r>
    <x v="348"/>
    <x v="9"/>
    <x v="3"/>
    <x v="0"/>
    <x v="9"/>
    <x v="433"/>
    <x v="435"/>
    <x v="1"/>
    <x v="1"/>
    <x v="3"/>
    <x v="0"/>
    <x v="435"/>
    <x v="3"/>
    <x v="0"/>
    <x v="0"/>
    <x v="435"/>
    <x v="424"/>
    <x v="418"/>
    <x v="348"/>
    <x v="347"/>
    <x v="4"/>
    <x v="3"/>
  </r>
  <r>
    <x v="349"/>
    <x v="0"/>
    <x v="1"/>
    <x v="3"/>
    <x v="18"/>
    <x v="434"/>
    <x v="436"/>
    <x v="1"/>
    <x v="1"/>
    <x v="0"/>
    <x v="1"/>
    <x v="436"/>
    <x v="2"/>
    <x v="1"/>
    <x v="0"/>
    <x v="436"/>
    <x v="425"/>
    <x v="419"/>
    <x v="349"/>
    <x v="348"/>
    <x v="4"/>
    <x v="1"/>
  </r>
  <r>
    <x v="350"/>
    <x v="9"/>
    <x v="1"/>
    <x v="0"/>
    <x v="2"/>
    <x v="435"/>
    <x v="437"/>
    <x v="1"/>
    <x v="0"/>
    <x v="2"/>
    <x v="3"/>
    <x v="437"/>
    <x v="2"/>
    <x v="3"/>
    <x v="1"/>
    <x v="437"/>
    <x v="426"/>
    <x v="420"/>
    <x v="350"/>
    <x v="349"/>
    <x v="7"/>
    <x v="1"/>
  </r>
  <r>
    <x v="351"/>
    <x v="3"/>
    <x v="0"/>
    <x v="2"/>
    <x v="1"/>
    <x v="436"/>
    <x v="438"/>
    <x v="0"/>
    <x v="1"/>
    <x v="1"/>
    <x v="1"/>
    <x v="438"/>
    <x v="0"/>
    <x v="0"/>
    <x v="0"/>
    <x v="438"/>
    <x v="427"/>
    <x v="421"/>
    <x v="351"/>
    <x v="350"/>
    <x v="6"/>
    <x v="0"/>
  </r>
  <r>
    <x v="352"/>
    <x v="5"/>
    <x v="2"/>
    <x v="5"/>
    <x v="8"/>
    <x v="437"/>
    <x v="439"/>
    <x v="1"/>
    <x v="1"/>
    <x v="3"/>
    <x v="3"/>
    <x v="439"/>
    <x v="4"/>
    <x v="1"/>
    <x v="1"/>
    <x v="439"/>
    <x v="428"/>
    <x v="422"/>
    <x v="352"/>
    <x v="351"/>
    <x v="0"/>
    <x v="2"/>
  </r>
  <r>
    <x v="353"/>
    <x v="3"/>
    <x v="4"/>
    <x v="5"/>
    <x v="5"/>
    <x v="438"/>
    <x v="440"/>
    <x v="0"/>
    <x v="0"/>
    <x v="1"/>
    <x v="2"/>
    <x v="440"/>
    <x v="2"/>
    <x v="2"/>
    <x v="0"/>
    <x v="440"/>
    <x v="429"/>
    <x v="423"/>
    <x v="353"/>
    <x v="352"/>
    <x v="3"/>
    <x v="4"/>
  </r>
  <r>
    <x v="354"/>
    <x v="11"/>
    <x v="0"/>
    <x v="1"/>
    <x v="16"/>
    <x v="439"/>
    <x v="441"/>
    <x v="2"/>
    <x v="1"/>
    <x v="2"/>
    <x v="3"/>
    <x v="441"/>
    <x v="0"/>
    <x v="3"/>
    <x v="0"/>
    <x v="441"/>
    <x v="430"/>
    <x v="424"/>
    <x v="354"/>
    <x v="353"/>
    <x v="5"/>
    <x v="0"/>
  </r>
  <r>
    <x v="355"/>
    <x v="2"/>
    <x v="3"/>
    <x v="6"/>
    <x v="8"/>
    <x v="440"/>
    <x v="442"/>
    <x v="0"/>
    <x v="1"/>
    <x v="2"/>
    <x v="5"/>
    <x v="442"/>
    <x v="4"/>
    <x v="0"/>
    <x v="0"/>
    <x v="442"/>
    <x v="431"/>
    <x v="425"/>
    <x v="355"/>
    <x v="354"/>
    <x v="4"/>
    <x v="3"/>
  </r>
  <r>
    <x v="356"/>
    <x v="11"/>
    <x v="2"/>
    <x v="5"/>
    <x v="14"/>
    <x v="441"/>
    <x v="443"/>
    <x v="1"/>
    <x v="0"/>
    <x v="1"/>
    <x v="4"/>
    <x v="443"/>
    <x v="4"/>
    <x v="3"/>
    <x v="1"/>
    <x v="443"/>
    <x v="432"/>
    <x v="426"/>
    <x v="356"/>
    <x v="355"/>
    <x v="1"/>
    <x v="2"/>
  </r>
  <r>
    <x v="259"/>
    <x v="6"/>
    <x v="0"/>
    <x v="5"/>
    <x v="2"/>
    <x v="442"/>
    <x v="444"/>
    <x v="0"/>
    <x v="1"/>
    <x v="1"/>
    <x v="5"/>
    <x v="444"/>
    <x v="3"/>
    <x v="3"/>
    <x v="0"/>
    <x v="444"/>
    <x v="433"/>
    <x v="244"/>
    <x v="259"/>
    <x v="159"/>
    <x v="7"/>
    <x v="0"/>
  </r>
  <r>
    <x v="357"/>
    <x v="3"/>
    <x v="0"/>
    <x v="3"/>
    <x v="15"/>
    <x v="443"/>
    <x v="445"/>
    <x v="0"/>
    <x v="1"/>
    <x v="1"/>
    <x v="0"/>
    <x v="445"/>
    <x v="0"/>
    <x v="0"/>
    <x v="0"/>
    <x v="445"/>
    <x v="434"/>
    <x v="427"/>
    <x v="357"/>
    <x v="295"/>
    <x v="5"/>
    <x v="0"/>
  </r>
  <r>
    <x v="275"/>
    <x v="4"/>
    <x v="4"/>
    <x v="6"/>
    <x v="11"/>
    <x v="444"/>
    <x v="446"/>
    <x v="0"/>
    <x v="0"/>
    <x v="2"/>
    <x v="5"/>
    <x v="446"/>
    <x v="0"/>
    <x v="0"/>
    <x v="0"/>
    <x v="446"/>
    <x v="435"/>
    <x v="428"/>
    <x v="275"/>
    <x v="356"/>
    <x v="5"/>
    <x v="4"/>
  </r>
  <r>
    <x v="358"/>
    <x v="6"/>
    <x v="3"/>
    <x v="3"/>
    <x v="18"/>
    <x v="445"/>
    <x v="447"/>
    <x v="3"/>
    <x v="1"/>
    <x v="1"/>
    <x v="1"/>
    <x v="447"/>
    <x v="0"/>
    <x v="2"/>
    <x v="0"/>
    <x v="447"/>
    <x v="436"/>
    <x v="429"/>
    <x v="358"/>
    <x v="338"/>
    <x v="2"/>
    <x v="3"/>
  </r>
  <r>
    <x v="359"/>
    <x v="4"/>
    <x v="0"/>
    <x v="0"/>
    <x v="13"/>
    <x v="446"/>
    <x v="448"/>
    <x v="1"/>
    <x v="0"/>
    <x v="0"/>
    <x v="4"/>
    <x v="448"/>
    <x v="0"/>
    <x v="3"/>
    <x v="1"/>
    <x v="448"/>
    <x v="437"/>
    <x v="430"/>
    <x v="359"/>
    <x v="357"/>
    <x v="5"/>
    <x v="0"/>
  </r>
  <r>
    <x v="360"/>
    <x v="6"/>
    <x v="3"/>
    <x v="1"/>
    <x v="18"/>
    <x v="447"/>
    <x v="449"/>
    <x v="0"/>
    <x v="0"/>
    <x v="2"/>
    <x v="5"/>
    <x v="449"/>
    <x v="0"/>
    <x v="2"/>
    <x v="0"/>
    <x v="449"/>
    <x v="438"/>
    <x v="431"/>
    <x v="360"/>
    <x v="358"/>
    <x v="6"/>
    <x v="3"/>
  </r>
  <r>
    <x v="25"/>
    <x v="5"/>
    <x v="0"/>
    <x v="5"/>
    <x v="6"/>
    <x v="448"/>
    <x v="450"/>
    <x v="0"/>
    <x v="1"/>
    <x v="3"/>
    <x v="3"/>
    <x v="450"/>
    <x v="2"/>
    <x v="3"/>
    <x v="0"/>
    <x v="450"/>
    <x v="225"/>
    <x v="432"/>
    <x v="25"/>
    <x v="25"/>
    <x v="8"/>
    <x v="0"/>
  </r>
  <r>
    <x v="119"/>
    <x v="3"/>
    <x v="4"/>
    <x v="4"/>
    <x v="5"/>
    <x v="449"/>
    <x v="451"/>
    <x v="3"/>
    <x v="1"/>
    <x v="2"/>
    <x v="1"/>
    <x v="451"/>
    <x v="0"/>
    <x v="2"/>
    <x v="1"/>
    <x v="451"/>
    <x v="439"/>
    <x v="433"/>
    <x v="119"/>
    <x v="98"/>
    <x v="7"/>
    <x v="4"/>
  </r>
  <r>
    <x v="361"/>
    <x v="0"/>
    <x v="4"/>
    <x v="4"/>
    <x v="10"/>
    <x v="450"/>
    <x v="452"/>
    <x v="3"/>
    <x v="0"/>
    <x v="0"/>
    <x v="1"/>
    <x v="452"/>
    <x v="1"/>
    <x v="1"/>
    <x v="1"/>
    <x v="452"/>
    <x v="440"/>
    <x v="434"/>
    <x v="361"/>
    <x v="359"/>
    <x v="2"/>
    <x v="4"/>
  </r>
  <r>
    <x v="362"/>
    <x v="5"/>
    <x v="0"/>
    <x v="3"/>
    <x v="10"/>
    <x v="451"/>
    <x v="453"/>
    <x v="1"/>
    <x v="0"/>
    <x v="1"/>
    <x v="2"/>
    <x v="453"/>
    <x v="0"/>
    <x v="1"/>
    <x v="0"/>
    <x v="453"/>
    <x v="441"/>
    <x v="435"/>
    <x v="362"/>
    <x v="360"/>
    <x v="5"/>
    <x v="0"/>
  </r>
  <r>
    <x v="363"/>
    <x v="10"/>
    <x v="1"/>
    <x v="0"/>
    <x v="2"/>
    <x v="452"/>
    <x v="454"/>
    <x v="1"/>
    <x v="0"/>
    <x v="2"/>
    <x v="2"/>
    <x v="454"/>
    <x v="4"/>
    <x v="1"/>
    <x v="1"/>
    <x v="454"/>
    <x v="442"/>
    <x v="436"/>
    <x v="363"/>
    <x v="361"/>
    <x v="0"/>
    <x v="1"/>
  </r>
  <r>
    <x v="364"/>
    <x v="8"/>
    <x v="3"/>
    <x v="3"/>
    <x v="1"/>
    <x v="453"/>
    <x v="455"/>
    <x v="2"/>
    <x v="0"/>
    <x v="1"/>
    <x v="1"/>
    <x v="455"/>
    <x v="0"/>
    <x v="0"/>
    <x v="0"/>
    <x v="455"/>
    <x v="21"/>
    <x v="437"/>
    <x v="364"/>
    <x v="362"/>
    <x v="3"/>
    <x v="3"/>
  </r>
  <r>
    <x v="365"/>
    <x v="10"/>
    <x v="2"/>
    <x v="4"/>
    <x v="18"/>
    <x v="454"/>
    <x v="456"/>
    <x v="1"/>
    <x v="0"/>
    <x v="0"/>
    <x v="3"/>
    <x v="456"/>
    <x v="1"/>
    <x v="2"/>
    <x v="1"/>
    <x v="456"/>
    <x v="443"/>
    <x v="438"/>
    <x v="365"/>
    <x v="361"/>
    <x v="3"/>
    <x v="2"/>
  </r>
  <r>
    <x v="350"/>
    <x v="9"/>
    <x v="2"/>
    <x v="6"/>
    <x v="14"/>
    <x v="455"/>
    <x v="457"/>
    <x v="1"/>
    <x v="1"/>
    <x v="3"/>
    <x v="0"/>
    <x v="457"/>
    <x v="0"/>
    <x v="0"/>
    <x v="0"/>
    <x v="457"/>
    <x v="444"/>
    <x v="439"/>
    <x v="350"/>
    <x v="319"/>
    <x v="5"/>
    <x v="2"/>
  </r>
  <r>
    <x v="20"/>
    <x v="3"/>
    <x v="0"/>
    <x v="6"/>
    <x v="8"/>
    <x v="456"/>
    <x v="458"/>
    <x v="2"/>
    <x v="1"/>
    <x v="0"/>
    <x v="2"/>
    <x v="458"/>
    <x v="0"/>
    <x v="3"/>
    <x v="0"/>
    <x v="458"/>
    <x v="445"/>
    <x v="440"/>
    <x v="20"/>
    <x v="117"/>
    <x v="3"/>
    <x v="0"/>
  </r>
  <r>
    <x v="366"/>
    <x v="3"/>
    <x v="2"/>
    <x v="6"/>
    <x v="6"/>
    <x v="457"/>
    <x v="459"/>
    <x v="2"/>
    <x v="0"/>
    <x v="0"/>
    <x v="3"/>
    <x v="459"/>
    <x v="1"/>
    <x v="3"/>
    <x v="0"/>
    <x v="459"/>
    <x v="446"/>
    <x v="441"/>
    <x v="366"/>
    <x v="184"/>
    <x v="8"/>
    <x v="2"/>
  </r>
  <r>
    <x v="367"/>
    <x v="11"/>
    <x v="1"/>
    <x v="0"/>
    <x v="11"/>
    <x v="458"/>
    <x v="460"/>
    <x v="1"/>
    <x v="1"/>
    <x v="1"/>
    <x v="2"/>
    <x v="460"/>
    <x v="1"/>
    <x v="3"/>
    <x v="0"/>
    <x v="460"/>
    <x v="447"/>
    <x v="442"/>
    <x v="367"/>
    <x v="363"/>
    <x v="6"/>
    <x v="1"/>
  </r>
  <r>
    <x v="223"/>
    <x v="4"/>
    <x v="1"/>
    <x v="2"/>
    <x v="5"/>
    <x v="459"/>
    <x v="461"/>
    <x v="1"/>
    <x v="0"/>
    <x v="1"/>
    <x v="5"/>
    <x v="461"/>
    <x v="0"/>
    <x v="1"/>
    <x v="0"/>
    <x v="461"/>
    <x v="448"/>
    <x v="337"/>
    <x v="223"/>
    <x v="364"/>
    <x v="4"/>
    <x v="1"/>
  </r>
  <r>
    <x v="368"/>
    <x v="4"/>
    <x v="4"/>
    <x v="0"/>
    <x v="1"/>
    <x v="460"/>
    <x v="462"/>
    <x v="0"/>
    <x v="0"/>
    <x v="0"/>
    <x v="3"/>
    <x v="462"/>
    <x v="2"/>
    <x v="0"/>
    <x v="0"/>
    <x v="462"/>
    <x v="449"/>
    <x v="443"/>
    <x v="368"/>
    <x v="299"/>
    <x v="3"/>
    <x v="4"/>
  </r>
  <r>
    <x v="47"/>
    <x v="6"/>
    <x v="2"/>
    <x v="2"/>
    <x v="14"/>
    <x v="461"/>
    <x v="463"/>
    <x v="3"/>
    <x v="0"/>
    <x v="2"/>
    <x v="2"/>
    <x v="463"/>
    <x v="4"/>
    <x v="1"/>
    <x v="0"/>
    <x v="463"/>
    <x v="450"/>
    <x v="444"/>
    <x v="47"/>
    <x v="137"/>
    <x v="6"/>
    <x v="2"/>
  </r>
  <r>
    <x v="369"/>
    <x v="2"/>
    <x v="4"/>
    <x v="4"/>
    <x v="14"/>
    <x v="462"/>
    <x v="464"/>
    <x v="3"/>
    <x v="0"/>
    <x v="0"/>
    <x v="3"/>
    <x v="464"/>
    <x v="4"/>
    <x v="1"/>
    <x v="1"/>
    <x v="464"/>
    <x v="451"/>
    <x v="445"/>
    <x v="369"/>
    <x v="365"/>
    <x v="8"/>
    <x v="4"/>
  </r>
  <r>
    <x v="370"/>
    <x v="0"/>
    <x v="1"/>
    <x v="6"/>
    <x v="13"/>
    <x v="463"/>
    <x v="465"/>
    <x v="1"/>
    <x v="1"/>
    <x v="0"/>
    <x v="0"/>
    <x v="465"/>
    <x v="4"/>
    <x v="0"/>
    <x v="0"/>
    <x v="465"/>
    <x v="302"/>
    <x v="446"/>
    <x v="370"/>
    <x v="3"/>
    <x v="2"/>
    <x v="1"/>
  </r>
  <r>
    <x v="371"/>
    <x v="9"/>
    <x v="3"/>
    <x v="1"/>
    <x v="15"/>
    <x v="464"/>
    <x v="466"/>
    <x v="0"/>
    <x v="0"/>
    <x v="2"/>
    <x v="2"/>
    <x v="466"/>
    <x v="4"/>
    <x v="2"/>
    <x v="0"/>
    <x v="466"/>
    <x v="452"/>
    <x v="447"/>
    <x v="371"/>
    <x v="327"/>
    <x v="0"/>
    <x v="3"/>
  </r>
  <r>
    <x v="372"/>
    <x v="5"/>
    <x v="4"/>
    <x v="6"/>
    <x v="16"/>
    <x v="465"/>
    <x v="467"/>
    <x v="2"/>
    <x v="1"/>
    <x v="1"/>
    <x v="0"/>
    <x v="467"/>
    <x v="1"/>
    <x v="2"/>
    <x v="0"/>
    <x v="467"/>
    <x v="453"/>
    <x v="448"/>
    <x v="372"/>
    <x v="349"/>
    <x v="3"/>
    <x v="4"/>
  </r>
  <r>
    <x v="373"/>
    <x v="1"/>
    <x v="3"/>
    <x v="5"/>
    <x v="2"/>
    <x v="466"/>
    <x v="468"/>
    <x v="2"/>
    <x v="0"/>
    <x v="0"/>
    <x v="4"/>
    <x v="468"/>
    <x v="0"/>
    <x v="2"/>
    <x v="1"/>
    <x v="468"/>
    <x v="454"/>
    <x v="449"/>
    <x v="373"/>
    <x v="366"/>
    <x v="8"/>
    <x v="3"/>
  </r>
  <r>
    <x v="165"/>
    <x v="9"/>
    <x v="1"/>
    <x v="5"/>
    <x v="11"/>
    <x v="467"/>
    <x v="469"/>
    <x v="2"/>
    <x v="0"/>
    <x v="3"/>
    <x v="4"/>
    <x v="469"/>
    <x v="4"/>
    <x v="0"/>
    <x v="1"/>
    <x v="469"/>
    <x v="455"/>
    <x v="450"/>
    <x v="165"/>
    <x v="204"/>
    <x v="7"/>
    <x v="1"/>
  </r>
  <r>
    <x v="374"/>
    <x v="10"/>
    <x v="0"/>
    <x v="0"/>
    <x v="5"/>
    <x v="468"/>
    <x v="470"/>
    <x v="2"/>
    <x v="0"/>
    <x v="3"/>
    <x v="1"/>
    <x v="470"/>
    <x v="4"/>
    <x v="1"/>
    <x v="0"/>
    <x v="470"/>
    <x v="456"/>
    <x v="451"/>
    <x v="374"/>
    <x v="176"/>
    <x v="2"/>
    <x v="0"/>
  </r>
  <r>
    <x v="375"/>
    <x v="4"/>
    <x v="4"/>
    <x v="1"/>
    <x v="11"/>
    <x v="469"/>
    <x v="471"/>
    <x v="1"/>
    <x v="1"/>
    <x v="0"/>
    <x v="2"/>
    <x v="471"/>
    <x v="4"/>
    <x v="2"/>
    <x v="0"/>
    <x v="471"/>
    <x v="457"/>
    <x v="452"/>
    <x v="375"/>
    <x v="367"/>
    <x v="5"/>
    <x v="4"/>
  </r>
  <r>
    <x v="376"/>
    <x v="0"/>
    <x v="3"/>
    <x v="5"/>
    <x v="14"/>
    <x v="470"/>
    <x v="472"/>
    <x v="3"/>
    <x v="1"/>
    <x v="1"/>
    <x v="2"/>
    <x v="472"/>
    <x v="4"/>
    <x v="1"/>
    <x v="1"/>
    <x v="472"/>
    <x v="458"/>
    <x v="453"/>
    <x v="376"/>
    <x v="368"/>
    <x v="5"/>
    <x v="3"/>
  </r>
  <r>
    <x v="206"/>
    <x v="9"/>
    <x v="4"/>
    <x v="1"/>
    <x v="3"/>
    <x v="471"/>
    <x v="473"/>
    <x v="0"/>
    <x v="0"/>
    <x v="0"/>
    <x v="3"/>
    <x v="473"/>
    <x v="2"/>
    <x v="2"/>
    <x v="1"/>
    <x v="473"/>
    <x v="459"/>
    <x v="454"/>
    <x v="206"/>
    <x v="347"/>
    <x v="2"/>
    <x v="4"/>
  </r>
  <r>
    <x v="377"/>
    <x v="1"/>
    <x v="4"/>
    <x v="6"/>
    <x v="1"/>
    <x v="472"/>
    <x v="474"/>
    <x v="0"/>
    <x v="0"/>
    <x v="1"/>
    <x v="3"/>
    <x v="474"/>
    <x v="1"/>
    <x v="2"/>
    <x v="0"/>
    <x v="474"/>
    <x v="460"/>
    <x v="455"/>
    <x v="377"/>
    <x v="369"/>
    <x v="1"/>
    <x v="4"/>
  </r>
  <r>
    <x v="378"/>
    <x v="3"/>
    <x v="1"/>
    <x v="6"/>
    <x v="9"/>
    <x v="473"/>
    <x v="475"/>
    <x v="1"/>
    <x v="1"/>
    <x v="2"/>
    <x v="2"/>
    <x v="475"/>
    <x v="4"/>
    <x v="0"/>
    <x v="0"/>
    <x v="475"/>
    <x v="461"/>
    <x v="456"/>
    <x v="378"/>
    <x v="370"/>
    <x v="5"/>
    <x v="1"/>
  </r>
  <r>
    <x v="253"/>
    <x v="6"/>
    <x v="0"/>
    <x v="2"/>
    <x v="0"/>
    <x v="474"/>
    <x v="476"/>
    <x v="1"/>
    <x v="0"/>
    <x v="1"/>
    <x v="4"/>
    <x v="476"/>
    <x v="4"/>
    <x v="2"/>
    <x v="1"/>
    <x v="476"/>
    <x v="462"/>
    <x v="457"/>
    <x v="253"/>
    <x v="59"/>
    <x v="1"/>
    <x v="0"/>
  </r>
  <r>
    <x v="379"/>
    <x v="10"/>
    <x v="3"/>
    <x v="2"/>
    <x v="18"/>
    <x v="475"/>
    <x v="477"/>
    <x v="0"/>
    <x v="1"/>
    <x v="1"/>
    <x v="5"/>
    <x v="477"/>
    <x v="0"/>
    <x v="0"/>
    <x v="0"/>
    <x v="477"/>
    <x v="463"/>
    <x v="458"/>
    <x v="379"/>
    <x v="371"/>
    <x v="4"/>
    <x v="3"/>
  </r>
  <r>
    <x v="286"/>
    <x v="10"/>
    <x v="3"/>
    <x v="4"/>
    <x v="10"/>
    <x v="476"/>
    <x v="478"/>
    <x v="3"/>
    <x v="0"/>
    <x v="3"/>
    <x v="4"/>
    <x v="478"/>
    <x v="4"/>
    <x v="2"/>
    <x v="0"/>
    <x v="478"/>
    <x v="151"/>
    <x v="459"/>
    <x v="286"/>
    <x v="372"/>
    <x v="7"/>
    <x v="3"/>
  </r>
  <r>
    <x v="26"/>
    <x v="3"/>
    <x v="0"/>
    <x v="1"/>
    <x v="17"/>
    <x v="477"/>
    <x v="479"/>
    <x v="0"/>
    <x v="0"/>
    <x v="1"/>
    <x v="5"/>
    <x v="479"/>
    <x v="4"/>
    <x v="0"/>
    <x v="0"/>
    <x v="479"/>
    <x v="464"/>
    <x v="460"/>
    <x v="26"/>
    <x v="194"/>
    <x v="4"/>
    <x v="0"/>
  </r>
  <r>
    <x v="380"/>
    <x v="3"/>
    <x v="2"/>
    <x v="3"/>
    <x v="12"/>
    <x v="478"/>
    <x v="480"/>
    <x v="1"/>
    <x v="1"/>
    <x v="1"/>
    <x v="0"/>
    <x v="480"/>
    <x v="0"/>
    <x v="2"/>
    <x v="0"/>
    <x v="480"/>
    <x v="465"/>
    <x v="461"/>
    <x v="380"/>
    <x v="373"/>
    <x v="3"/>
    <x v="2"/>
  </r>
  <r>
    <x v="381"/>
    <x v="10"/>
    <x v="2"/>
    <x v="4"/>
    <x v="4"/>
    <x v="479"/>
    <x v="481"/>
    <x v="3"/>
    <x v="0"/>
    <x v="0"/>
    <x v="3"/>
    <x v="481"/>
    <x v="2"/>
    <x v="0"/>
    <x v="0"/>
    <x v="481"/>
    <x v="466"/>
    <x v="462"/>
    <x v="381"/>
    <x v="374"/>
    <x v="6"/>
    <x v="2"/>
  </r>
  <r>
    <x v="131"/>
    <x v="7"/>
    <x v="4"/>
    <x v="5"/>
    <x v="11"/>
    <x v="480"/>
    <x v="482"/>
    <x v="1"/>
    <x v="0"/>
    <x v="3"/>
    <x v="3"/>
    <x v="482"/>
    <x v="1"/>
    <x v="0"/>
    <x v="0"/>
    <x v="482"/>
    <x v="467"/>
    <x v="463"/>
    <x v="131"/>
    <x v="375"/>
    <x v="5"/>
    <x v="4"/>
  </r>
  <r>
    <x v="382"/>
    <x v="8"/>
    <x v="4"/>
    <x v="4"/>
    <x v="19"/>
    <x v="481"/>
    <x v="483"/>
    <x v="0"/>
    <x v="1"/>
    <x v="0"/>
    <x v="4"/>
    <x v="483"/>
    <x v="2"/>
    <x v="2"/>
    <x v="0"/>
    <x v="483"/>
    <x v="468"/>
    <x v="464"/>
    <x v="382"/>
    <x v="78"/>
    <x v="3"/>
    <x v="4"/>
  </r>
  <r>
    <x v="50"/>
    <x v="4"/>
    <x v="2"/>
    <x v="5"/>
    <x v="5"/>
    <x v="482"/>
    <x v="484"/>
    <x v="3"/>
    <x v="1"/>
    <x v="1"/>
    <x v="0"/>
    <x v="484"/>
    <x v="4"/>
    <x v="1"/>
    <x v="0"/>
    <x v="484"/>
    <x v="469"/>
    <x v="465"/>
    <x v="50"/>
    <x v="376"/>
    <x v="7"/>
    <x v="2"/>
  </r>
  <r>
    <x v="383"/>
    <x v="0"/>
    <x v="0"/>
    <x v="6"/>
    <x v="14"/>
    <x v="483"/>
    <x v="485"/>
    <x v="2"/>
    <x v="1"/>
    <x v="0"/>
    <x v="5"/>
    <x v="485"/>
    <x v="3"/>
    <x v="0"/>
    <x v="0"/>
    <x v="485"/>
    <x v="470"/>
    <x v="466"/>
    <x v="383"/>
    <x v="377"/>
    <x v="3"/>
    <x v="0"/>
  </r>
  <r>
    <x v="384"/>
    <x v="8"/>
    <x v="4"/>
    <x v="4"/>
    <x v="11"/>
    <x v="484"/>
    <x v="486"/>
    <x v="1"/>
    <x v="0"/>
    <x v="0"/>
    <x v="1"/>
    <x v="486"/>
    <x v="3"/>
    <x v="0"/>
    <x v="1"/>
    <x v="486"/>
    <x v="471"/>
    <x v="467"/>
    <x v="384"/>
    <x v="40"/>
    <x v="6"/>
    <x v="4"/>
  </r>
  <r>
    <x v="385"/>
    <x v="11"/>
    <x v="4"/>
    <x v="1"/>
    <x v="10"/>
    <x v="485"/>
    <x v="487"/>
    <x v="1"/>
    <x v="1"/>
    <x v="3"/>
    <x v="4"/>
    <x v="487"/>
    <x v="3"/>
    <x v="2"/>
    <x v="1"/>
    <x v="487"/>
    <x v="472"/>
    <x v="468"/>
    <x v="385"/>
    <x v="351"/>
    <x v="6"/>
    <x v="4"/>
  </r>
  <r>
    <x v="386"/>
    <x v="5"/>
    <x v="0"/>
    <x v="0"/>
    <x v="12"/>
    <x v="486"/>
    <x v="488"/>
    <x v="3"/>
    <x v="0"/>
    <x v="2"/>
    <x v="2"/>
    <x v="488"/>
    <x v="4"/>
    <x v="2"/>
    <x v="0"/>
    <x v="488"/>
    <x v="473"/>
    <x v="469"/>
    <x v="386"/>
    <x v="378"/>
    <x v="0"/>
    <x v="0"/>
  </r>
  <r>
    <x v="54"/>
    <x v="3"/>
    <x v="0"/>
    <x v="1"/>
    <x v="7"/>
    <x v="487"/>
    <x v="489"/>
    <x v="0"/>
    <x v="1"/>
    <x v="1"/>
    <x v="1"/>
    <x v="489"/>
    <x v="3"/>
    <x v="0"/>
    <x v="0"/>
    <x v="489"/>
    <x v="474"/>
    <x v="470"/>
    <x v="54"/>
    <x v="379"/>
    <x v="7"/>
    <x v="0"/>
  </r>
  <r>
    <x v="387"/>
    <x v="4"/>
    <x v="4"/>
    <x v="2"/>
    <x v="16"/>
    <x v="488"/>
    <x v="490"/>
    <x v="0"/>
    <x v="1"/>
    <x v="1"/>
    <x v="0"/>
    <x v="490"/>
    <x v="2"/>
    <x v="0"/>
    <x v="0"/>
    <x v="490"/>
    <x v="475"/>
    <x v="321"/>
    <x v="387"/>
    <x v="144"/>
    <x v="3"/>
    <x v="4"/>
  </r>
  <r>
    <x v="388"/>
    <x v="1"/>
    <x v="0"/>
    <x v="3"/>
    <x v="10"/>
    <x v="489"/>
    <x v="491"/>
    <x v="3"/>
    <x v="0"/>
    <x v="2"/>
    <x v="2"/>
    <x v="491"/>
    <x v="4"/>
    <x v="2"/>
    <x v="0"/>
    <x v="491"/>
    <x v="476"/>
    <x v="471"/>
    <x v="388"/>
    <x v="380"/>
    <x v="4"/>
    <x v="0"/>
  </r>
  <r>
    <x v="389"/>
    <x v="3"/>
    <x v="3"/>
    <x v="3"/>
    <x v="16"/>
    <x v="490"/>
    <x v="492"/>
    <x v="1"/>
    <x v="0"/>
    <x v="3"/>
    <x v="4"/>
    <x v="492"/>
    <x v="2"/>
    <x v="0"/>
    <x v="0"/>
    <x v="492"/>
    <x v="446"/>
    <x v="472"/>
    <x v="389"/>
    <x v="244"/>
    <x v="5"/>
    <x v="3"/>
  </r>
  <r>
    <x v="8"/>
    <x v="5"/>
    <x v="4"/>
    <x v="5"/>
    <x v="8"/>
    <x v="491"/>
    <x v="493"/>
    <x v="2"/>
    <x v="1"/>
    <x v="3"/>
    <x v="5"/>
    <x v="493"/>
    <x v="3"/>
    <x v="1"/>
    <x v="0"/>
    <x v="493"/>
    <x v="477"/>
    <x v="473"/>
    <x v="8"/>
    <x v="378"/>
    <x v="8"/>
    <x v="4"/>
  </r>
  <r>
    <x v="187"/>
    <x v="4"/>
    <x v="0"/>
    <x v="0"/>
    <x v="3"/>
    <x v="492"/>
    <x v="494"/>
    <x v="3"/>
    <x v="0"/>
    <x v="2"/>
    <x v="4"/>
    <x v="494"/>
    <x v="0"/>
    <x v="0"/>
    <x v="0"/>
    <x v="494"/>
    <x v="478"/>
    <x v="474"/>
    <x v="187"/>
    <x v="187"/>
    <x v="0"/>
    <x v="0"/>
  </r>
  <r>
    <x v="390"/>
    <x v="5"/>
    <x v="3"/>
    <x v="0"/>
    <x v="17"/>
    <x v="493"/>
    <x v="495"/>
    <x v="1"/>
    <x v="0"/>
    <x v="1"/>
    <x v="4"/>
    <x v="495"/>
    <x v="2"/>
    <x v="3"/>
    <x v="0"/>
    <x v="495"/>
    <x v="479"/>
    <x v="475"/>
    <x v="390"/>
    <x v="381"/>
    <x v="5"/>
    <x v="3"/>
  </r>
  <r>
    <x v="321"/>
    <x v="9"/>
    <x v="0"/>
    <x v="2"/>
    <x v="13"/>
    <x v="494"/>
    <x v="496"/>
    <x v="3"/>
    <x v="1"/>
    <x v="1"/>
    <x v="1"/>
    <x v="496"/>
    <x v="4"/>
    <x v="2"/>
    <x v="0"/>
    <x v="496"/>
    <x v="480"/>
    <x v="476"/>
    <x v="321"/>
    <x v="382"/>
    <x v="4"/>
    <x v="0"/>
  </r>
  <r>
    <x v="391"/>
    <x v="3"/>
    <x v="1"/>
    <x v="6"/>
    <x v="14"/>
    <x v="495"/>
    <x v="497"/>
    <x v="2"/>
    <x v="0"/>
    <x v="3"/>
    <x v="4"/>
    <x v="497"/>
    <x v="1"/>
    <x v="1"/>
    <x v="0"/>
    <x v="497"/>
    <x v="481"/>
    <x v="477"/>
    <x v="391"/>
    <x v="383"/>
    <x v="8"/>
    <x v="1"/>
  </r>
  <r>
    <x v="236"/>
    <x v="8"/>
    <x v="3"/>
    <x v="1"/>
    <x v="18"/>
    <x v="496"/>
    <x v="498"/>
    <x v="1"/>
    <x v="1"/>
    <x v="2"/>
    <x v="5"/>
    <x v="498"/>
    <x v="4"/>
    <x v="1"/>
    <x v="0"/>
    <x v="498"/>
    <x v="482"/>
    <x v="55"/>
    <x v="236"/>
    <x v="101"/>
    <x v="7"/>
    <x v="3"/>
  </r>
  <r>
    <x v="392"/>
    <x v="3"/>
    <x v="3"/>
    <x v="0"/>
    <x v="3"/>
    <x v="497"/>
    <x v="499"/>
    <x v="2"/>
    <x v="0"/>
    <x v="1"/>
    <x v="4"/>
    <x v="499"/>
    <x v="4"/>
    <x v="2"/>
    <x v="0"/>
    <x v="499"/>
    <x v="223"/>
    <x v="478"/>
    <x v="392"/>
    <x v="384"/>
    <x v="1"/>
    <x v="3"/>
  </r>
  <r>
    <x v="393"/>
    <x v="7"/>
    <x v="0"/>
    <x v="4"/>
    <x v="7"/>
    <x v="498"/>
    <x v="500"/>
    <x v="3"/>
    <x v="0"/>
    <x v="2"/>
    <x v="0"/>
    <x v="500"/>
    <x v="1"/>
    <x v="3"/>
    <x v="0"/>
    <x v="500"/>
    <x v="483"/>
    <x v="479"/>
    <x v="393"/>
    <x v="385"/>
    <x v="8"/>
    <x v="0"/>
  </r>
  <r>
    <x v="274"/>
    <x v="0"/>
    <x v="2"/>
    <x v="0"/>
    <x v="1"/>
    <x v="499"/>
    <x v="501"/>
    <x v="0"/>
    <x v="1"/>
    <x v="0"/>
    <x v="1"/>
    <x v="501"/>
    <x v="1"/>
    <x v="2"/>
    <x v="0"/>
    <x v="501"/>
    <x v="484"/>
    <x v="480"/>
    <x v="274"/>
    <x v="386"/>
    <x v="5"/>
    <x v="2"/>
  </r>
  <r>
    <x v="65"/>
    <x v="8"/>
    <x v="4"/>
    <x v="0"/>
    <x v="6"/>
    <x v="500"/>
    <x v="502"/>
    <x v="3"/>
    <x v="1"/>
    <x v="0"/>
    <x v="2"/>
    <x v="502"/>
    <x v="2"/>
    <x v="2"/>
    <x v="1"/>
    <x v="502"/>
    <x v="485"/>
    <x v="181"/>
    <x v="65"/>
    <x v="362"/>
    <x v="1"/>
    <x v="4"/>
  </r>
  <r>
    <x v="21"/>
    <x v="6"/>
    <x v="4"/>
    <x v="0"/>
    <x v="14"/>
    <x v="501"/>
    <x v="503"/>
    <x v="2"/>
    <x v="1"/>
    <x v="2"/>
    <x v="3"/>
    <x v="503"/>
    <x v="3"/>
    <x v="0"/>
    <x v="0"/>
    <x v="503"/>
    <x v="486"/>
    <x v="481"/>
    <x v="21"/>
    <x v="387"/>
    <x v="6"/>
    <x v="4"/>
  </r>
  <r>
    <x v="394"/>
    <x v="7"/>
    <x v="1"/>
    <x v="0"/>
    <x v="9"/>
    <x v="502"/>
    <x v="504"/>
    <x v="3"/>
    <x v="0"/>
    <x v="1"/>
    <x v="2"/>
    <x v="504"/>
    <x v="2"/>
    <x v="1"/>
    <x v="0"/>
    <x v="504"/>
    <x v="487"/>
    <x v="482"/>
    <x v="394"/>
    <x v="388"/>
    <x v="4"/>
    <x v="1"/>
  </r>
  <r>
    <x v="272"/>
    <x v="5"/>
    <x v="0"/>
    <x v="1"/>
    <x v="16"/>
    <x v="503"/>
    <x v="505"/>
    <x v="0"/>
    <x v="1"/>
    <x v="1"/>
    <x v="0"/>
    <x v="505"/>
    <x v="2"/>
    <x v="2"/>
    <x v="1"/>
    <x v="505"/>
    <x v="488"/>
    <x v="483"/>
    <x v="272"/>
    <x v="294"/>
    <x v="5"/>
    <x v="0"/>
  </r>
  <r>
    <x v="261"/>
    <x v="3"/>
    <x v="3"/>
    <x v="6"/>
    <x v="9"/>
    <x v="504"/>
    <x v="506"/>
    <x v="2"/>
    <x v="1"/>
    <x v="2"/>
    <x v="3"/>
    <x v="506"/>
    <x v="3"/>
    <x v="2"/>
    <x v="0"/>
    <x v="506"/>
    <x v="489"/>
    <x v="484"/>
    <x v="261"/>
    <x v="389"/>
    <x v="0"/>
    <x v="3"/>
  </r>
  <r>
    <x v="395"/>
    <x v="5"/>
    <x v="4"/>
    <x v="0"/>
    <x v="17"/>
    <x v="505"/>
    <x v="507"/>
    <x v="1"/>
    <x v="1"/>
    <x v="0"/>
    <x v="0"/>
    <x v="507"/>
    <x v="4"/>
    <x v="2"/>
    <x v="0"/>
    <x v="507"/>
    <x v="76"/>
    <x v="485"/>
    <x v="395"/>
    <x v="390"/>
    <x v="5"/>
    <x v="4"/>
  </r>
  <r>
    <x v="396"/>
    <x v="3"/>
    <x v="3"/>
    <x v="4"/>
    <x v="7"/>
    <x v="506"/>
    <x v="508"/>
    <x v="3"/>
    <x v="1"/>
    <x v="1"/>
    <x v="1"/>
    <x v="508"/>
    <x v="4"/>
    <x v="0"/>
    <x v="1"/>
    <x v="508"/>
    <x v="490"/>
    <x v="486"/>
    <x v="396"/>
    <x v="391"/>
    <x v="1"/>
    <x v="3"/>
  </r>
  <r>
    <x v="397"/>
    <x v="1"/>
    <x v="0"/>
    <x v="0"/>
    <x v="2"/>
    <x v="507"/>
    <x v="509"/>
    <x v="3"/>
    <x v="0"/>
    <x v="1"/>
    <x v="5"/>
    <x v="509"/>
    <x v="2"/>
    <x v="3"/>
    <x v="0"/>
    <x v="509"/>
    <x v="491"/>
    <x v="487"/>
    <x v="397"/>
    <x v="392"/>
    <x v="5"/>
    <x v="0"/>
  </r>
  <r>
    <x v="398"/>
    <x v="7"/>
    <x v="4"/>
    <x v="5"/>
    <x v="6"/>
    <x v="508"/>
    <x v="510"/>
    <x v="2"/>
    <x v="0"/>
    <x v="0"/>
    <x v="4"/>
    <x v="510"/>
    <x v="2"/>
    <x v="0"/>
    <x v="0"/>
    <x v="510"/>
    <x v="492"/>
    <x v="488"/>
    <x v="398"/>
    <x v="52"/>
    <x v="2"/>
    <x v="4"/>
  </r>
  <r>
    <x v="59"/>
    <x v="4"/>
    <x v="2"/>
    <x v="3"/>
    <x v="5"/>
    <x v="509"/>
    <x v="511"/>
    <x v="0"/>
    <x v="1"/>
    <x v="2"/>
    <x v="2"/>
    <x v="511"/>
    <x v="0"/>
    <x v="3"/>
    <x v="0"/>
    <x v="511"/>
    <x v="493"/>
    <x v="489"/>
    <x v="59"/>
    <x v="344"/>
    <x v="0"/>
    <x v="2"/>
  </r>
  <r>
    <x v="371"/>
    <x v="9"/>
    <x v="2"/>
    <x v="0"/>
    <x v="6"/>
    <x v="510"/>
    <x v="512"/>
    <x v="2"/>
    <x v="1"/>
    <x v="2"/>
    <x v="0"/>
    <x v="512"/>
    <x v="2"/>
    <x v="3"/>
    <x v="0"/>
    <x v="512"/>
    <x v="494"/>
    <x v="274"/>
    <x v="371"/>
    <x v="65"/>
    <x v="7"/>
    <x v="2"/>
  </r>
  <r>
    <x v="399"/>
    <x v="6"/>
    <x v="0"/>
    <x v="5"/>
    <x v="3"/>
    <x v="511"/>
    <x v="513"/>
    <x v="3"/>
    <x v="1"/>
    <x v="2"/>
    <x v="4"/>
    <x v="513"/>
    <x v="0"/>
    <x v="3"/>
    <x v="0"/>
    <x v="513"/>
    <x v="495"/>
    <x v="490"/>
    <x v="399"/>
    <x v="393"/>
    <x v="8"/>
    <x v="0"/>
  </r>
  <r>
    <x v="400"/>
    <x v="2"/>
    <x v="2"/>
    <x v="0"/>
    <x v="2"/>
    <x v="512"/>
    <x v="514"/>
    <x v="2"/>
    <x v="0"/>
    <x v="1"/>
    <x v="0"/>
    <x v="514"/>
    <x v="2"/>
    <x v="3"/>
    <x v="1"/>
    <x v="514"/>
    <x v="496"/>
    <x v="491"/>
    <x v="400"/>
    <x v="394"/>
    <x v="1"/>
    <x v="2"/>
  </r>
  <r>
    <x v="67"/>
    <x v="9"/>
    <x v="0"/>
    <x v="4"/>
    <x v="12"/>
    <x v="513"/>
    <x v="515"/>
    <x v="2"/>
    <x v="0"/>
    <x v="0"/>
    <x v="2"/>
    <x v="515"/>
    <x v="2"/>
    <x v="0"/>
    <x v="1"/>
    <x v="515"/>
    <x v="284"/>
    <x v="214"/>
    <x v="67"/>
    <x v="327"/>
    <x v="4"/>
    <x v="0"/>
  </r>
  <r>
    <x v="163"/>
    <x v="3"/>
    <x v="3"/>
    <x v="0"/>
    <x v="16"/>
    <x v="514"/>
    <x v="516"/>
    <x v="3"/>
    <x v="1"/>
    <x v="3"/>
    <x v="3"/>
    <x v="516"/>
    <x v="3"/>
    <x v="0"/>
    <x v="0"/>
    <x v="516"/>
    <x v="497"/>
    <x v="492"/>
    <x v="163"/>
    <x v="395"/>
    <x v="6"/>
    <x v="3"/>
  </r>
  <r>
    <x v="15"/>
    <x v="2"/>
    <x v="3"/>
    <x v="4"/>
    <x v="6"/>
    <x v="515"/>
    <x v="517"/>
    <x v="2"/>
    <x v="1"/>
    <x v="2"/>
    <x v="3"/>
    <x v="517"/>
    <x v="0"/>
    <x v="3"/>
    <x v="0"/>
    <x v="517"/>
    <x v="498"/>
    <x v="493"/>
    <x v="15"/>
    <x v="396"/>
    <x v="1"/>
    <x v="3"/>
  </r>
  <r>
    <x v="16"/>
    <x v="0"/>
    <x v="3"/>
    <x v="5"/>
    <x v="6"/>
    <x v="516"/>
    <x v="518"/>
    <x v="2"/>
    <x v="1"/>
    <x v="1"/>
    <x v="4"/>
    <x v="518"/>
    <x v="1"/>
    <x v="0"/>
    <x v="0"/>
    <x v="518"/>
    <x v="499"/>
    <x v="494"/>
    <x v="16"/>
    <x v="16"/>
    <x v="7"/>
    <x v="3"/>
  </r>
  <r>
    <x v="401"/>
    <x v="7"/>
    <x v="1"/>
    <x v="0"/>
    <x v="15"/>
    <x v="517"/>
    <x v="519"/>
    <x v="1"/>
    <x v="1"/>
    <x v="0"/>
    <x v="5"/>
    <x v="519"/>
    <x v="3"/>
    <x v="0"/>
    <x v="0"/>
    <x v="519"/>
    <x v="500"/>
    <x v="111"/>
    <x v="401"/>
    <x v="375"/>
    <x v="6"/>
    <x v="1"/>
  </r>
  <r>
    <x v="402"/>
    <x v="6"/>
    <x v="0"/>
    <x v="0"/>
    <x v="16"/>
    <x v="518"/>
    <x v="520"/>
    <x v="0"/>
    <x v="1"/>
    <x v="2"/>
    <x v="0"/>
    <x v="520"/>
    <x v="0"/>
    <x v="3"/>
    <x v="1"/>
    <x v="520"/>
    <x v="501"/>
    <x v="495"/>
    <x v="402"/>
    <x v="9"/>
    <x v="4"/>
    <x v="0"/>
  </r>
  <r>
    <x v="148"/>
    <x v="3"/>
    <x v="0"/>
    <x v="1"/>
    <x v="13"/>
    <x v="519"/>
    <x v="521"/>
    <x v="1"/>
    <x v="0"/>
    <x v="3"/>
    <x v="0"/>
    <x v="521"/>
    <x v="4"/>
    <x v="3"/>
    <x v="0"/>
    <x v="521"/>
    <x v="502"/>
    <x v="496"/>
    <x v="148"/>
    <x v="397"/>
    <x v="3"/>
    <x v="0"/>
  </r>
  <r>
    <x v="403"/>
    <x v="3"/>
    <x v="2"/>
    <x v="3"/>
    <x v="11"/>
    <x v="520"/>
    <x v="522"/>
    <x v="2"/>
    <x v="0"/>
    <x v="3"/>
    <x v="2"/>
    <x v="522"/>
    <x v="1"/>
    <x v="0"/>
    <x v="1"/>
    <x v="522"/>
    <x v="503"/>
    <x v="497"/>
    <x v="403"/>
    <x v="398"/>
    <x v="7"/>
    <x v="2"/>
  </r>
  <r>
    <x v="404"/>
    <x v="11"/>
    <x v="1"/>
    <x v="0"/>
    <x v="18"/>
    <x v="521"/>
    <x v="523"/>
    <x v="3"/>
    <x v="0"/>
    <x v="2"/>
    <x v="1"/>
    <x v="523"/>
    <x v="4"/>
    <x v="0"/>
    <x v="0"/>
    <x v="523"/>
    <x v="504"/>
    <x v="498"/>
    <x v="404"/>
    <x v="399"/>
    <x v="0"/>
    <x v="1"/>
  </r>
  <r>
    <x v="405"/>
    <x v="4"/>
    <x v="1"/>
    <x v="0"/>
    <x v="16"/>
    <x v="522"/>
    <x v="524"/>
    <x v="0"/>
    <x v="1"/>
    <x v="1"/>
    <x v="1"/>
    <x v="524"/>
    <x v="4"/>
    <x v="3"/>
    <x v="0"/>
    <x v="524"/>
    <x v="505"/>
    <x v="499"/>
    <x v="405"/>
    <x v="400"/>
    <x v="6"/>
    <x v="1"/>
  </r>
  <r>
    <x v="314"/>
    <x v="6"/>
    <x v="1"/>
    <x v="1"/>
    <x v="1"/>
    <x v="523"/>
    <x v="525"/>
    <x v="1"/>
    <x v="0"/>
    <x v="2"/>
    <x v="3"/>
    <x v="525"/>
    <x v="4"/>
    <x v="0"/>
    <x v="0"/>
    <x v="525"/>
    <x v="506"/>
    <x v="500"/>
    <x v="314"/>
    <x v="401"/>
    <x v="2"/>
    <x v="1"/>
  </r>
  <r>
    <x v="406"/>
    <x v="9"/>
    <x v="1"/>
    <x v="1"/>
    <x v="14"/>
    <x v="524"/>
    <x v="526"/>
    <x v="0"/>
    <x v="1"/>
    <x v="0"/>
    <x v="2"/>
    <x v="526"/>
    <x v="0"/>
    <x v="3"/>
    <x v="0"/>
    <x v="526"/>
    <x v="320"/>
    <x v="501"/>
    <x v="406"/>
    <x v="402"/>
    <x v="6"/>
    <x v="1"/>
  </r>
  <r>
    <x v="407"/>
    <x v="8"/>
    <x v="2"/>
    <x v="3"/>
    <x v="5"/>
    <x v="525"/>
    <x v="527"/>
    <x v="3"/>
    <x v="1"/>
    <x v="2"/>
    <x v="0"/>
    <x v="527"/>
    <x v="2"/>
    <x v="1"/>
    <x v="0"/>
    <x v="527"/>
    <x v="507"/>
    <x v="502"/>
    <x v="407"/>
    <x v="246"/>
    <x v="4"/>
    <x v="2"/>
  </r>
  <r>
    <x v="408"/>
    <x v="5"/>
    <x v="4"/>
    <x v="4"/>
    <x v="8"/>
    <x v="526"/>
    <x v="528"/>
    <x v="3"/>
    <x v="1"/>
    <x v="3"/>
    <x v="1"/>
    <x v="528"/>
    <x v="3"/>
    <x v="2"/>
    <x v="0"/>
    <x v="528"/>
    <x v="508"/>
    <x v="503"/>
    <x v="408"/>
    <x v="403"/>
    <x v="3"/>
    <x v="4"/>
  </r>
  <r>
    <x v="409"/>
    <x v="7"/>
    <x v="2"/>
    <x v="3"/>
    <x v="4"/>
    <x v="527"/>
    <x v="529"/>
    <x v="2"/>
    <x v="1"/>
    <x v="1"/>
    <x v="5"/>
    <x v="529"/>
    <x v="4"/>
    <x v="2"/>
    <x v="1"/>
    <x v="529"/>
    <x v="509"/>
    <x v="504"/>
    <x v="409"/>
    <x v="404"/>
    <x v="5"/>
    <x v="2"/>
  </r>
  <r>
    <x v="410"/>
    <x v="3"/>
    <x v="0"/>
    <x v="0"/>
    <x v="1"/>
    <x v="528"/>
    <x v="530"/>
    <x v="1"/>
    <x v="0"/>
    <x v="2"/>
    <x v="1"/>
    <x v="530"/>
    <x v="3"/>
    <x v="1"/>
    <x v="0"/>
    <x v="530"/>
    <x v="131"/>
    <x v="505"/>
    <x v="410"/>
    <x v="405"/>
    <x v="8"/>
    <x v="0"/>
  </r>
  <r>
    <x v="187"/>
    <x v="4"/>
    <x v="4"/>
    <x v="1"/>
    <x v="18"/>
    <x v="529"/>
    <x v="531"/>
    <x v="1"/>
    <x v="1"/>
    <x v="2"/>
    <x v="5"/>
    <x v="531"/>
    <x v="2"/>
    <x v="1"/>
    <x v="0"/>
    <x v="531"/>
    <x v="510"/>
    <x v="506"/>
    <x v="187"/>
    <x v="344"/>
    <x v="7"/>
    <x v="4"/>
  </r>
  <r>
    <x v="208"/>
    <x v="9"/>
    <x v="3"/>
    <x v="5"/>
    <x v="9"/>
    <x v="530"/>
    <x v="532"/>
    <x v="3"/>
    <x v="1"/>
    <x v="3"/>
    <x v="3"/>
    <x v="532"/>
    <x v="0"/>
    <x v="0"/>
    <x v="0"/>
    <x v="532"/>
    <x v="511"/>
    <x v="507"/>
    <x v="208"/>
    <x v="323"/>
    <x v="5"/>
    <x v="3"/>
  </r>
  <r>
    <x v="223"/>
    <x v="4"/>
    <x v="4"/>
    <x v="6"/>
    <x v="14"/>
    <x v="531"/>
    <x v="533"/>
    <x v="1"/>
    <x v="1"/>
    <x v="2"/>
    <x v="1"/>
    <x v="533"/>
    <x v="0"/>
    <x v="3"/>
    <x v="0"/>
    <x v="533"/>
    <x v="512"/>
    <x v="508"/>
    <x v="223"/>
    <x v="74"/>
    <x v="0"/>
    <x v="4"/>
  </r>
  <r>
    <x v="173"/>
    <x v="7"/>
    <x v="3"/>
    <x v="6"/>
    <x v="5"/>
    <x v="532"/>
    <x v="534"/>
    <x v="3"/>
    <x v="0"/>
    <x v="0"/>
    <x v="1"/>
    <x v="534"/>
    <x v="1"/>
    <x v="0"/>
    <x v="0"/>
    <x v="534"/>
    <x v="513"/>
    <x v="509"/>
    <x v="173"/>
    <x v="10"/>
    <x v="5"/>
    <x v="3"/>
  </r>
  <r>
    <x v="50"/>
    <x v="4"/>
    <x v="2"/>
    <x v="2"/>
    <x v="13"/>
    <x v="533"/>
    <x v="535"/>
    <x v="1"/>
    <x v="1"/>
    <x v="0"/>
    <x v="2"/>
    <x v="535"/>
    <x v="2"/>
    <x v="2"/>
    <x v="0"/>
    <x v="535"/>
    <x v="514"/>
    <x v="510"/>
    <x v="50"/>
    <x v="406"/>
    <x v="5"/>
    <x v="2"/>
  </r>
  <r>
    <x v="309"/>
    <x v="11"/>
    <x v="0"/>
    <x v="3"/>
    <x v="2"/>
    <x v="534"/>
    <x v="536"/>
    <x v="3"/>
    <x v="0"/>
    <x v="0"/>
    <x v="5"/>
    <x v="536"/>
    <x v="0"/>
    <x v="0"/>
    <x v="0"/>
    <x v="536"/>
    <x v="515"/>
    <x v="511"/>
    <x v="309"/>
    <x v="407"/>
    <x v="6"/>
    <x v="0"/>
  </r>
  <r>
    <x v="411"/>
    <x v="4"/>
    <x v="0"/>
    <x v="4"/>
    <x v="19"/>
    <x v="535"/>
    <x v="537"/>
    <x v="2"/>
    <x v="1"/>
    <x v="1"/>
    <x v="2"/>
    <x v="537"/>
    <x v="3"/>
    <x v="2"/>
    <x v="0"/>
    <x v="537"/>
    <x v="516"/>
    <x v="512"/>
    <x v="411"/>
    <x v="408"/>
    <x v="8"/>
    <x v="0"/>
  </r>
  <r>
    <x v="412"/>
    <x v="4"/>
    <x v="2"/>
    <x v="4"/>
    <x v="0"/>
    <x v="536"/>
    <x v="538"/>
    <x v="1"/>
    <x v="0"/>
    <x v="2"/>
    <x v="4"/>
    <x v="538"/>
    <x v="1"/>
    <x v="1"/>
    <x v="0"/>
    <x v="538"/>
    <x v="517"/>
    <x v="269"/>
    <x v="412"/>
    <x v="409"/>
    <x v="3"/>
    <x v="2"/>
  </r>
  <r>
    <x v="413"/>
    <x v="7"/>
    <x v="3"/>
    <x v="0"/>
    <x v="12"/>
    <x v="537"/>
    <x v="539"/>
    <x v="3"/>
    <x v="0"/>
    <x v="3"/>
    <x v="3"/>
    <x v="539"/>
    <x v="1"/>
    <x v="1"/>
    <x v="0"/>
    <x v="539"/>
    <x v="518"/>
    <x v="513"/>
    <x v="413"/>
    <x v="140"/>
    <x v="6"/>
    <x v="3"/>
  </r>
  <r>
    <x v="178"/>
    <x v="7"/>
    <x v="3"/>
    <x v="0"/>
    <x v="17"/>
    <x v="538"/>
    <x v="540"/>
    <x v="2"/>
    <x v="0"/>
    <x v="0"/>
    <x v="3"/>
    <x v="540"/>
    <x v="0"/>
    <x v="3"/>
    <x v="0"/>
    <x v="540"/>
    <x v="519"/>
    <x v="514"/>
    <x v="178"/>
    <x v="317"/>
    <x v="0"/>
    <x v="3"/>
  </r>
  <r>
    <x v="414"/>
    <x v="8"/>
    <x v="2"/>
    <x v="1"/>
    <x v="15"/>
    <x v="266"/>
    <x v="541"/>
    <x v="2"/>
    <x v="1"/>
    <x v="2"/>
    <x v="3"/>
    <x v="541"/>
    <x v="3"/>
    <x v="3"/>
    <x v="0"/>
    <x v="541"/>
    <x v="520"/>
    <x v="515"/>
    <x v="414"/>
    <x v="307"/>
    <x v="5"/>
    <x v="2"/>
  </r>
  <r>
    <x v="415"/>
    <x v="0"/>
    <x v="3"/>
    <x v="4"/>
    <x v="0"/>
    <x v="539"/>
    <x v="542"/>
    <x v="1"/>
    <x v="1"/>
    <x v="0"/>
    <x v="2"/>
    <x v="542"/>
    <x v="0"/>
    <x v="0"/>
    <x v="0"/>
    <x v="542"/>
    <x v="521"/>
    <x v="516"/>
    <x v="415"/>
    <x v="410"/>
    <x v="7"/>
    <x v="3"/>
  </r>
  <r>
    <x v="109"/>
    <x v="4"/>
    <x v="1"/>
    <x v="4"/>
    <x v="17"/>
    <x v="540"/>
    <x v="543"/>
    <x v="1"/>
    <x v="0"/>
    <x v="3"/>
    <x v="4"/>
    <x v="543"/>
    <x v="1"/>
    <x v="0"/>
    <x v="0"/>
    <x v="543"/>
    <x v="522"/>
    <x v="517"/>
    <x v="109"/>
    <x v="411"/>
    <x v="5"/>
    <x v="1"/>
  </r>
  <r>
    <x v="214"/>
    <x v="6"/>
    <x v="3"/>
    <x v="0"/>
    <x v="4"/>
    <x v="541"/>
    <x v="544"/>
    <x v="3"/>
    <x v="1"/>
    <x v="0"/>
    <x v="2"/>
    <x v="544"/>
    <x v="3"/>
    <x v="3"/>
    <x v="1"/>
    <x v="544"/>
    <x v="523"/>
    <x v="486"/>
    <x v="214"/>
    <x v="100"/>
    <x v="1"/>
    <x v="3"/>
  </r>
  <r>
    <x v="416"/>
    <x v="3"/>
    <x v="2"/>
    <x v="2"/>
    <x v="7"/>
    <x v="542"/>
    <x v="545"/>
    <x v="3"/>
    <x v="1"/>
    <x v="2"/>
    <x v="5"/>
    <x v="545"/>
    <x v="4"/>
    <x v="0"/>
    <x v="0"/>
    <x v="545"/>
    <x v="524"/>
    <x v="518"/>
    <x v="416"/>
    <x v="4"/>
    <x v="4"/>
    <x v="2"/>
  </r>
  <r>
    <x v="417"/>
    <x v="7"/>
    <x v="1"/>
    <x v="0"/>
    <x v="11"/>
    <x v="543"/>
    <x v="546"/>
    <x v="0"/>
    <x v="0"/>
    <x v="2"/>
    <x v="2"/>
    <x v="546"/>
    <x v="4"/>
    <x v="2"/>
    <x v="1"/>
    <x v="546"/>
    <x v="525"/>
    <x v="519"/>
    <x v="417"/>
    <x v="173"/>
    <x v="2"/>
    <x v="1"/>
  </r>
  <r>
    <x v="418"/>
    <x v="3"/>
    <x v="0"/>
    <x v="3"/>
    <x v="0"/>
    <x v="544"/>
    <x v="547"/>
    <x v="3"/>
    <x v="0"/>
    <x v="0"/>
    <x v="1"/>
    <x v="547"/>
    <x v="1"/>
    <x v="3"/>
    <x v="0"/>
    <x v="547"/>
    <x v="526"/>
    <x v="520"/>
    <x v="418"/>
    <x v="139"/>
    <x v="4"/>
    <x v="0"/>
  </r>
  <r>
    <x v="419"/>
    <x v="7"/>
    <x v="3"/>
    <x v="3"/>
    <x v="12"/>
    <x v="545"/>
    <x v="548"/>
    <x v="3"/>
    <x v="1"/>
    <x v="2"/>
    <x v="1"/>
    <x v="548"/>
    <x v="1"/>
    <x v="3"/>
    <x v="0"/>
    <x v="548"/>
    <x v="527"/>
    <x v="521"/>
    <x v="419"/>
    <x v="175"/>
    <x v="3"/>
    <x v="3"/>
  </r>
  <r>
    <x v="130"/>
    <x v="0"/>
    <x v="1"/>
    <x v="3"/>
    <x v="3"/>
    <x v="546"/>
    <x v="549"/>
    <x v="2"/>
    <x v="1"/>
    <x v="0"/>
    <x v="0"/>
    <x v="549"/>
    <x v="3"/>
    <x v="0"/>
    <x v="0"/>
    <x v="549"/>
    <x v="528"/>
    <x v="334"/>
    <x v="130"/>
    <x v="148"/>
    <x v="4"/>
    <x v="1"/>
  </r>
  <r>
    <x v="420"/>
    <x v="4"/>
    <x v="1"/>
    <x v="2"/>
    <x v="16"/>
    <x v="547"/>
    <x v="550"/>
    <x v="1"/>
    <x v="0"/>
    <x v="0"/>
    <x v="2"/>
    <x v="550"/>
    <x v="3"/>
    <x v="3"/>
    <x v="0"/>
    <x v="550"/>
    <x v="529"/>
    <x v="522"/>
    <x v="420"/>
    <x v="7"/>
    <x v="2"/>
    <x v="1"/>
  </r>
  <r>
    <x v="146"/>
    <x v="1"/>
    <x v="1"/>
    <x v="1"/>
    <x v="8"/>
    <x v="548"/>
    <x v="551"/>
    <x v="3"/>
    <x v="1"/>
    <x v="3"/>
    <x v="2"/>
    <x v="551"/>
    <x v="3"/>
    <x v="0"/>
    <x v="0"/>
    <x v="551"/>
    <x v="530"/>
    <x v="251"/>
    <x v="146"/>
    <x v="412"/>
    <x v="3"/>
    <x v="1"/>
  </r>
  <r>
    <x v="421"/>
    <x v="8"/>
    <x v="2"/>
    <x v="4"/>
    <x v="7"/>
    <x v="549"/>
    <x v="552"/>
    <x v="2"/>
    <x v="0"/>
    <x v="1"/>
    <x v="5"/>
    <x v="552"/>
    <x v="1"/>
    <x v="2"/>
    <x v="0"/>
    <x v="552"/>
    <x v="531"/>
    <x v="523"/>
    <x v="421"/>
    <x v="413"/>
    <x v="4"/>
    <x v="2"/>
  </r>
  <r>
    <x v="105"/>
    <x v="6"/>
    <x v="4"/>
    <x v="4"/>
    <x v="15"/>
    <x v="550"/>
    <x v="553"/>
    <x v="3"/>
    <x v="1"/>
    <x v="2"/>
    <x v="3"/>
    <x v="553"/>
    <x v="4"/>
    <x v="1"/>
    <x v="0"/>
    <x v="553"/>
    <x v="532"/>
    <x v="524"/>
    <x v="105"/>
    <x v="414"/>
    <x v="1"/>
    <x v="4"/>
  </r>
  <r>
    <x v="422"/>
    <x v="6"/>
    <x v="4"/>
    <x v="3"/>
    <x v="4"/>
    <x v="551"/>
    <x v="554"/>
    <x v="3"/>
    <x v="0"/>
    <x v="0"/>
    <x v="3"/>
    <x v="554"/>
    <x v="3"/>
    <x v="3"/>
    <x v="0"/>
    <x v="554"/>
    <x v="533"/>
    <x v="525"/>
    <x v="422"/>
    <x v="102"/>
    <x v="7"/>
    <x v="4"/>
  </r>
  <r>
    <x v="355"/>
    <x v="2"/>
    <x v="3"/>
    <x v="5"/>
    <x v="17"/>
    <x v="552"/>
    <x v="555"/>
    <x v="0"/>
    <x v="0"/>
    <x v="0"/>
    <x v="3"/>
    <x v="555"/>
    <x v="4"/>
    <x v="0"/>
    <x v="0"/>
    <x v="555"/>
    <x v="380"/>
    <x v="526"/>
    <x v="355"/>
    <x v="415"/>
    <x v="1"/>
    <x v="3"/>
  </r>
  <r>
    <x v="423"/>
    <x v="4"/>
    <x v="1"/>
    <x v="3"/>
    <x v="10"/>
    <x v="553"/>
    <x v="556"/>
    <x v="2"/>
    <x v="0"/>
    <x v="0"/>
    <x v="3"/>
    <x v="556"/>
    <x v="3"/>
    <x v="2"/>
    <x v="0"/>
    <x v="556"/>
    <x v="534"/>
    <x v="527"/>
    <x v="423"/>
    <x v="169"/>
    <x v="6"/>
    <x v="1"/>
  </r>
  <r>
    <x v="424"/>
    <x v="2"/>
    <x v="1"/>
    <x v="6"/>
    <x v="9"/>
    <x v="554"/>
    <x v="557"/>
    <x v="1"/>
    <x v="0"/>
    <x v="1"/>
    <x v="4"/>
    <x v="557"/>
    <x v="3"/>
    <x v="3"/>
    <x v="0"/>
    <x v="557"/>
    <x v="535"/>
    <x v="160"/>
    <x v="424"/>
    <x v="227"/>
    <x v="0"/>
    <x v="1"/>
  </r>
  <r>
    <x v="301"/>
    <x v="5"/>
    <x v="0"/>
    <x v="6"/>
    <x v="5"/>
    <x v="555"/>
    <x v="558"/>
    <x v="1"/>
    <x v="0"/>
    <x v="2"/>
    <x v="4"/>
    <x v="558"/>
    <x v="2"/>
    <x v="0"/>
    <x v="0"/>
    <x v="558"/>
    <x v="536"/>
    <x v="154"/>
    <x v="301"/>
    <x v="416"/>
    <x v="7"/>
    <x v="0"/>
  </r>
  <r>
    <x v="425"/>
    <x v="9"/>
    <x v="4"/>
    <x v="4"/>
    <x v="6"/>
    <x v="556"/>
    <x v="559"/>
    <x v="0"/>
    <x v="1"/>
    <x v="0"/>
    <x v="0"/>
    <x v="559"/>
    <x v="3"/>
    <x v="3"/>
    <x v="0"/>
    <x v="559"/>
    <x v="537"/>
    <x v="528"/>
    <x v="425"/>
    <x v="170"/>
    <x v="6"/>
    <x v="4"/>
  </r>
  <r>
    <x v="426"/>
    <x v="9"/>
    <x v="1"/>
    <x v="4"/>
    <x v="17"/>
    <x v="557"/>
    <x v="560"/>
    <x v="0"/>
    <x v="0"/>
    <x v="0"/>
    <x v="4"/>
    <x v="560"/>
    <x v="1"/>
    <x v="1"/>
    <x v="1"/>
    <x v="560"/>
    <x v="538"/>
    <x v="529"/>
    <x v="426"/>
    <x v="417"/>
    <x v="6"/>
    <x v="1"/>
  </r>
  <r>
    <x v="113"/>
    <x v="4"/>
    <x v="3"/>
    <x v="4"/>
    <x v="9"/>
    <x v="558"/>
    <x v="561"/>
    <x v="2"/>
    <x v="1"/>
    <x v="2"/>
    <x v="5"/>
    <x v="561"/>
    <x v="2"/>
    <x v="2"/>
    <x v="0"/>
    <x v="561"/>
    <x v="539"/>
    <x v="530"/>
    <x v="113"/>
    <x v="144"/>
    <x v="8"/>
    <x v="3"/>
  </r>
  <r>
    <x v="182"/>
    <x v="3"/>
    <x v="2"/>
    <x v="3"/>
    <x v="4"/>
    <x v="559"/>
    <x v="562"/>
    <x v="3"/>
    <x v="0"/>
    <x v="2"/>
    <x v="2"/>
    <x v="562"/>
    <x v="2"/>
    <x v="1"/>
    <x v="0"/>
    <x v="562"/>
    <x v="540"/>
    <x v="531"/>
    <x v="182"/>
    <x v="418"/>
    <x v="3"/>
    <x v="2"/>
  </r>
  <r>
    <x v="427"/>
    <x v="4"/>
    <x v="0"/>
    <x v="1"/>
    <x v="9"/>
    <x v="560"/>
    <x v="563"/>
    <x v="0"/>
    <x v="1"/>
    <x v="0"/>
    <x v="1"/>
    <x v="563"/>
    <x v="0"/>
    <x v="3"/>
    <x v="1"/>
    <x v="563"/>
    <x v="541"/>
    <x v="532"/>
    <x v="427"/>
    <x v="400"/>
    <x v="8"/>
    <x v="0"/>
  </r>
  <r>
    <x v="113"/>
    <x v="4"/>
    <x v="0"/>
    <x v="1"/>
    <x v="15"/>
    <x v="561"/>
    <x v="564"/>
    <x v="3"/>
    <x v="1"/>
    <x v="1"/>
    <x v="4"/>
    <x v="564"/>
    <x v="0"/>
    <x v="2"/>
    <x v="0"/>
    <x v="564"/>
    <x v="542"/>
    <x v="533"/>
    <x v="113"/>
    <x v="419"/>
    <x v="5"/>
    <x v="0"/>
  </r>
  <r>
    <x v="428"/>
    <x v="4"/>
    <x v="1"/>
    <x v="6"/>
    <x v="3"/>
    <x v="562"/>
    <x v="565"/>
    <x v="3"/>
    <x v="1"/>
    <x v="0"/>
    <x v="5"/>
    <x v="565"/>
    <x v="1"/>
    <x v="1"/>
    <x v="0"/>
    <x v="565"/>
    <x v="543"/>
    <x v="534"/>
    <x v="428"/>
    <x v="420"/>
    <x v="5"/>
    <x v="1"/>
  </r>
  <r>
    <x v="368"/>
    <x v="4"/>
    <x v="3"/>
    <x v="0"/>
    <x v="15"/>
    <x v="563"/>
    <x v="566"/>
    <x v="1"/>
    <x v="0"/>
    <x v="3"/>
    <x v="1"/>
    <x v="566"/>
    <x v="4"/>
    <x v="2"/>
    <x v="0"/>
    <x v="566"/>
    <x v="544"/>
    <x v="535"/>
    <x v="368"/>
    <x v="421"/>
    <x v="6"/>
    <x v="3"/>
  </r>
  <r>
    <x v="429"/>
    <x v="0"/>
    <x v="2"/>
    <x v="2"/>
    <x v="15"/>
    <x v="564"/>
    <x v="567"/>
    <x v="1"/>
    <x v="1"/>
    <x v="1"/>
    <x v="2"/>
    <x v="567"/>
    <x v="2"/>
    <x v="3"/>
    <x v="0"/>
    <x v="567"/>
    <x v="545"/>
    <x v="536"/>
    <x v="429"/>
    <x v="422"/>
    <x v="1"/>
    <x v="2"/>
  </r>
  <r>
    <x v="323"/>
    <x v="0"/>
    <x v="0"/>
    <x v="2"/>
    <x v="3"/>
    <x v="565"/>
    <x v="568"/>
    <x v="1"/>
    <x v="0"/>
    <x v="1"/>
    <x v="1"/>
    <x v="568"/>
    <x v="3"/>
    <x v="2"/>
    <x v="0"/>
    <x v="568"/>
    <x v="546"/>
    <x v="537"/>
    <x v="323"/>
    <x v="423"/>
    <x v="3"/>
    <x v="0"/>
  </r>
  <r>
    <x v="217"/>
    <x v="11"/>
    <x v="0"/>
    <x v="2"/>
    <x v="10"/>
    <x v="566"/>
    <x v="569"/>
    <x v="0"/>
    <x v="1"/>
    <x v="3"/>
    <x v="5"/>
    <x v="569"/>
    <x v="2"/>
    <x v="2"/>
    <x v="0"/>
    <x v="569"/>
    <x v="408"/>
    <x v="538"/>
    <x v="217"/>
    <x v="424"/>
    <x v="0"/>
    <x v="0"/>
  </r>
  <r>
    <x v="136"/>
    <x v="6"/>
    <x v="2"/>
    <x v="3"/>
    <x v="2"/>
    <x v="567"/>
    <x v="570"/>
    <x v="3"/>
    <x v="0"/>
    <x v="0"/>
    <x v="2"/>
    <x v="570"/>
    <x v="4"/>
    <x v="0"/>
    <x v="0"/>
    <x v="570"/>
    <x v="547"/>
    <x v="539"/>
    <x v="136"/>
    <x v="425"/>
    <x v="0"/>
    <x v="2"/>
  </r>
  <r>
    <x v="430"/>
    <x v="8"/>
    <x v="0"/>
    <x v="3"/>
    <x v="17"/>
    <x v="568"/>
    <x v="571"/>
    <x v="0"/>
    <x v="1"/>
    <x v="3"/>
    <x v="0"/>
    <x v="571"/>
    <x v="3"/>
    <x v="0"/>
    <x v="0"/>
    <x v="571"/>
    <x v="548"/>
    <x v="540"/>
    <x v="430"/>
    <x v="373"/>
    <x v="5"/>
    <x v="0"/>
  </r>
  <r>
    <x v="431"/>
    <x v="7"/>
    <x v="4"/>
    <x v="2"/>
    <x v="4"/>
    <x v="569"/>
    <x v="572"/>
    <x v="3"/>
    <x v="0"/>
    <x v="1"/>
    <x v="1"/>
    <x v="572"/>
    <x v="1"/>
    <x v="0"/>
    <x v="0"/>
    <x v="572"/>
    <x v="549"/>
    <x v="541"/>
    <x v="431"/>
    <x v="426"/>
    <x v="8"/>
    <x v="4"/>
  </r>
  <r>
    <x v="432"/>
    <x v="7"/>
    <x v="0"/>
    <x v="6"/>
    <x v="9"/>
    <x v="570"/>
    <x v="573"/>
    <x v="2"/>
    <x v="0"/>
    <x v="0"/>
    <x v="3"/>
    <x v="573"/>
    <x v="1"/>
    <x v="3"/>
    <x v="0"/>
    <x v="573"/>
    <x v="550"/>
    <x v="252"/>
    <x v="432"/>
    <x v="289"/>
    <x v="7"/>
    <x v="0"/>
  </r>
  <r>
    <x v="47"/>
    <x v="6"/>
    <x v="4"/>
    <x v="1"/>
    <x v="19"/>
    <x v="571"/>
    <x v="574"/>
    <x v="1"/>
    <x v="0"/>
    <x v="0"/>
    <x v="0"/>
    <x v="574"/>
    <x v="2"/>
    <x v="2"/>
    <x v="0"/>
    <x v="574"/>
    <x v="551"/>
    <x v="542"/>
    <x v="47"/>
    <x v="427"/>
    <x v="7"/>
    <x v="4"/>
  </r>
  <r>
    <x v="161"/>
    <x v="3"/>
    <x v="3"/>
    <x v="3"/>
    <x v="5"/>
    <x v="572"/>
    <x v="575"/>
    <x v="0"/>
    <x v="0"/>
    <x v="2"/>
    <x v="1"/>
    <x v="575"/>
    <x v="4"/>
    <x v="0"/>
    <x v="1"/>
    <x v="575"/>
    <x v="552"/>
    <x v="543"/>
    <x v="161"/>
    <x v="19"/>
    <x v="8"/>
    <x v="3"/>
  </r>
  <r>
    <x v="10"/>
    <x v="7"/>
    <x v="2"/>
    <x v="0"/>
    <x v="8"/>
    <x v="573"/>
    <x v="211"/>
    <x v="1"/>
    <x v="0"/>
    <x v="0"/>
    <x v="3"/>
    <x v="576"/>
    <x v="0"/>
    <x v="3"/>
    <x v="0"/>
    <x v="576"/>
    <x v="553"/>
    <x v="544"/>
    <x v="10"/>
    <x v="428"/>
    <x v="4"/>
    <x v="2"/>
  </r>
  <r>
    <x v="286"/>
    <x v="10"/>
    <x v="3"/>
    <x v="6"/>
    <x v="19"/>
    <x v="574"/>
    <x v="576"/>
    <x v="1"/>
    <x v="0"/>
    <x v="2"/>
    <x v="5"/>
    <x v="577"/>
    <x v="4"/>
    <x v="2"/>
    <x v="0"/>
    <x v="577"/>
    <x v="554"/>
    <x v="545"/>
    <x v="286"/>
    <x v="138"/>
    <x v="4"/>
    <x v="3"/>
  </r>
  <r>
    <x v="25"/>
    <x v="5"/>
    <x v="4"/>
    <x v="0"/>
    <x v="9"/>
    <x v="575"/>
    <x v="577"/>
    <x v="0"/>
    <x v="0"/>
    <x v="3"/>
    <x v="5"/>
    <x v="578"/>
    <x v="1"/>
    <x v="3"/>
    <x v="0"/>
    <x v="578"/>
    <x v="555"/>
    <x v="546"/>
    <x v="25"/>
    <x v="297"/>
    <x v="6"/>
    <x v="4"/>
  </r>
  <r>
    <x v="433"/>
    <x v="6"/>
    <x v="2"/>
    <x v="2"/>
    <x v="2"/>
    <x v="576"/>
    <x v="578"/>
    <x v="1"/>
    <x v="0"/>
    <x v="1"/>
    <x v="3"/>
    <x v="579"/>
    <x v="3"/>
    <x v="3"/>
    <x v="0"/>
    <x v="579"/>
    <x v="556"/>
    <x v="547"/>
    <x v="433"/>
    <x v="185"/>
    <x v="6"/>
    <x v="2"/>
  </r>
  <r>
    <x v="367"/>
    <x v="11"/>
    <x v="3"/>
    <x v="0"/>
    <x v="14"/>
    <x v="577"/>
    <x v="579"/>
    <x v="0"/>
    <x v="0"/>
    <x v="2"/>
    <x v="2"/>
    <x v="580"/>
    <x v="3"/>
    <x v="1"/>
    <x v="0"/>
    <x v="580"/>
    <x v="557"/>
    <x v="548"/>
    <x v="367"/>
    <x v="424"/>
    <x v="1"/>
    <x v="3"/>
  </r>
  <r>
    <x v="215"/>
    <x v="1"/>
    <x v="4"/>
    <x v="5"/>
    <x v="6"/>
    <x v="578"/>
    <x v="580"/>
    <x v="0"/>
    <x v="0"/>
    <x v="1"/>
    <x v="5"/>
    <x v="581"/>
    <x v="0"/>
    <x v="1"/>
    <x v="0"/>
    <x v="581"/>
    <x v="558"/>
    <x v="549"/>
    <x v="215"/>
    <x v="212"/>
    <x v="5"/>
    <x v="4"/>
  </r>
  <r>
    <x v="16"/>
    <x v="0"/>
    <x v="0"/>
    <x v="1"/>
    <x v="14"/>
    <x v="579"/>
    <x v="581"/>
    <x v="1"/>
    <x v="0"/>
    <x v="0"/>
    <x v="4"/>
    <x v="582"/>
    <x v="4"/>
    <x v="3"/>
    <x v="0"/>
    <x v="582"/>
    <x v="559"/>
    <x v="550"/>
    <x v="16"/>
    <x v="422"/>
    <x v="8"/>
    <x v="0"/>
  </r>
  <r>
    <x v="434"/>
    <x v="1"/>
    <x v="2"/>
    <x v="4"/>
    <x v="19"/>
    <x v="580"/>
    <x v="582"/>
    <x v="0"/>
    <x v="0"/>
    <x v="0"/>
    <x v="4"/>
    <x v="583"/>
    <x v="0"/>
    <x v="3"/>
    <x v="0"/>
    <x v="583"/>
    <x v="560"/>
    <x v="551"/>
    <x v="434"/>
    <x v="29"/>
    <x v="0"/>
    <x v="2"/>
  </r>
  <r>
    <x v="435"/>
    <x v="4"/>
    <x v="0"/>
    <x v="0"/>
    <x v="9"/>
    <x v="581"/>
    <x v="583"/>
    <x v="3"/>
    <x v="1"/>
    <x v="1"/>
    <x v="0"/>
    <x v="584"/>
    <x v="0"/>
    <x v="3"/>
    <x v="1"/>
    <x v="584"/>
    <x v="561"/>
    <x v="552"/>
    <x v="435"/>
    <x v="212"/>
    <x v="4"/>
    <x v="0"/>
  </r>
  <r>
    <x v="95"/>
    <x v="6"/>
    <x v="0"/>
    <x v="1"/>
    <x v="15"/>
    <x v="582"/>
    <x v="584"/>
    <x v="2"/>
    <x v="0"/>
    <x v="2"/>
    <x v="4"/>
    <x v="585"/>
    <x v="0"/>
    <x v="1"/>
    <x v="0"/>
    <x v="585"/>
    <x v="562"/>
    <x v="553"/>
    <x v="95"/>
    <x v="249"/>
    <x v="6"/>
    <x v="0"/>
  </r>
  <r>
    <x v="436"/>
    <x v="4"/>
    <x v="1"/>
    <x v="5"/>
    <x v="6"/>
    <x v="583"/>
    <x v="585"/>
    <x v="0"/>
    <x v="0"/>
    <x v="1"/>
    <x v="3"/>
    <x v="586"/>
    <x v="1"/>
    <x v="3"/>
    <x v="0"/>
    <x v="586"/>
    <x v="563"/>
    <x v="554"/>
    <x v="436"/>
    <x v="70"/>
    <x v="0"/>
    <x v="1"/>
  </r>
  <r>
    <x v="53"/>
    <x v="7"/>
    <x v="4"/>
    <x v="5"/>
    <x v="12"/>
    <x v="584"/>
    <x v="586"/>
    <x v="3"/>
    <x v="0"/>
    <x v="0"/>
    <x v="0"/>
    <x v="587"/>
    <x v="2"/>
    <x v="1"/>
    <x v="0"/>
    <x v="587"/>
    <x v="564"/>
    <x v="368"/>
    <x v="53"/>
    <x v="52"/>
    <x v="7"/>
    <x v="4"/>
  </r>
  <r>
    <x v="437"/>
    <x v="1"/>
    <x v="2"/>
    <x v="4"/>
    <x v="0"/>
    <x v="585"/>
    <x v="587"/>
    <x v="0"/>
    <x v="0"/>
    <x v="3"/>
    <x v="2"/>
    <x v="588"/>
    <x v="4"/>
    <x v="0"/>
    <x v="1"/>
    <x v="588"/>
    <x v="565"/>
    <x v="555"/>
    <x v="437"/>
    <x v="429"/>
    <x v="2"/>
    <x v="2"/>
  </r>
  <r>
    <x v="438"/>
    <x v="6"/>
    <x v="2"/>
    <x v="4"/>
    <x v="0"/>
    <x v="586"/>
    <x v="588"/>
    <x v="3"/>
    <x v="0"/>
    <x v="3"/>
    <x v="4"/>
    <x v="589"/>
    <x v="0"/>
    <x v="1"/>
    <x v="1"/>
    <x v="589"/>
    <x v="566"/>
    <x v="556"/>
    <x v="438"/>
    <x v="120"/>
    <x v="0"/>
    <x v="2"/>
  </r>
  <r>
    <x v="439"/>
    <x v="0"/>
    <x v="1"/>
    <x v="0"/>
    <x v="9"/>
    <x v="587"/>
    <x v="589"/>
    <x v="3"/>
    <x v="0"/>
    <x v="2"/>
    <x v="4"/>
    <x v="590"/>
    <x v="3"/>
    <x v="1"/>
    <x v="1"/>
    <x v="590"/>
    <x v="567"/>
    <x v="557"/>
    <x v="439"/>
    <x v="430"/>
    <x v="7"/>
    <x v="1"/>
  </r>
  <r>
    <x v="440"/>
    <x v="3"/>
    <x v="2"/>
    <x v="4"/>
    <x v="10"/>
    <x v="588"/>
    <x v="590"/>
    <x v="3"/>
    <x v="1"/>
    <x v="3"/>
    <x v="3"/>
    <x v="591"/>
    <x v="2"/>
    <x v="1"/>
    <x v="0"/>
    <x v="591"/>
    <x v="568"/>
    <x v="558"/>
    <x v="440"/>
    <x v="431"/>
    <x v="8"/>
    <x v="2"/>
  </r>
  <r>
    <x v="441"/>
    <x v="1"/>
    <x v="3"/>
    <x v="5"/>
    <x v="1"/>
    <x v="589"/>
    <x v="591"/>
    <x v="0"/>
    <x v="1"/>
    <x v="3"/>
    <x v="2"/>
    <x v="592"/>
    <x v="0"/>
    <x v="1"/>
    <x v="0"/>
    <x v="592"/>
    <x v="569"/>
    <x v="559"/>
    <x v="441"/>
    <x v="432"/>
    <x v="2"/>
    <x v="3"/>
  </r>
  <r>
    <x v="80"/>
    <x v="2"/>
    <x v="1"/>
    <x v="0"/>
    <x v="16"/>
    <x v="590"/>
    <x v="592"/>
    <x v="0"/>
    <x v="0"/>
    <x v="3"/>
    <x v="0"/>
    <x v="593"/>
    <x v="3"/>
    <x v="3"/>
    <x v="0"/>
    <x v="593"/>
    <x v="570"/>
    <x v="560"/>
    <x v="80"/>
    <x v="433"/>
    <x v="5"/>
    <x v="1"/>
  </r>
  <r>
    <x v="442"/>
    <x v="1"/>
    <x v="1"/>
    <x v="6"/>
    <x v="5"/>
    <x v="591"/>
    <x v="593"/>
    <x v="0"/>
    <x v="0"/>
    <x v="1"/>
    <x v="3"/>
    <x v="594"/>
    <x v="4"/>
    <x v="3"/>
    <x v="1"/>
    <x v="594"/>
    <x v="478"/>
    <x v="561"/>
    <x v="442"/>
    <x v="434"/>
    <x v="7"/>
    <x v="1"/>
  </r>
  <r>
    <x v="443"/>
    <x v="2"/>
    <x v="3"/>
    <x v="6"/>
    <x v="10"/>
    <x v="592"/>
    <x v="594"/>
    <x v="0"/>
    <x v="0"/>
    <x v="3"/>
    <x v="2"/>
    <x v="595"/>
    <x v="0"/>
    <x v="3"/>
    <x v="0"/>
    <x v="595"/>
    <x v="571"/>
    <x v="562"/>
    <x v="443"/>
    <x v="435"/>
    <x v="7"/>
    <x v="3"/>
  </r>
  <r>
    <x v="444"/>
    <x v="5"/>
    <x v="1"/>
    <x v="0"/>
    <x v="16"/>
    <x v="593"/>
    <x v="595"/>
    <x v="2"/>
    <x v="1"/>
    <x v="0"/>
    <x v="1"/>
    <x v="596"/>
    <x v="4"/>
    <x v="3"/>
    <x v="0"/>
    <x v="596"/>
    <x v="572"/>
    <x v="563"/>
    <x v="444"/>
    <x v="436"/>
    <x v="1"/>
    <x v="1"/>
  </r>
  <r>
    <x v="445"/>
    <x v="8"/>
    <x v="4"/>
    <x v="6"/>
    <x v="6"/>
    <x v="594"/>
    <x v="596"/>
    <x v="2"/>
    <x v="0"/>
    <x v="0"/>
    <x v="4"/>
    <x v="597"/>
    <x v="3"/>
    <x v="0"/>
    <x v="0"/>
    <x v="597"/>
    <x v="573"/>
    <x v="564"/>
    <x v="445"/>
    <x v="437"/>
    <x v="4"/>
    <x v="4"/>
  </r>
  <r>
    <x v="94"/>
    <x v="4"/>
    <x v="1"/>
    <x v="5"/>
    <x v="8"/>
    <x v="595"/>
    <x v="597"/>
    <x v="2"/>
    <x v="1"/>
    <x v="3"/>
    <x v="1"/>
    <x v="598"/>
    <x v="2"/>
    <x v="1"/>
    <x v="0"/>
    <x v="598"/>
    <x v="574"/>
    <x v="565"/>
    <x v="94"/>
    <x v="172"/>
    <x v="7"/>
    <x v="1"/>
  </r>
  <r>
    <x v="446"/>
    <x v="0"/>
    <x v="1"/>
    <x v="3"/>
    <x v="3"/>
    <x v="596"/>
    <x v="598"/>
    <x v="1"/>
    <x v="0"/>
    <x v="3"/>
    <x v="3"/>
    <x v="599"/>
    <x v="3"/>
    <x v="2"/>
    <x v="0"/>
    <x v="599"/>
    <x v="575"/>
    <x v="566"/>
    <x v="446"/>
    <x v="265"/>
    <x v="2"/>
    <x v="1"/>
  </r>
  <r>
    <x v="447"/>
    <x v="11"/>
    <x v="1"/>
    <x v="6"/>
    <x v="3"/>
    <x v="597"/>
    <x v="599"/>
    <x v="0"/>
    <x v="1"/>
    <x v="1"/>
    <x v="2"/>
    <x v="600"/>
    <x v="2"/>
    <x v="0"/>
    <x v="1"/>
    <x v="600"/>
    <x v="576"/>
    <x v="567"/>
    <x v="447"/>
    <x v="438"/>
    <x v="3"/>
    <x v="1"/>
  </r>
  <r>
    <x v="167"/>
    <x v="1"/>
    <x v="3"/>
    <x v="4"/>
    <x v="2"/>
    <x v="11"/>
    <x v="600"/>
    <x v="3"/>
    <x v="0"/>
    <x v="2"/>
    <x v="1"/>
    <x v="601"/>
    <x v="3"/>
    <x v="0"/>
    <x v="0"/>
    <x v="601"/>
    <x v="577"/>
    <x v="346"/>
    <x v="167"/>
    <x v="14"/>
    <x v="4"/>
    <x v="3"/>
  </r>
  <r>
    <x v="448"/>
    <x v="5"/>
    <x v="3"/>
    <x v="5"/>
    <x v="6"/>
    <x v="598"/>
    <x v="601"/>
    <x v="1"/>
    <x v="0"/>
    <x v="0"/>
    <x v="3"/>
    <x v="602"/>
    <x v="4"/>
    <x v="3"/>
    <x v="0"/>
    <x v="602"/>
    <x v="578"/>
    <x v="568"/>
    <x v="448"/>
    <x v="439"/>
    <x v="1"/>
    <x v="3"/>
  </r>
  <r>
    <x v="449"/>
    <x v="5"/>
    <x v="1"/>
    <x v="4"/>
    <x v="5"/>
    <x v="599"/>
    <x v="602"/>
    <x v="1"/>
    <x v="1"/>
    <x v="1"/>
    <x v="4"/>
    <x v="603"/>
    <x v="1"/>
    <x v="1"/>
    <x v="0"/>
    <x v="603"/>
    <x v="579"/>
    <x v="569"/>
    <x v="449"/>
    <x v="440"/>
    <x v="0"/>
    <x v="1"/>
  </r>
  <r>
    <x v="450"/>
    <x v="7"/>
    <x v="3"/>
    <x v="2"/>
    <x v="6"/>
    <x v="600"/>
    <x v="603"/>
    <x v="0"/>
    <x v="1"/>
    <x v="1"/>
    <x v="4"/>
    <x v="604"/>
    <x v="0"/>
    <x v="1"/>
    <x v="0"/>
    <x v="604"/>
    <x v="580"/>
    <x v="570"/>
    <x v="450"/>
    <x v="441"/>
    <x v="7"/>
    <x v="3"/>
  </r>
  <r>
    <x v="451"/>
    <x v="0"/>
    <x v="3"/>
    <x v="2"/>
    <x v="19"/>
    <x v="601"/>
    <x v="604"/>
    <x v="1"/>
    <x v="1"/>
    <x v="2"/>
    <x v="5"/>
    <x v="605"/>
    <x v="0"/>
    <x v="0"/>
    <x v="1"/>
    <x v="605"/>
    <x v="581"/>
    <x v="571"/>
    <x v="451"/>
    <x v="442"/>
    <x v="6"/>
    <x v="3"/>
  </r>
  <r>
    <x v="162"/>
    <x v="0"/>
    <x v="1"/>
    <x v="3"/>
    <x v="11"/>
    <x v="602"/>
    <x v="605"/>
    <x v="2"/>
    <x v="1"/>
    <x v="2"/>
    <x v="1"/>
    <x v="606"/>
    <x v="0"/>
    <x v="0"/>
    <x v="0"/>
    <x v="606"/>
    <x v="582"/>
    <x v="191"/>
    <x v="162"/>
    <x v="443"/>
    <x v="2"/>
    <x v="1"/>
  </r>
  <r>
    <x v="357"/>
    <x v="3"/>
    <x v="1"/>
    <x v="1"/>
    <x v="1"/>
    <x v="603"/>
    <x v="606"/>
    <x v="2"/>
    <x v="1"/>
    <x v="2"/>
    <x v="4"/>
    <x v="607"/>
    <x v="4"/>
    <x v="2"/>
    <x v="0"/>
    <x v="607"/>
    <x v="583"/>
    <x v="572"/>
    <x v="357"/>
    <x v="444"/>
    <x v="4"/>
    <x v="1"/>
  </r>
  <r>
    <x v="452"/>
    <x v="8"/>
    <x v="4"/>
    <x v="4"/>
    <x v="19"/>
    <x v="604"/>
    <x v="607"/>
    <x v="0"/>
    <x v="0"/>
    <x v="1"/>
    <x v="5"/>
    <x v="608"/>
    <x v="0"/>
    <x v="1"/>
    <x v="1"/>
    <x v="608"/>
    <x v="584"/>
    <x v="97"/>
    <x v="452"/>
    <x v="445"/>
    <x v="2"/>
    <x v="4"/>
  </r>
  <r>
    <x v="282"/>
    <x v="4"/>
    <x v="4"/>
    <x v="6"/>
    <x v="18"/>
    <x v="605"/>
    <x v="608"/>
    <x v="3"/>
    <x v="0"/>
    <x v="0"/>
    <x v="1"/>
    <x v="609"/>
    <x v="0"/>
    <x v="1"/>
    <x v="0"/>
    <x v="609"/>
    <x v="585"/>
    <x v="573"/>
    <x v="282"/>
    <x v="419"/>
    <x v="2"/>
    <x v="4"/>
  </r>
  <r>
    <x v="453"/>
    <x v="4"/>
    <x v="0"/>
    <x v="1"/>
    <x v="3"/>
    <x v="606"/>
    <x v="609"/>
    <x v="0"/>
    <x v="1"/>
    <x v="1"/>
    <x v="2"/>
    <x v="610"/>
    <x v="1"/>
    <x v="0"/>
    <x v="0"/>
    <x v="610"/>
    <x v="586"/>
    <x v="574"/>
    <x v="453"/>
    <x v="446"/>
    <x v="8"/>
    <x v="0"/>
  </r>
  <r>
    <x v="305"/>
    <x v="10"/>
    <x v="2"/>
    <x v="3"/>
    <x v="12"/>
    <x v="607"/>
    <x v="610"/>
    <x v="2"/>
    <x v="1"/>
    <x v="0"/>
    <x v="5"/>
    <x v="611"/>
    <x v="2"/>
    <x v="3"/>
    <x v="0"/>
    <x v="611"/>
    <x v="587"/>
    <x v="575"/>
    <x v="305"/>
    <x v="447"/>
    <x v="3"/>
    <x v="2"/>
  </r>
  <r>
    <x v="454"/>
    <x v="7"/>
    <x v="4"/>
    <x v="4"/>
    <x v="19"/>
    <x v="608"/>
    <x v="611"/>
    <x v="3"/>
    <x v="0"/>
    <x v="1"/>
    <x v="2"/>
    <x v="612"/>
    <x v="2"/>
    <x v="2"/>
    <x v="0"/>
    <x v="612"/>
    <x v="588"/>
    <x v="576"/>
    <x v="454"/>
    <x v="107"/>
    <x v="0"/>
    <x v="4"/>
  </r>
  <r>
    <x v="16"/>
    <x v="0"/>
    <x v="3"/>
    <x v="2"/>
    <x v="18"/>
    <x v="609"/>
    <x v="612"/>
    <x v="3"/>
    <x v="1"/>
    <x v="1"/>
    <x v="4"/>
    <x v="613"/>
    <x v="4"/>
    <x v="2"/>
    <x v="0"/>
    <x v="613"/>
    <x v="589"/>
    <x v="43"/>
    <x v="16"/>
    <x v="215"/>
    <x v="0"/>
    <x v="3"/>
  </r>
  <r>
    <x v="455"/>
    <x v="4"/>
    <x v="0"/>
    <x v="2"/>
    <x v="14"/>
    <x v="610"/>
    <x v="613"/>
    <x v="2"/>
    <x v="0"/>
    <x v="3"/>
    <x v="2"/>
    <x v="614"/>
    <x v="1"/>
    <x v="0"/>
    <x v="0"/>
    <x v="614"/>
    <x v="590"/>
    <x v="577"/>
    <x v="455"/>
    <x v="7"/>
    <x v="0"/>
    <x v="0"/>
  </r>
  <r>
    <x v="456"/>
    <x v="5"/>
    <x v="1"/>
    <x v="2"/>
    <x v="6"/>
    <x v="611"/>
    <x v="614"/>
    <x v="1"/>
    <x v="1"/>
    <x v="0"/>
    <x v="5"/>
    <x v="615"/>
    <x v="0"/>
    <x v="0"/>
    <x v="0"/>
    <x v="615"/>
    <x v="591"/>
    <x v="578"/>
    <x v="456"/>
    <x v="416"/>
    <x v="3"/>
    <x v="1"/>
  </r>
  <r>
    <x v="78"/>
    <x v="4"/>
    <x v="2"/>
    <x v="5"/>
    <x v="7"/>
    <x v="612"/>
    <x v="615"/>
    <x v="1"/>
    <x v="1"/>
    <x v="2"/>
    <x v="2"/>
    <x v="616"/>
    <x v="2"/>
    <x v="3"/>
    <x v="0"/>
    <x v="616"/>
    <x v="592"/>
    <x v="154"/>
    <x v="78"/>
    <x v="448"/>
    <x v="3"/>
    <x v="2"/>
  </r>
  <r>
    <x v="457"/>
    <x v="11"/>
    <x v="1"/>
    <x v="0"/>
    <x v="13"/>
    <x v="613"/>
    <x v="616"/>
    <x v="3"/>
    <x v="0"/>
    <x v="2"/>
    <x v="0"/>
    <x v="617"/>
    <x v="1"/>
    <x v="2"/>
    <x v="0"/>
    <x v="617"/>
    <x v="593"/>
    <x v="579"/>
    <x v="457"/>
    <x v="449"/>
    <x v="5"/>
    <x v="1"/>
  </r>
  <r>
    <x v="458"/>
    <x v="2"/>
    <x v="3"/>
    <x v="5"/>
    <x v="8"/>
    <x v="614"/>
    <x v="617"/>
    <x v="2"/>
    <x v="0"/>
    <x v="3"/>
    <x v="1"/>
    <x v="618"/>
    <x v="3"/>
    <x v="2"/>
    <x v="1"/>
    <x v="618"/>
    <x v="594"/>
    <x v="580"/>
    <x v="458"/>
    <x v="433"/>
    <x v="7"/>
    <x v="3"/>
  </r>
  <r>
    <x v="440"/>
    <x v="3"/>
    <x v="4"/>
    <x v="2"/>
    <x v="14"/>
    <x v="615"/>
    <x v="618"/>
    <x v="3"/>
    <x v="1"/>
    <x v="0"/>
    <x v="2"/>
    <x v="619"/>
    <x v="3"/>
    <x v="3"/>
    <x v="0"/>
    <x v="619"/>
    <x v="595"/>
    <x v="581"/>
    <x v="440"/>
    <x v="450"/>
    <x v="4"/>
    <x v="4"/>
  </r>
  <r>
    <x v="125"/>
    <x v="2"/>
    <x v="4"/>
    <x v="1"/>
    <x v="16"/>
    <x v="616"/>
    <x v="619"/>
    <x v="3"/>
    <x v="1"/>
    <x v="2"/>
    <x v="1"/>
    <x v="620"/>
    <x v="0"/>
    <x v="1"/>
    <x v="0"/>
    <x v="620"/>
    <x v="596"/>
    <x v="582"/>
    <x v="125"/>
    <x v="451"/>
    <x v="5"/>
    <x v="4"/>
  </r>
  <r>
    <x v="459"/>
    <x v="0"/>
    <x v="2"/>
    <x v="3"/>
    <x v="7"/>
    <x v="617"/>
    <x v="620"/>
    <x v="1"/>
    <x v="0"/>
    <x v="2"/>
    <x v="5"/>
    <x v="621"/>
    <x v="3"/>
    <x v="3"/>
    <x v="1"/>
    <x v="621"/>
    <x v="597"/>
    <x v="583"/>
    <x v="459"/>
    <x v="132"/>
    <x v="8"/>
    <x v="2"/>
  </r>
  <r>
    <x v="460"/>
    <x v="2"/>
    <x v="0"/>
    <x v="1"/>
    <x v="6"/>
    <x v="618"/>
    <x v="621"/>
    <x v="1"/>
    <x v="0"/>
    <x v="2"/>
    <x v="4"/>
    <x v="622"/>
    <x v="3"/>
    <x v="0"/>
    <x v="0"/>
    <x v="622"/>
    <x v="598"/>
    <x v="584"/>
    <x v="460"/>
    <x v="346"/>
    <x v="5"/>
    <x v="0"/>
  </r>
  <r>
    <x v="461"/>
    <x v="1"/>
    <x v="0"/>
    <x v="2"/>
    <x v="17"/>
    <x v="619"/>
    <x v="622"/>
    <x v="0"/>
    <x v="0"/>
    <x v="3"/>
    <x v="4"/>
    <x v="623"/>
    <x v="1"/>
    <x v="3"/>
    <x v="0"/>
    <x v="623"/>
    <x v="101"/>
    <x v="585"/>
    <x v="461"/>
    <x v="452"/>
    <x v="4"/>
    <x v="0"/>
  </r>
  <r>
    <x v="117"/>
    <x v="8"/>
    <x v="4"/>
    <x v="6"/>
    <x v="13"/>
    <x v="620"/>
    <x v="623"/>
    <x v="3"/>
    <x v="0"/>
    <x v="2"/>
    <x v="1"/>
    <x v="624"/>
    <x v="4"/>
    <x v="1"/>
    <x v="0"/>
    <x v="624"/>
    <x v="599"/>
    <x v="423"/>
    <x v="117"/>
    <x v="453"/>
    <x v="8"/>
    <x v="4"/>
  </r>
  <r>
    <x v="416"/>
    <x v="3"/>
    <x v="1"/>
    <x v="2"/>
    <x v="13"/>
    <x v="621"/>
    <x v="624"/>
    <x v="0"/>
    <x v="0"/>
    <x v="1"/>
    <x v="3"/>
    <x v="625"/>
    <x v="2"/>
    <x v="3"/>
    <x v="0"/>
    <x v="625"/>
    <x v="600"/>
    <x v="586"/>
    <x v="416"/>
    <x v="454"/>
    <x v="5"/>
    <x v="1"/>
  </r>
  <r>
    <x v="462"/>
    <x v="8"/>
    <x v="1"/>
    <x v="3"/>
    <x v="11"/>
    <x v="622"/>
    <x v="625"/>
    <x v="3"/>
    <x v="0"/>
    <x v="0"/>
    <x v="2"/>
    <x v="626"/>
    <x v="0"/>
    <x v="2"/>
    <x v="0"/>
    <x v="626"/>
    <x v="601"/>
    <x v="587"/>
    <x v="462"/>
    <x v="230"/>
    <x v="1"/>
    <x v="1"/>
  </r>
  <r>
    <x v="463"/>
    <x v="4"/>
    <x v="0"/>
    <x v="0"/>
    <x v="4"/>
    <x v="623"/>
    <x v="626"/>
    <x v="1"/>
    <x v="0"/>
    <x v="1"/>
    <x v="4"/>
    <x v="627"/>
    <x v="2"/>
    <x v="0"/>
    <x v="0"/>
    <x v="627"/>
    <x v="602"/>
    <x v="588"/>
    <x v="463"/>
    <x v="455"/>
    <x v="1"/>
    <x v="0"/>
  </r>
  <r>
    <x v="62"/>
    <x v="0"/>
    <x v="1"/>
    <x v="3"/>
    <x v="5"/>
    <x v="624"/>
    <x v="627"/>
    <x v="0"/>
    <x v="0"/>
    <x v="1"/>
    <x v="3"/>
    <x v="628"/>
    <x v="0"/>
    <x v="1"/>
    <x v="1"/>
    <x v="628"/>
    <x v="603"/>
    <x v="589"/>
    <x v="62"/>
    <x v="359"/>
    <x v="8"/>
    <x v="1"/>
  </r>
  <r>
    <x v="464"/>
    <x v="1"/>
    <x v="3"/>
    <x v="5"/>
    <x v="2"/>
    <x v="625"/>
    <x v="628"/>
    <x v="0"/>
    <x v="1"/>
    <x v="0"/>
    <x v="4"/>
    <x v="629"/>
    <x v="2"/>
    <x v="1"/>
    <x v="1"/>
    <x v="629"/>
    <x v="604"/>
    <x v="590"/>
    <x v="464"/>
    <x v="73"/>
    <x v="1"/>
    <x v="3"/>
  </r>
  <r>
    <x v="465"/>
    <x v="0"/>
    <x v="1"/>
    <x v="6"/>
    <x v="10"/>
    <x v="626"/>
    <x v="629"/>
    <x v="2"/>
    <x v="0"/>
    <x v="2"/>
    <x v="0"/>
    <x v="630"/>
    <x v="3"/>
    <x v="0"/>
    <x v="1"/>
    <x v="630"/>
    <x v="605"/>
    <x v="591"/>
    <x v="465"/>
    <x v="236"/>
    <x v="0"/>
    <x v="1"/>
  </r>
  <r>
    <x v="213"/>
    <x v="6"/>
    <x v="4"/>
    <x v="5"/>
    <x v="15"/>
    <x v="627"/>
    <x v="630"/>
    <x v="3"/>
    <x v="0"/>
    <x v="2"/>
    <x v="1"/>
    <x v="631"/>
    <x v="3"/>
    <x v="2"/>
    <x v="0"/>
    <x v="631"/>
    <x v="606"/>
    <x v="592"/>
    <x v="213"/>
    <x v="59"/>
    <x v="5"/>
    <x v="4"/>
  </r>
  <r>
    <x v="466"/>
    <x v="11"/>
    <x v="1"/>
    <x v="1"/>
    <x v="4"/>
    <x v="628"/>
    <x v="631"/>
    <x v="0"/>
    <x v="0"/>
    <x v="1"/>
    <x v="4"/>
    <x v="632"/>
    <x v="0"/>
    <x v="3"/>
    <x v="1"/>
    <x v="632"/>
    <x v="607"/>
    <x v="593"/>
    <x v="466"/>
    <x v="456"/>
    <x v="8"/>
    <x v="1"/>
  </r>
  <r>
    <x v="467"/>
    <x v="1"/>
    <x v="4"/>
    <x v="5"/>
    <x v="2"/>
    <x v="629"/>
    <x v="632"/>
    <x v="1"/>
    <x v="1"/>
    <x v="0"/>
    <x v="5"/>
    <x v="633"/>
    <x v="0"/>
    <x v="0"/>
    <x v="1"/>
    <x v="633"/>
    <x v="608"/>
    <x v="594"/>
    <x v="467"/>
    <x v="457"/>
    <x v="8"/>
    <x v="4"/>
  </r>
  <r>
    <x v="291"/>
    <x v="2"/>
    <x v="2"/>
    <x v="2"/>
    <x v="16"/>
    <x v="630"/>
    <x v="633"/>
    <x v="0"/>
    <x v="1"/>
    <x v="3"/>
    <x v="2"/>
    <x v="634"/>
    <x v="4"/>
    <x v="3"/>
    <x v="0"/>
    <x v="634"/>
    <x v="609"/>
    <x v="431"/>
    <x v="291"/>
    <x v="273"/>
    <x v="7"/>
    <x v="2"/>
  </r>
  <r>
    <x v="405"/>
    <x v="4"/>
    <x v="0"/>
    <x v="1"/>
    <x v="11"/>
    <x v="631"/>
    <x v="634"/>
    <x v="3"/>
    <x v="0"/>
    <x v="1"/>
    <x v="4"/>
    <x v="635"/>
    <x v="3"/>
    <x v="2"/>
    <x v="0"/>
    <x v="635"/>
    <x v="610"/>
    <x v="595"/>
    <x v="405"/>
    <x v="458"/>
    <x v="4"/>
    <x v="0"/>
  </r>
  <r>
    <x v="468"/>
    <x v="7"/>
    <x v="1"/>
    <x v="6"/>
    <x v="1"/>
    <x v="632"/>
    <x v="635"/>
    <x v="0"/>
    <x v="1"/>
    <x v="3"/>
    <x v="4"/>
    <x v="636"/>
    <x v="0"/>
    <x v="2"/>
    <x v="0"/>
    <x v="636"/>
    <x v="611"/>
    <x v="596"/>
    <x v="468"/>
    <x v="103"/>
    <x v="2"/>
    <x v="1"/>
  </r>
  <r>
    <x v="469"/>
    <x v="1"/>
    <x v="3"/>
    <x v="5"/>
    <x v="10"/>
    <x v="633"/>
    <x v="636"/>
    <x v="1"/>
    <x v="0"/>
    <x v="2"/>
    <x v="2"/>
    <x v="637"/>
    <x v="2"/>
    <x v="2"/>
    <x v="0"/>
    <x v="637"/>
    <x v="612"/>
    <x v="97"/>
    <x v="469"/>
    <x v="271"/>
    <x v="1"/>
    <x v="3"/>
  </r>
  <r>
    <x v="451"/>
    <x v="0"/>
    <x v="0"/>
    <x v="3"/>
    <x v="14"/>
    <x v="634"/>
    <x v="637"/>
    <x v="0"/>
    <x v="0"/>
    <x v="1"/>
    <x v="4"/>
    <x v="638"/>
    <x v="2"/>
    <x v="0"/>
    <x v="1"/>
    <x v="638"/>
    <x v="613"/>
    <x v="597"/>
    <x v="451"/>
    <x v="276"/>
    <x v="0"/>
    <x v="0"/>
  </r>
  <r>
    <x v="470"/>
    <x v="7"/>
    <x v="2"/>
    <x v="5"/>
    <x v="8"/>
    <x v="635"/>
    <x v="638"/>
    <x v="0"/>
    <x v="0"/>
    <x v="0"/>
    <x v="4"/>
    <x v="639"/>
    <x v="3"/>
    <x v="2"/>
    <x v="0"/>
    <x v="639"/>
    <x v="614"/>
    <x v="598"/>
    <x v="470"/>
    <x v="87"/>
    <x v="2"/>
    <x v="2"/>
  </r>
  <r>
    <x v="471"/>
    <x v="11"/>
    <x v="4"/>
    <x v="3"/>
    <x v="0"/>
    <x v="636"/>
    <x v="639"/>
    <x v="2"/>
    <x v="1"/>
    <x v="0"/>
    <x v="0"/>
    <x v="640"/>
    <x v="4"/>
    <x v="0"/>
    <x v="0"/>
    <x v="640"/>
    <x v="331"/>
    <x v="599"/>
    <x v="471"/>
    <x v="459"/>
    <x v="8"/>
    <x v="4"/>
  </r>
  <r>
    <x v="102"/>
    <x v="3"/>
    <x v="3"/>
    <x v="6"/>
    <x v="3"/>
    <x v="637"/>
    <x v="640"/>
    <x v="1"/>
    <x v="1"/>
    <x v="0"/>
    <x v="4"/>
    <x v="641"/>
    <x v="1"/>
    <x v="0"/>
    <x v="0"/>
    <x v="641"/>
    <x v="615"/>
    <x v="175"/>
    <x v="102"/>
    <x v="460"/>
    <x v="2"/>
    <x v="3"/>
  </r>
  <r>
    <x v="472"/>
    <x v="3"/>
    <x v="0"/>
    <x v="2"/>
    <x v="5"/>
    <x v="638"/>
    <x v="641"/>
    <x v="1"/>
    <x v="0"/>
    <x v="2"/>
    <x v="1"/>
    <x v="642"/>
    <x v="3"/>
    <x v="1"/>
    <x v="0"/>
    <x v="642"/>
    <x v="616"/>
    <x v="600"/>
    <x v="472"/>
    <x v="97"/>
    <x v="3"/>
    <x v="0"/>
  </r>
  <r>
    <x v="473"/>
    <x v="1"/>
    <x v="1"/>
    <x v="3"/>
    <x v="12"/>
    <x v="639"/>
    <x v="642"/>
    <x v="2"/>
    <x v="0"/>
    <x v="1"/>
    <x v="5"/>
    <x v="643"/>
    <x v="2"/>
    <x v="0"/>
    <x v="0"/>
    <x v="643"/>
    <x v="617"/>
    <x v="601"/>
    <x v="473"/>
    <x v="1"/>
    <x v="8"/>
    <x v="1"/>
  </r>
  <r>
    <x v="474"/>
    <x v="10"/>
    <x v="0"/>
    <x v="4"/>
    <x v="13"/>
    <x v="640"/>
    <x v="643"/>
    <x v="0"/>
    <x v="0"/>
    <x v="0"/>
    <x v="1"/>
    <x v="644"/>
    <x v="1"/>
    <x v="2"/>
    <x v="1"/>
    <x v="644"/>
    <x v="618"/>
    <x v="602"/>
    <x v="474"/>
    <x v="461"/>
    <x v="6"/>
    <x v="0"/>
  </r>
  <r>
    <x v="7"/>
    <x v="4"/>
    <x v="0"/>
    <x v="4"/>
    <x v="12"/>
    <x v="641"/>
    <x v="644"/>
    <x v="1"/>
    <x v="0"/>
    <x v="1"/>
    <x v="0"/>
    <x v="645"/>
    <x v="4"/>
    <x v="2"/>
    <x v="0"/>
    <x v="645"/>
    <x v="619"/>
    <x v="603"/>
    <x v="7"/>
    <x v="462"/>
    <x v="0"/>
    <x v="0"/>
  </r>
  <r>
    <x v="475"/>
    <x v="7"/>
    <x v="0"/>
    <x v="0"/>
    <x v="19"/>
    <x v="642"/>
    <x v="645"/>
    <x v="2"/>
    <x v="0"/>
    <x v="1"/>
    <x v="1"/>
    <x v="646"/>
    <x v="4"/>
    <x v="1"/>
    <x v="0"/>
    <x v="646"/>
    <x v="620"/>
    <x v="604"/>
    <x v="475"/>
    <x v="463"/>
    <x v="2"/>
    <x v="0"/>
  </r>
  <r>
    <x v="476"/>
    <x v="11"/>
    <x v="1"/>
    <x v="1"/>
    <x v="4"/>
    <x v="643"/>
    <x v="646"/>
    <x v="3"/>
    <x v="1"/>
    <x v="1"/>
    <x v="1"/>
    <x v="647"/>
    <x v="0"/>
    <x v="3"/>
    <x v="0"/>
    <x v="647"/>
    <x v="621"/>
    <x v="605"/>
    <x v="476"/>
    <x v="34"/>
    <x v="8"/>
    <x v="1"/>
  </r>
  <r>
    <x v="477"/>
    <x v="4"/>
    <x v="0"/>
    <x v="4"/>
    <x v="17"/>
    <x v="644"/>
    <x v="647"/>
    <x v="1"/>
    <x v="0"/>
    <x v="1"/>
    <x v="3"/>
    <x v="648"/>
    <x v="3"/>
    <x v="1"/>
    <x v="0"/>
    <x v="648"/>
    <x v="622"/>
    <x v="79"/>
    <x v="477"/>
    <x v="464"/>
    <x v="7"/>
    <x v="0"/>
  </r>
  <r>
    <x v="478"/>
    <x v="7"/>
    <x v="3"/>
    <x v="3"/>
    <x v="13"/>
    <x v="645"/>
    <x v="648"/>
    <x v="3"/>
    <x v="1"/>
    <x v="0"/>
    <x v="0"/>
    <x v="649"/>
    <x v="3"/>
    <x v="1"/>
    <x v="0"/>
    <x v="649"/>
    <x v="623"/>
    <x v="195"/>
    <x v="478"/>
    <x v="339"/>
    <x v="3"/>
    <x v="3"/>
  </r>
  <r>
    <x v="161"/>
    <x v="3"/>
    <x v="2"/>
    <x v="1"/>
    <x v="4"/>
    <x v="646"/>
    <x v="649"/>
    <x v="0"/>
    <x v="1"/>
    <x v="3"/>
    <x v="1"/>
    <x v="650"/>
    <x v="2"/>
    <x v="0"/>
    <x v="1"/>
    <x v="650"/>
    <x v="624"/>
    <x v="47"/>
    <x v="161"/>
    <x v="139"/>
    <x v="2"/>
    <x v="2"/>
  </r>
  <r>
    <x v="209"/>
    <x v="4"/>
    <x v="0"/>
    <x v="5"/>
    <x v="7"/>
    <x v="647"/>
    <x v="650"/>
    <x v="2"/>
    <x v="1"/>
    <x v="0"/>
    <x v="5"/>
    <x v="651"/>
    <x v="3"/>
    <x v="1"/>
    <x v="0"/>
    <x v="651"/>
    <x v="625"/>
    <x v="606"/>
    <x v="209"/>
    <x v="145"/>
    <x v="6"/>
    <x v="0"/>
  </r>
  <r>
    <x v="479"/>
    <x v="1"/>
    <x v="4"/>
    <x v="5"/>
    <x v="7"/>
    <x v="648"/>
    <x v="651"/>
    <x v="1"/>
    <x v="1"/>
    <x v="2"/>
    <x v="4"/>
    <x v="652"/>
    <x v="0"/>
    <x v="1"/>
    <x v="0"/>
    <x v="652"/>
    <x v="626"/>
    <x v="607"/>
    <x v="479"/>
    <x v="465"/>
    <x v="2"/>
    <x v="4"/>
  </r>
  <r>
    <x v="229"/>
    <x v="4"/>
    <x v="3"/>
    <x v="1"/>
    <x v="16"/>
    <x v="649"/>
    <x v="652"/>
    <x v="2"/>
    <x v="1"/>
    <x v="1"/>
    <x v="4"/>
    <x v="653"/>
    <x v="0"/>
    <x v="3"/>
    <x v="0"/>
    <x v="653"/>
    <x v="627"/>
    <x v="608"/>
    <x v="229"/>
    <x v="367"/>
    <x v="4"/>
    <x v="3"/>
  </r>
  <r>
    <x v="480"/>
    <x v="8"/>
    <x v="1"/>
    <x v="0"/>
    <x v="19"/>
    <x v="650"/>
    <x v="653"/>
    <x v="1"/>
    <x v="1"/>
    <x v="3"/>
    <x v="4"/>
    <x v="654"/>
    <x v="2"/>
    <x v="0"/>
    <x v="0"/>
    <x v="654"/>
    <x v="628"/>
    <x v="609"/>
    <x v="480"/>
    <x v="466"/>
    <x v="1"/>
    <x v="1"/>
  </r>
  <r>
    <x v="481"/>
    <x v="4"/>
    <x v="1"/>
    <x v="3"/>
    <x v="16"/>
    <x v="651"/>
    <x v="654"/>
    <x v="0"/>
    <x v="0"/>
    <x v="0"/>
    <x v="2"/>
    <x v="655"/>
    <x v="2"/>
    <x v="0"/>
    <x v="0"/>
    <x v="655"/>
    <x v="629"/>
    <x v="610"/>
    <x v="481"/>
    <x v="467"/>
    <x v="4"/>
    <x v="1"/>
  </r>
  <r>
    <x v="482"/>
    <x v="4"/>
    <x v="4"/>
    <x v="5"/>
    <x v="1"/>
    <x v="652"/>
    <x v="655"/>
    <x v="0"/>
    <x v="0"/>
    <x v="0"/>
    <x v="5"/>
    <x v="656"/>
    <x v="0"/>
    <x v="0"/>
    <x v="0"/>
    <x v="656"/>
    <x v="630"/>
    <x v="611"/>
    <x v="482"/>
    <x v="468"/>
    <x v="3"/>
    <x v="4"/>
  </r>
  <r>
    <x v="483"/>
    <x v="0"/>
    <x v="0"/>
    <x v="4"/>
    <x v="1"/>
    <x v="653"/>
    <x v="656"/>
    <x v="1"/>
    <x v="1"/>
    <x v="3"/>
    <x v="0"/>
    <x v="657"/>
    <x v="4"/>
    <x v="2"/>
    <x v="0"/>
    <x v="657"/>
    <x v="353"/>
    <x v="612"/>
    <x v="483"/>
    <x v="469"/>
    <x v="3"/>
    <x v="0"/>
  </r>
  <r>
    <x v="249"/>
    <x v="3"/>
    <x v="2"/>
    <x v="1"/>
    <x v="10"/>
    <x v="640"/>
    <x v="657"/>
    <x v="3"/>
    <x v="0"/>
    <x v="1"/>
    <x v="4"/>
    <x v="658"/>
    <x v="0"/>
    <x v="1"/>
    <x v="0"/>
    <x v="658"/>
    <x v="631"/>
    <x v="613"/>
    <x v="249"/>
    <x v="470"/>
    <x v="0"/>
    <x v="2"/>
  </r>
  <r>
    <x v="220"/>
    <x v="0"/>
    <x v="3"/>
    <x v="2"/>
    <x v="10"/>
    <x v="654"/>
    <x v="658"/>
    <x v="2"/>
    <x v="1"/>
    <x v="3"/>
    <x v="5"/>
    <x v="659"/>
    <x v="1"/>
    <x v="2"/>
    <x v="0"/>
    <x v="659"/>
    <x v="632"/>
    <x v="614"/>
    <x v="220"/>
    <x v="422"/>
    <x v="3"/>
    <x v="3"/>
  </r>
  <r>
    <x v="484"/>
    <x v="10"/>
    <x v="3"/>
    <x v="2"/>
    <x v="19"/>
    <x v="655"/>
    <x v="659"/>
    <x v="0"/>
    <x v="1"/>
    <x v="1"/>
    <x v="3"/>
    <x v="660"/>
    <x v="0"/>
    <x v="3"/>
    <x v="1"/>
    <x v="660"/>
    <x v="633"/>
    <x v="615"/>
    <x v="484"/>
    <x v="471"/>
    <x v="5"/>
    <x v="3"/>
  </r>
  <r>
    <x v="257"/>
    <x v="9"/>
    <x v="4"/>
    <x v="4"/>
    <x v="10"/>
    <x v="656"/>
    <x v="660"/>
    <x v="3"/>
    <x v="0"/>
    <x v="1"/>
    <x v="0"/>
    <x v="661"/>
    <x v="0"/>
    <x v="1"/>
    <x v="0"/>
    <x v="661"/>
    <x v="634"/>
    <x v="616"/>
    <x v="257"/>
    <x v="252"/>
    <x v="5"/>
    <x v="4"/>
  </r>
  <r>
    <x v="478"/>
    <x v="7"/>
    <x v="1"/>
    <x v="0"/>
    <x v="18"/>
    <x v="657"/>
    <x v="661"/>
    <x v="2"/>
    <x v="0"/>
    <x v="3"/>
    <x v="4"/>
    <x v="662"/>
    <x v="2"/>
    <x v="0"/>
    <x v="0"/>
    <x v="662"/>
    <x v="635"/>
    <x v="617"/>
    <x v="478"/>
    <x v="128"/>
    <x v="8"/>
    <x v="1"/>
  </r>
  <r>
    <x v="485"/>
    <x v="5"/>
    <x v="1"/>
    <x v="2"/>
    <x v="17"/>
    <x v="658"/>
    <x v="662"/>
    <x v="3"/>
    <x v="0"/>
    <x v="2"/>
    <x v="3"/>
    <x v="663"/>
    <x v="4"/>
    <x v="0"/>
    <x v="0"/>
    <x v="663"/>
    <x v="636"/>
    <x v="618"/>
    <x v="485"/>
    <x v="260"/>
    <x v="1"/>
    <x v="1"/>
  </r>
  <r>
    <x v="7"/>
    <x v="4"/>
    <x v="1"/>
    <x v="2"/>
    <x v="18"/>
    <x v="659"/>
    <x v="663"/>
    <x v="3"/>
    <x v="1"/>
    <x v="1"/>
    <x v="4"/>
    <x v="664"/>
    <x v="0"/>
    <x v="1"/>
    <x v="0"/>
    <x v="664"/>
    <x v="637"/>
    <x v="619"/>
    <x v="7"/>
    <x v="472"/>
    <x v="5"/>
    <x v="1"/>
  </r>
  <r>
    <x v="486"/>
    <x v="1"/>
    <x v="2"/>
    <x v="6"/>
    <x v="17"/>
    <x v="660"/>
    <x v="664"/>
    <x v="3"/>
    <x v="0"/>
    <x v="3"/>
    <x v="0"/>
    <x v="665"/>
    <x v="0"/>
    <x v="1"/>
    <x v="0"/>
    <x v="665"/>
    <x v="638"/>
    <x v="620"/>
    <x v="486"/>
    <x v="465"/>
    <x v="5"/>
    <x v="2"/>
  </r>
  <r>
    <x v="487"/>
    <x v="2"/>
    <x v="3"/>
    <x v="4"/>
    <x v="13"/>
    <x v="661"/>
    <x v="665"/>
    <x v="2"/>
    <x v="1"/>
    <x v="0"/>
    <x v="0"/>
    <x v="666"/>
    <x v="3"/>
    <x v="1"/>
    <x v="0"/>
    <x v="666"/>
    <x v="639"/>
    <x v="621"/>
    <x v="487"/>
    <x v="473"/>
    <x v="1"/>
    <x v="3"/>
  </r>
  <r>
    <x v="488"/>
    <x v="9"/>
    <x v="4"/>
    <x v="5"/>
    <x v="2"/>
    <x v="662"/>
    <x v="666"/>
    <x v="0"/>
    <x v="1"/>
    <x v="0"/>
    <x v="3"/>
    <x v="667"/>
    <x v="1"/>
    <x v="1"/>
    <x v="0"/>
    <x v="667"/>
    <x v="640"/>
    <x v="622"/>
    <x v="488"/>
    <x v="281"/>
    <x v="2"/>
    <x v="4"/>
  </r>
  <r>
    <x v="489"/>
    <x v="1"/>
    <x v="3"/>
    <x v="6"/>
    <x v="16"/>
    <x v="663"/>
    <x v="667"/>
    <x v="1"/>
    <x v="0"/>
    <x v="3"/>
    <x v="3"/>
    <x v="668"/>
    <x v="2"/>
    <x v="1"/>
    <x v="0"/>
    <x v="668"/>
    <x v="641"/>
    <x v="623"/>
    <x v="489"/>
    <x v="61"/>
    <x v="4"/>
    <x v="3"/>
  </r>
  <r>
    <x v="490"/>
    <x v="0"/>
    <x v="2"/>
    <x v="6"/>
    <x v="8"/>
    <x v="664"/>
    <x v="668"/>
    <x v="2"/>
    <x v="1"/>
    <x v="0"/>
    <x v="2"/>
    <x v="669"/>
    <x v="4"/>
    <x v="1"/>
    <x v="0"/>
    <x v="669"/>
    <x v="642"/>
    <x v="624"/>
    <x v="490"/>
    <x v="356"/>
    <x v="4"/>
    <x v="2"/>
  </r>
  <r>
    <x v="224"/>
    <x v="9"/>
    <x v="3"/>
    <x v="3"/>
    <x v="13"/>
    <x v="665"/>
    <x v="669"/>
    <x v="0"/>
    <x v="1"/>
    <x v="0"/>
    <x v="0"/>
    <x v="670"/>
    <x v="4"/>
    <x v="2"/>
    <x v="0"/>
    <x v="670"/>
    <x v="643"/>
    <x v="625"/>
    <x v="224"/>
    <x v="452"/>
    <x v="3"/>
    <x v="3"/>
  </r>
  <r>
    <x v="491"/>
    <x v="6"/>
    <x v="4"/>
    <x v="1"/>
    <x v="1"/>
    <x v="666"/>
    <x v="670"/>
    <x v="3"/>
    <x v="0"/>
    <x v="2"/>
    <x v="5"/>
    <x v="671"/>
    <x v="0"/>
    <x v="3"/>
    <x v="0"/>
    <x v="671"/>
    <x v="644"/>
    <x v="626"/>
    <x v="491"/>
    <x v="474"/>
    <x v="8"/>
    <x v="4"/>
  </r>
  <r>
    <x v="492"/>
    <x v="0"/>
    <x v="1"/>
    <x v="2"/>
    <x v="6"/>
    <x v="667"/>
    <x v="671"/>
    <x v="2"/>
    <x v="0"/>
    <x v="2"/>
    <x v="5"/>
    <x v="672"/>
    <x v="3"/>
    <x v="3"/>
    <x v="0"/>
    <x v="672"/>
    <x v="645"/>
    <x v="627"/>
    <x v="492"/>
    <x v="314"/>
    <x v="3"/>
    <x v="1"/>
  </r>
  <r>
    <x v="44"/>
    <x v="3"/>
    <x v="3"/>
    <x v="0"/>
    <x v="4"/>
    <x v="668"/>
    <x v="672"/>
    <x v="0"/>
    <x v="0"/>
    <x v="0"/>
    <x v="3"/>
    <x v="673"/>
    <x v="3"/>
    <x v="3"/>
    <x v="0"/>
    <x v="673"/>
    <x v="646"/>
    <x v="265"/>
    <x v="44"/>
    <x v="475"/>
    <x v="8"/>
    <x v="3"/>
  </r>
  <r>
    <x v="23"/>
    <x v="10"/>
    <x v="3"/>
    <x v="2"/>
    <x v="19"/>
    <x v="669"/>
    <x v="673"/>
    <x v="3"/>
    <x v="1"/>
    <x v="3"/>
    <x v="0"/>
    <x v="674"/>
    <x v="0"/>
    <x v="3"/>
    <x v="0"/>
    <x v="674"/>
    <x v="647"/>
    <x v="526"/>
    <x v="23"/>
    <x v="476"/>
    <x v="6"/>
    <x v="3"/>
  </r>
  <r>
    <x v="43"/>
    <x v="3"/>
    <x v="4"/>
    <x v="6"/>
    <x v="2"/>
    <x v="670"/>
    <x v="674"/>
    <x v="3"/>
    <x v="0"/>
    <x v="3"/>
    <x v="5"/>
    <x v="675"/>
    <x v="3"/>
    <x v="0"/>
    <x v="1"/>
    <x v="675"/>
    <x v="648"/>
    <x v="628"/>
    <x v="43"/>
    <x v="477"/>
    <x v="8"/>
    <x v="4"/>
  </r>
  <r>
    <x v="493"/>
    <x v="0"/>
    <x v="4"/>
    <x v="6"/>
    <x v="8"/>
    <x v="671"/>
    <x v="675"/>
    <x v="1"/>
    <x v="1"/>
    <x v="1"/>
    <x v="0"/>
    <x v="676"/>
    <x v="2"/>
    <x v="1"/>
    <x v="0"/>
    <x v="676"/>
    <x v="649"/>
    <x v="629"/>
    <x v="493"/>
    <x v="469"/>
    <x v="0"/>
    <x v="4"/>
  </r>
  <r>
    <x v="145"/>
    <x v="4"/>
    <x v="2"/>
    <x v="6"/>
    <x v="19"/>
    <x v="672"/>
    <x v="676"/>
    <x v="1"/>
    <x v="0"/>
    <x v="3"/>
    <x v="3"/>
    <x v="677"/>
    <x v="3"/>
    <x v="3"/>
    <x v="0"/>
    <x v="677"/>
    <x v="650"/>
    <x v="31"/>
    <x v="145"/>
    <x v="478"/>
    <x v="6"/>
    <x v="2"/>
  </r>
  <r>
    <x v="335"/>
    <x v="5"/>
    <x v="2"/>
    <x v="5"/>
    <x v="9"/>
    <x v="673"/>
    <x v="677"/>
    <x v="1"/>
    <x v="0"/>
    <x v="2"/>
    <x v="0"/>
    <x v="678"/>
    <x v="4"/>
    <x v="1"/>
    <x v="0"/>
    <x v="678"/>
    <x v="651"/>
    <x v="630"/>
    <x v="335"/>
    <x v="479"/>
    <x v="7"/>
    <x v="2"/>
  </r>
  <r>
    <x v="373"/>
    <x v="1"/>
    <x v="3"/>
    <x v="2"/>
    <x v="11"/>
    <x v="674"/>
    <x v="678"/>
    <x v="2"/>
    <x v="0"/>
    <x v="2"/>
    <x v="3"/>
    <x v="679"/>
    <x v="4"/>
    <x v="3"/>
    <x v="0"/>
    <x v="679"/>
    <x v="652"/>
    <x v="631"/>
    <x v="373"/>
    <x v="263"/>
    <x v="4"/>
    <x v="3"/>
  </r>
  <r>
    <x v="250"/>
    <x v="8"/>
    <x v="1"/>
    <x v="5"/>
    <x v="13"/>
    <x v="675"/>
    <x v="679"/>
    <x v="0"/>
    <x v="0"/>
    <x v="3"/>
    <x v="4"/>
    <x v="680"/>
    <x v="1"/>
    <x v="2"/>
    <x v="0"/>
    <x v="680"/>
    <x v="281"/>
    <x v="632"/>
    <x v="250"/>
    <x v="316"/>
    <x v="4"/>
    <x v="1"/>
  </r>
  <r>
    <x v="494"/>
    <x v="2"/>
    <x v="0"/>
    <x v="0"/>
    <x v="10"/>
    <x v="676"/>
    <x v="680"/>
    <x v="3"/>
    <x v="0"/>
    <x v="2"/>
    <x v="0"/>
    <x v="681"/>
    <x v="4"/>
    <x v="2"/>
    <x v="1"/>
    <x v="681"/>
    <x v="653"/>
    <x v="633"/>
    <x v="494"/>
    <x v="480"/>
    <x v="4"/>
    <x v="0"/>
  </r>
  <r>
    <x v="292"/>
    <x v="11"/>
    <x v="2"/>
    <x v="4"/>
    <x v="19"/>
    <x v="677"/>
    <x v="681"/>
    <x v="2"/>
    <x v="1"/>
    <x v="0"/>
    <x v="5"/>
    <x v="682"/>
    <x v="4"/>
    <x v="3"/>
    <x v="0"/>
    <x v="682"/>
    <x v="654"/>
    <x v="634"/>
    <x v="292"/>
    <x v="481"/>
    <x v="8"/>
    <x v="2"/>
  </r>
  <r>
    <x v="196"/>
    <x v="9"/>
    <x v="0"/>
    <x v="3"/>
    <x v="5"/>
    <x v="678"/>
    <x v="682"/>
    <x v="2"/>
    <x v="0"/>
    <x v="0"/>
    <x v="3"/>
    <x v="683"/>
    <x v="3"/>
    <x v="3"/>
    <x v="0"/>
    <x v="683"/>
    <x v="655"/>
    <x v="635"/>
    <x v="196"/>
    <x v="482"/>
    <x v="1"/>
    <x v="0"/>
  </r>
  <r>
    <x v="495"/>
    <x v="7"/>
    <x v="4"/>
    <x v="3"/>
    <x v="7"/>
    <x v="679"/>
    <x v="683"/>
    <x v="1"/>
    <x v="1"/>
    <x v="1"/>
    <x v="3"/>
    <x v="684"/>
    <x v="2"/>
    <x v="1"/>
    <x v="1"/>
    <x v="684"/>
    <x v="656"/>
    <x v="636"/>
    <x v="495"/>
    <x v="483"/>
    <x v="5"/>
    <x v="4"/>
  </r>
  <r>
    <x v="261"/>
    <x v="3"/>
    <x v="1"/>
    <x v="3"/>
    <x v="11"/>
    <x v="680"/>
    <x v="684"/>
    <x v="3"/>
    <x v="1"/>
    <x v="1"/>
    <x v="1"/>
    <x v="685"/>
    <x v="2"/>
    <x v="2"/>
    <x v="1"/>
    <x v="685"/>
    <x v="657"/>
    <x v="637"/>
    <x v="261"/>
    <x v="99"/>
    <x v="7"/>
    <x v="1"/>
  </r>
  <r>
    <x v="496"/>
    <x v="10"/>
    <x v="2"/>
    <x v="2"/>
    <x v="2"/>
    <x v="681"/>
    <x v="685"/>
    <x v="2"/>
    <x v="1"/>
    <x v="2"/>
    <x v="4"/>
    <x v="686"/>
    <x v="1"/>
    <x v="2"/>
    <x v="0"/>
    <x v="686"/>
    <x v="658"/>
    <x v="638"/>
    <x v="496"/>
    <x v="326"/>
    <x v="0"/>
    <x v="2"/>
  </r>
  <r>
    <x v="442"/>
    <x v="1"/>
    <x v="3"/>
    <x v="2"/>
    <x v="5"/>
    <x v="682"/>
    <x v="686"/>
    <x v="0"/>
    <x v="1"/>
    <x v="1"/>
    <x v="4"/>
    <x v="687"/>
    <x v="4"/>
    <x v="3"/>
    <x v="1"/>
    <x v="687"/>
    <x v="659"/>
    <x v="639"/>
    <x v="442"/>
    <x v="412"/>
    <x v="8"/>
    <x v="3"/>
  </r>
  <r>
    <x v="258"/>
    <x v="4"/>
    <x v="2"/>
    <x v="1"/>
    <x v="9"/>
    <x v="683"/>
    <x v="687"/>
    <x v="1"/>
    <x v="1"/>
    <x v="1"/>
    <x v="5"/>
    <x v="688"/>
    <x v="3"/>
    <x v="1"/>
    <x v="1"/>
    <x v="688"/>
    <x v="660"/>
    <x v="640"/>
    <x v="258"/>
    <x v="172"/>
    <x v="6"/>
    <x v="2"/>
  </r>
  <r>
    <x v="497"/>
    <x v="2"/>
    <x v="1"/>
    <x v="3"/>
    <x v="1"/>
    <x v="684"/>
    <x v="688"/>
    <x v="0"/>
    <x v="1"/>
    <x v="2"/>
    <x v="2"/>
    <x v="689"/>
    <x v="3"/>
    <x v="1"/>
    <x v="1"/>
    <x v="689"/>
    <x v="661"/>
    <x v="641"/>
    <x v="497"/>
    <x v="321"/>
    <x v="5"/>
    <x v="1"/>
  </r>
  <r>
    <x v="498"/>
    <x v="4"/>
    <x v="3"/>
    <x v="2"/>
    <x v="9"/>
    <x v="685"/>
    <x v="689"/>
    <x v="1"/>
    <x v="0"/>
    <x v="1"/>
    <x v="3"/>
    <x v="690"/>
    <x v="0"/>
    <x v="3"/>
    <x v="1"/>
    <x v="690"/>
    <x v="662"/>
    <x v="642"/>
    <x v="498"/>
    <x v="356"/>
    <x v="1"/>
    <x v="3"/>
  </r>
  <r>
    <x v="499"/>
    <x v="2"/>
    <x v="0"/>
    <x v="6"/>
    <x v="12"/>
    <x v="372"/>
    <x v="690"/>
    <x v="3"/>
    <x v="1"/>
    <x v="1"/>
    <x v="3"/>
    <x v="691"/>
    <x v="4"/>
    <x v="0"/>
    <x v="1"/>
    <x v="691"/>
    <x v="663"/>
    <x v="454"/>
    <x v="499"/>
    <x v="209"/>
    <x v="6"/>
    <x v="0"/>
  </r>
  <r>
    <x v="31"/>
    <x v="6"/>
    <x v="2"/>
    <x v="1"/>
    <x v="1"/>
    <x v="686"/>
    <x v="691"/>
    <x v="3"/>
    <x v="0"/>
    <x v="0"/>
    <x v="5"/>
    <x v="692"/>
    <x v="4"/>
    <x v="3"/>
    <x v="0"/>
    <x v="692"/>
    <x v="664"/>
    <x v="643"/>
    <x v="31"/>
    <x v="484"/>
    <x v="5"/>
    <x v="2"/>
  </r>
  <r>
    <x v="193"/>
    <x v="0"/>
    <x v="4"/>
    <x v="5"/>
    <x v="16"/>
    <x v="687"/>
    <x v="692"/>
    <x v="0"/>
    <x v="1"/>
    <x v="2"/>
    <x v="2"/>
    <x v="693"/>
    <x v="2"/>
    <x v="2"/>
    <x v="0"/>
    <x v="693"/>
    <x v="665"/>
    <x v="644"/>
    <x v="193"/>
    <x v="485"/>
    <x v="3"/>
    <x v="4"/>
  </r>
  <r>
    <x v="45"/>
    <x v="0"/>
    <x v="0"/>
    <x v="5"/>
    <x v="7"/>
    <x v="688"/>
    <x v="693"/>
    <x v="2"/>
    <x v="1"/>
    <x v="2"/>
    <x v="4"/>
    <x v="694"/>
    <x v="1"/>
    <x v="2"/>
    <x v="0"/>
    <x v="694"/>
    <x v="666"/>
    <x v="645"/>
    <x v="45"/>
    <x v="88"/>
    <x v="8"/>
    <x v="0"/>
  </r>
  <r>
    <x v="46"/>
    <x v="4"/>
    <x v="3"/>
    <x v="6"/>
    <x v="10"/>
    <x v="689"/>
    <x v="694"/>
    <x v="1"/>
    <x v="0"/>
    <x v="3"/>
    <x v="1"/>
    <x v="695"/>
    <x v="1"/>
    <x v="1"/>
    <x v="0"/>
    <x v="695"/>
    <x v="667"/>
    <x v="646"/>
    <x v="46"/>
    <x v="486"/>
    <x v="6"/>
    <x v="3"/>
  </r>
  <r>
    <x v="500"/>
    <x v="2"/>
    <x v="2"/>
    <x v="2"/>
    <x v="17"/>
    <x v="690"/>
    <x v="695"/>
    <x v="1"/>
    <x v="0"/>
    <x v="3"/>
    <x v="3"/>
    <x v="696"/>
    <x v="2"/>
    <x v="3"/>
    <x v="0"/>
    <x v="696"/>
    <x v="668"/>
    <x v="647"/>
    <x v="500"/>
    <x v="487"/>
    <x v="1"/>
    <x v="2"/>
  </r>
  <r>
    <x v="417"/>
    <x v="7"/>
    <x v="3"/>
    <x v="2"/>
    <x v="6"/>
    <x v="691"/>
    <x v="696"/>
    <x v="1"/>
    <x v="1"/>
    <x v="1"/>
    <x v="0"/>
    <x v="697"/>
    <x v="3"/>
    <x v="3"/>
    <x v="0"/>
    <x v="697"/>
    <x v="669"/>
    <x v="648"/>
    <x v="417"/>
    <x v="488"/>
    <x v="0"/>
    <x v="3"/>
  </r>
  <r>
    <x v="40"/>
    <x v="3"/>
    <x v="1"/>
    <x v="2"/>
    <x v="13"/>
    <x v="692"/>
    <x v="697"/>
    <x v="2"/>
    <x v="0"/>
    <x v="0"/>
    <x v="1"/>
    <x v="698"/>
    <x v="2"/>
    <x v="1"/>
    <x v="0"/>
    <x v="698"/>
    <x v="670"/>
    <x v="649"/>
    <x v="40"/>
    <x v="489"/>
    <x v="8"/>
    <x v="1"/>
  </r>
  <r>
    <x v="501"/>
    <x v="9"/>
    <x v="1"/>
    <x v="1"/>
    <x v="7"/>
    <x v="693"/>
    <x v="698"/>
    <x v="2"/>
    <x v="0"/>
    <x v="0"/>
    <x v="1"/>
    <x v="699"/>
    <x v="3"/>
    <x v="2"/>
    <x v="0"/>
    <x v="699"/>
    <x v="671"/>
    <x v="650"/>
    <x v="501"/>
    <x v="490"/>
    <x v="2"/>
    <x v="1"/>
  </r>
  <r>
    <x v="439"/>
    <x v="0"/>
    <x v="0"/>
    <x v="5"/>
    <x v="0"/>
    <x v="694"/>
    <x v="699"/>
    <x v="2"/>
    <x v="1"/>
    <x v="2"/>
    <x v="5"/>
    <x v="700"/>
    <x v="3"/>
    <x v="0"/>
    <x v="0"/>
    <x v="700"/>
    <x v="672"/>
    <x v="651"/>
    <x v="439"/>
    <x v="320"/>
    <x v="2"/>
    <x v="0"/>
  </r>
  <r>
    <x v="224"/>
    <x v="9"/>
    <x v="1"/>
    <x v="4"/>
    <x v="13"/>
    <x v="695"/>
    <x v="700"/>
    <x v="3"/>
    <x v="1"/>
    <x v="2"/>
    <x v="0"/>
    <x v="701"/>
    <x v="2"/>
    <x v="3"/>
    <x v="0"/>
    <x v="701"/>
    <x v="673"/>
    <x v="652"/>
    <x v="224"/>
    <x v="452"/>
    <x v="3"/>
    <x v="1"/>
  </r>
  <r>
    <x v="502"/>
    <x v="7"/>
    <x v="3"/>
    <x v="4"/>
    <x v="14"/>
    <x v="696"/>
    <x v="701"/>
    <x v="1"/>
    <x v="0"/>
    <x v="0"/>
    <x v="2"/>
    <x v="702"/>
    <x v="0"/>
    <x v="3"/>
    <x v="1"/>
    <x v="702"/>
    <x v="297"/>
    <x v="653"/>
    <x v="502"/>
    <x v="491"/>
    <x v="1"/>
    <x v="3"/>
  </r>
  <r>
    <x v="503"/>
    <x v="3"/>
    <x v="0"/>
    <x v="0"/>
    <x v="17"/>
    <x v="697"/>
    <x v="702"/>
    <x v="3"/>
    <x v="0"/>
    <x v="3"/>
    <x v="0"/>
    <x v="703"/>
    <x v="2"/>
    <x v="0"/>
    <x v="0"/>
    <x v="703"/>
    <x v="674"/>
    <x v="654"/>
    <x v="503"/>
    <x v="244"/>
    <x v="2"/>
    <x v="0"/>
  </r>
  <r>
    <x v="216"/>
    <x v="3"/>
    <x v="4"/>
    <x v="4"/>
    <x v="13"/>
    <x v="698"/>
    <x v="703"/>
    <x v="0"/>
    <x v="1"/>
    <x v="1"/>
    <x v="3"/>
    <x v="704"/>
    <x v="4"/>
    <x v="0"/>
    <x v="1"/>
    <x v="704"/>
    <x v="675"/>
    <x v="655"/>
    <x v="216"/>
    <x v="492"/>
    <x v="7"/>
    <x v="4"/>
  </r>
  <r>
    <x v="504"/>
    <x v="6"/>
    <x v="4"/>
    <x v="5"/>
    <x v="16"/>
    <x v="699"/>
    <x v="704"/>
    <x v="0"/>
    <x v="0"/>
    <x v="0"/>
    <x v="3"/>
    <x v="705"/>
    <x v="1"/>
    <x v="3"/>
    <x v="0"/>
    <x v="705"/>
    <x v="676"/>
    <x v="656"/>
    <x v="504"/>
    <x v="493"/>
    <x v="4"/>
    <x v="4"/>
  </r>
  <r>
    <x v="207"/>
    <x v="9"/>
    <x v="3"/>
    <x v="2"/>
    <x v="3"/>
    <x v="700"/>
    <x v="705"/>
    <x v="2"/>
    <x v="1"/>
    <x v="0"/>
    <x v="4"/>
    <x v="706"/>
    <x v="2"/>
    <x v="2"/>
    <x v="0"/>
    <x v="706"/>
    <x v="677"/>
    <x v="657"/>
    <x v="207"/>
    <x v="65"/>
    <x v="5"/>
    <x v="3"/>
  </r>
  <r>
    <x v="386"/>
    <x v="5"/>
    <x v="3"/>
    <x v="5"/>
    <x v="19"/>
    <x v="701"/>
    <x v="706"/>
    <x v="2"/>
    <x v="1"/>
    <x v="1"/>
    <x v="5"/>
    <x v="707"/>
    <x v="2"/>
    <x v="1"/>
    <x v="0"/>
    <x v="707"/>
    <x v="678"/>
    <x v="658"/>
    <x v="386"/>
    <x v="288"/>
    <x v="1"/>
    <x v="3"/>
  </r>
  <r>
    <x v="2"/>
    <x v="2"/>
    <x v="0"/>
    <x v="6"/>
    <x v="2"/>
    <x v="702"/>
    <x v="707"/>
    <x v="1"/>
    <x v="1"/>
    <x v="3"/>
    <x v="2"/>
    <x v="708"/>
    <x v="3"/>
    <x v="0"/>
    <x v="1"/>
    <x v="708"/>
    <x v="679"/>
    <x v="659"/>
    <x v="2"/>
    <x v="494"/>
    <x v="2"/>
    <x v="0"/>
  </r>
  <r>
    <x v="237"/>
    <x v="8"/>
    <x v="0"/>
    <x v="0"/>
    <x v="2"/>
    <x v="703"/>
    <x v="708"/>
    <x v="2"/>
    <x v="1"/>
    <x v="0"/>
    <x v="0"/>
    <x v="709"/>
    <x v="1"/>
    <x v="2"/>
    <x v="1"/>
    <x v="709"/>
    <x v="680"/>
    <x v="660"/>
    <x v="237"/>
    <x v="63"/>
    <x v="1"/>
    <x v="0"/>
  </r>
  <r>
    <x v="222"/>
    <x v="10"/>
    <x v="3"/>
    <x v="1"/>
    <x v="0"/>
    <x v="704"/>
    <x v="709"/>
    <x v="2"/>
    <x v="1"/>
    <x v="2"/>
    <x v="4"/>
    <x v="710"/>
    <x v="0"/>
    <x v="0"/>
    <x v="0"/>
    <x v="710"/>
    <x v="681"/>
    <x v="122"/>
    <x v="222"/>
    <x v="217"/>
    <x v="2"/>
    <x v="3"/>
  </r>
  <r>
    <x v="505"/>
    <x v="1"/>
    <x v="0"/>
    <x v="0"/>
    <x v="8"/>
    <x v="705"/>
    <x v="710"/>
    <x v="1"/>
    <x v="1"/>
    <x v="3"/>
    <x v="3"/>
    <x v="711"/>
    <x v="0"/>
    <x v="2"/>
    <x v="0"/>
    <x v="711"/>
    <x v="682"/>
    <x v="661"/>
    <x v="505"/>
    <x v="364"/>
    <x v="7"/>
    <x v="0"/>
  </r>
  <r>
    <x v="506"/>
    <x v="6"/>
    <x v="2"/>
    <x v="5"/>
    <x v="17"/>
    <x v="706"/>
    <x v="711"/>
    <x v="3"/>
    <x v="1"/>
    <x v="2"/>
    <x v="5"/>
    <x v="712"/>
    <x v="4"/>
    <x v="0"/>
    <x v="1"/>
    <x v="712"/>
    <x v="683"/>
    <x v="662"/>
    <x v="506"/>
    <x v="484"/>
    <x v="6"/>
    <x v="2"/>
  </r>
  <r>
    <x v="507"/>
    <x v="11"/>
    <x v="3"/>
    <x v="2"/>
    <x v="1"/>
    <x v="707"/>
    <x v="712"/>
    <x v="0"/>
    <x v="0"/>
    <x v="2"/>
    <x v="5"/>
    <x v="713"/>
    <x v="2"/>
    <x v="2"/>
    <x v="0"/>
    <x v="713"/>
    <x v="684"/>
    <x v="663"/>
    <x v="507"/>
    <x v="284"/>
    <x v="8"/>
    <x v="3"/>
  </r>
  <r>
    <x v="424"/>
    <x v="2"/>
    <x v="2"/>
    <x v="5"/>
    <x v="3"/>
    <x v="708"/>
    <x v="713"/>
    <x v="2"/>
    <x v="1"/>
    <x v="1"/>
    <x v="4"/>
    <x v="714"/>
    <x v="1"/>
    <x v="3"/>
    <x v="0"/>
    <x v="714"/>
    <x v="685"/>
    <x v="664"/>
    <x v="424"/>
    <x v="227"/>
    <x v="0"/>
    <x v="2"/>
  </r>
  <r>
    <x v="83"/>
    <x v="2"/>
    <x v="4"/>
    <x v="4"/>
    <x v="1"/>
    <x v="709"/>
    <x v="714"/>
    <x v="2"/>
    <x v="0"/>
    <x v="2"/>
    <x v="4"/>
    <x v="715"/>
    <x v="0"/>
    <x v="0"/>
    <x v="1"/>
    <x v="715"/>
    <x v="686"/>
    <x v="331"/>
    <x v="83"/>
    <x v="495"/>
    <x v="3"/>
    <x v="4"/>
  </r>
  <r>
    <x v="508"/>
    <x v="11"/>
    <x v="0"/>
    <x v="0"/>
    <x v="0"/>
    <x v="710"/>
    <x v="715"/>
    <x v="3"/>
    <x v="0"/>
    <x v="3"/>
    <x v="4"/>
    <x v="716"/>
    <x v="0"/>
    <x v="3"/>
    <x v="1"/>
    <x v="716"/>
    <x v="687"/>
    <x v="665"/>
    <x v="508"/>
    <x v="496"/>
    <x v="0"/>
    <x v="0"/>
  </r>
  <r>
    <x v="485"/>
    <x v="5"/>
    <x v="1"/>
    <x v="0"/>
    <x v="16"/>
    <x v="711"/>
    <x v="716"/>
    <x v="3"/>
    <x v="1"/>
    <x v="1"/>
    <x v="4"/>
    <x v="717"/>
    <x v="0"/>
    <x v="3"/>
    <x v="0"/>
    <x v="717"/>
    <x v="688"/>
    <x v="95"/>
    <x v="485"/>
    <x v="497"/>
    <x v="8"/>
    <x v="1"/>
  </r>
  <r>
    <x v="271"/>
    <x v="7"/>
    <x v="0"/>
    <x v="0"/>
    <x v="11"/>
    <x v="712"/>
    <x v="717"/>
    <x v="0"/>
    <x v="1"/>
    <x v="0"/>
    <x v="3"/>
    <x v="718"/>
    <x v="0"/>
    <x v="2"/>
    <x v="0"/>
    <x v="718"/>
    <x v="689"/>
    <x v="666"/>
    <x v="271"/>
    <x v="498"/>
    <x v="1"/>
    <x v="0"/>
  </r>
  <r>
    <x v="509"/>
    <x v="6"/>
    <x v="1"/>
    <x v="4"/>
    <x v="9"/>
    <x v="713"/>
    <x v="718"/>
    <x v="2"/>
    <x v="1"/>
    <x v="1"/>
    <x v="5"/>
    <x v="719"/>
    <x v="3"/>
    <x v="1"/>
    <x v="0"/>
    <x v="719"/>
    <x v="690"/>
    <x v="667"/>
    <x v="509"/>
    <x v="387"/>
    <x v="8"/>
    <x v="1"/>
  </r>
  <r>
    <x v="414"/>
    <x v="8"/>
    <x v="2"/>
    <x v="2"/>
    <x v="9"/>
    <x v="381"/>
    <x v="719"/>
    <x v="0"/>
    <x v="0"/>
    <x v="3"/>
    <x v="2"/>
    <x v="720"/>
    <x v="2"/>
    <x v="2"/>
    <x v="0"/>
    <x v="720"/>
    <x v="691"/>
    <x v="668"/>
    <x v="414"/>
    <x v="155"/>
    <x v="2"/>
    <x v="2"/>
  </r>
  <r>
    <x v="510"/>
    <x v="2"/>
    <x v="2"/>
    <x v="5"/>
    <x v="18"/>
    <x v="714"/>
    <x v="720"/>
    <x v="1"/>
    <x v="1"/>
    <x v="1"/>
    <x v="3"/>
    <x v="721"/>
    <x v="3"/>
    <x v="3"/>
    <x v="0"/>
    <x v="721"/>
    <x v="692"/>
    <x v="167"/>
    <x v="510"/>
    <x v="90"/>
    <x v="1"/>
    <x v="2"/>
  </r>
  <r>
    <x v="276"/>
    <x v="2"/>
    <x v="2"/>
    <x v="0"/>
    <x v="7"/>
    <x v="715"/>
    <x v="721"/>
    <x v="0"/>
    <x v="0"/>
    <x v="1"/>
    <x v="5"/>
    <x v="722"/>
    <x v="2"/>
    <x v="2"/>
    <x v="0"/>
    <x v="722"/>
    <x v="693"/>
    <x v="669"/>
    <x v="276"/>
    <x v="273"/>
    <x v="0"/>
    <x v="2"/>
  </r>
  <r>
    <x v="511"/>
    <x v="4"/>
    <x v="2"/>
    <x v="2"/>
    <x v="7"/>
    <x v="716"/>
    <x v="722"/>
    <x v="0"/>
    <x v="0"/>
    <x v="0"/>
    <x v="1"/>
    <x v="723"/>
    <x v="4"/>
    <x v="0"/>
    <x v="0"/>
    <x v="723"/>
    <x v="694"/>
    <x v="395"/>
    <x v="511"/>
    <x v="472"/>
    <x v="4"/>
    <x v="2"/>
  </r>
  <r>
    <x v="46"/>
    <x v="4"/>
    <x v="3"/>
    <x v="4"/>
    <x v="8"/>
    <x v="717"/>
    <x v="723"/>
    <x v="3"/>
    <x v="0"/>
    <x v="1"/>
    <x v="4"/>
    <x v="724"/>
    <x v="2"/>
    <x v="1"/>
    <x v="0"/>
    <x v="724"/>
    <x v="695"/>
    <x v="670"/>
    <x v="46"/>
    <x v="448"/>
    <x v="2"/>
    <x v="3"/>
  </r>
  <r>
    <x v="512"/>
    <x v="8"/>
    <x v="1"/>
    <x v="3"/>
    <x v="15"/>
    <x v="718"/>
    <x v="724"/>
    <x v="0"/>
    <x v="1"/>
    <x v="2"/>
    <x v="3"/>
    <x v="725"/>
    <x v="0"/>
    <x v="0"/>
    <x v="0"/>
    <x v="725"/>
    <x v="696"/>
    <x v="671"/>
    <x v="512"/>
    <x v="499"/>
    <x v="1"/>
    <x v="1"/>
  </r>
  <r>
    <x v="513"/>
    <x v="3"/>
    <x v="0"/>
    <x v="3"/>
    <x v="4"/>
    <x v="719"/>
    <x v="725"/>
    <x v="0"/>
    <x v="1"/>
    <x v="3"/>
    <x v="0"/>
    <x v="726"/>
    <x v="4"/>
    <x v="0"/>
    <x v="1"/>
    <x v="726"/>
    <x v="697"/>
    <x v="672"/>
    <x v="513"/>
    <x v="500"/>
    <x v="8"/>
    <x v="0"/>
  </r>
  <r>
    <x v="514"/>
    <x v="1"/>
    <x v="2"/>
    <x v="6"/>
    <x v="6"/>
    <x v="720"/>
    <x v="726"/>
    <x v="1"/>
    <x v="1"/>
    <x v="1"/>
    <x v="2"/>
    <x v="727"/>
    <x v="1"/>
    <x v="2"/>
    <x v="0"/>
    <x v="727"/>
    <x v="698"/>
    <x v="530"/>
    <x v="514"/>
    <x v="501"/>
    <x v="0"/>
    <x v="2"/>
  </r>
  <r>
    <x v="515"/>
    <x v="2"/>
    <x v="4"/>
    <x v="5"/>
    <x v="17"/>
    <x v="721"/>
    <x v="727"/>
    <x v="3"/>
    <x v="1"/>
    <x v="3"/>
    <x v="5"/>
    <x v="728"/>
    <x v="4"/>
    <x v="3"/>
    <x v="0"/>
    <x v="728"/>
    <x v="699"/>
    <x v="673"/>
    <x v="515"/>
    <x v="275"/>
    <x v="7"/>
    <x v="4"/>
  </r>
  <r>
    <x v="516"/>
    <x v="7"/>
    <x v="3"/>
    <x v="2"/>
    <x v="6"/>
    <x v="722"/>
    <x v="728"/>
    <x v="1"/>
    <x v="1"/>
    <x v="1"/>
    <x v="3"/>
    <x v="729"/>
    <x v="4"/>
    <x v="0"/>
    <x v="1"/>
    <x v="729"/>
    <x v="700"/>
    <x v="674"/>
    <x v="516"/>
    <x v="202"/>
    <x v="7"/>
    <x v="3"/>
  </r>
  <r>
    <x v="517"/>
    <x v="4"/>
    <x v="0"/>
    <x v="0"/>
    <x v="4"/>
    <x v="723"/>
    <x v="729"/>
    <x v="2"/>
    <x v="0"/>
    <x v="1"/>
    <x v="4"/>
    <x v="730"/>
    <x v="3"/>
    <x v="1"/>
    <x v="0"/>
    <x v="730"/>
    <x v="701"/>
    <x v="675"/>
    <x v="517"/>
    <x v="502"/>
    <x v="3"/>
    <x v="0"/>
  </r>
  <r>
    <x v="518"/>
    <x v="7"/>
    <x v="3"/>
    <x v="4"/>
    <x v="3"/>
    <x v="724"/>
    <x v="730"/>
    <x v="0"/>
    <x v="1"/>
    <x v="1"/>
    <x v="1"/>
    <x v="731"/>
    <x v="3"/>
    <x v="3"/>
    <x v="1"/>
    <x v="731"/>
    <x v="702"/>
    <x v="676"/>
    <x v="518"/>
    <x v="503"/>
    <x v="1"/>
    <x v="3"/>
  </r>
  <r>
    <x v="313"/>
    <x v="7"/>
    <x v="3"/>
    <x v="3"/>
    <x v="7"/>
    <x v="725"/>
    <x v="731"/>
    <x v="1"/>
    <x v="0"/>
    <x v="2"/>
    <x v="5"/>
    <x v="732"/>
    <x v="2"/>
    <x v="3"/>
    <x v="0"/>
    <x v="732"/>
    <x v="703"/>
    <x v="677"/>
    <x v="313"/>
    <x v="106"/>
    <x v="7"/>
    <x v="3"/>
  </r>
  <r>
    <x v="519"/>
    <x v="5"/>
    <x v="3"/>
    <x v="0"/>
    <x v="3"/>
    <x v="726"/>
    <x v="732"/>
    <x v="2"/>
    <x v="1"/>
    <x v="3"/>
    <x v="3"/>
    <x v="733"/>
    <x v="3"/>
    <x v="0"/>
    <x v="1"/>
    <x v="733"/>
    <x v="704"/>
    <x v="678"/>
    <x v="519"/>
    <x v="504"/>
    <x v="2"/>
    <x v="3"/>
  </r>
  <r>
    <x v="480"/>
    <x v="8"/>
    <x v="3"/>
    <x v="3"/>
    <x v="1"/>
    <x v="727"/>
    <x v="733"/>
    <x v="3"/>
    <x v="0"/>
    <x v="1"/>
    <x v="0"/>
    <x v="734"/>
    <x v="0"/>
    <x v="0"/>
    <x v="0"/>
    <x v="734"/>
    <x v="705"/>
    <x v="75"/>
    <x v="480"/>
    <x v="445"/>
    <x v="8"/>
    <x v="3"/>
  </r>
  <r>
    <x v="520"/>
    <x v="4"/>
    <x v="4"/>
    <x v="5"/>
    <x v="5"/>
    <x v="728"/>
    <x v="734"/>
    <x v="3"/>
    <x v="0"/>
    <x v="2"/>
    <x v="4"/>
    <x v="735"/>
    <x v="3"/>
    <x v="1"/>
    <x v="0"/>
    <x v="735"/>
    <x v="706"/>
    <x v="343"/>
    <x v="520"/>
    <x v="400"/>
    <x v="5"/>
    <x v="4"/>
  </r>
  <r>
    <x v="245"/>
    <x v="8"/>
    <x v="1"/>
    <x v="3"/>
    <x v="13"/>
    <x v="729"/>
    <x v="735"/>
    <x v="3"/>
    <x v="0"/>
    <x v="3"/>
    <x v="1"/>
    <x v="736"/>
    <x v="2"/>
    <x v="3"/>
    <x v="1"/>
    <x v="736"/>
    <x v="707"/>
    <x v="679"/>
    <x v="245"/>
    <x v="324"/>
    <x v="7"/>
    <x v="1"/>
  </r>
  <r>
    <x v="521"/>
    <x v="2"/>
    <x v="4"/>
    <x v="5"/>
    <x v="16"/>
    <x v="730"/>
    <x v="736"/>
    <x v="1"/>
    <x v="0"/>
    <x v="1"/>
    <x v="4"/>
    <x v="737"/>
    <x v="3"/>
    <x v="2"/>
    <x v="1"/>
    <x v="737"/>
    <x v="708"/>
    <x v="680"/>
    <x v="521"/>
    <x v="505"/>
    <x v="2"/>
    <x v="4"/>
  </r>
  <r>
    <x v="218"/>
    <x v="10"/>
    <x v="3"/>
    <x v="2"/>
    <x v="15"/>
    <x v="731"/>
    <x v="737"/>
    <x v="0"/>
    <x v="0"/>
    <x v="3"/>
    <x v="3"/>
    <x v="738"/>
    <x v="0"/>
    <x v="1"/>
    <x v="0"/>
    <x v="738"/>
    <x v="709"/>
    <x v="681"/>
    <x v="218"/>
    <x v="156"/>
    <x v="3"/>
    <x v="3"/>
  </r>
  <r>
    <x v="178"/>
    <x v="7"/>
    <x v="4"/>
    <x v="5"/>
    <x v="3"/>
    <x v="732"/>
    <x v="738"/>
    <x v="0"/>
    <x v="1"/>
    <x v="3"/>
    <x v="1"/>
    <x v="739"/>
    <x v="2"/>
    <x v="3"/>
    <x v="0"/>
    <x v="739"/>
    <x v="710"/>
    <x v="682"/>
    <x v="178"/>
    <x v="506"/>
    <x v="4"/>
    <x v="4"/>
  </r>
  <r>
    <x v="522"/>
    <x v="3"/>
    <x v="1"/>
    <x v="5"/>
    <x v="1"/>
    <x v="733"/>
    <x v="739"/>
    <x v="2"/>
    <x v="0"/>
    <x v="3"/>
    <x v="2"/>
    <x v="740"/>
    <x v="0"/>
    <x v="2"/>
    <x v="0"/>
    <x v="740"/>
    <x v="340"/>
    <x v="464"/>
    <x v="522"/>
    <x v="295"/>
    <x v="0"/>
    <x v="1"/>
  </r>
  <r>
    <x v="395"/>
    <x v="5"/>
    <x v="4"/>
    <x v="6"/>
    <x v="9"/>
    <x v="734"/>
    <x v="740"/>
    <x v="0"/>
    <x v="0"/>
    <x v="3"/>
    <x v="1"/>
    <x v="741"/>
    <x v="2"/>
    <x v="3"/>
    <x v="1"/>
    <x v="741"/>
    <x v="711"/>
    <x v="683"/>
    <x v="395"/>
    <x v="507"/>
    <x v="2"/>
    <x v="4"/>
  </r>
  <r>
    <x v="523"/>
    <x v="4"/>
    <x v="2"/>
    <x v="0"/>
    <x v="5"/>
    <x v="735"/>
    <x v="741"/>
    <x v="1"/>
    <x v="1"/>
    <x v="3"/>
    <x v="3"/>
    <x v="742"/>
    <x v="4"/>
    <x v="2"/>
    <x v="0"/>
    <x v="742"/>
    <x v="712"/>
    <x v="684"/>
    <x v="523"/>
    <x v="133"/>
    <x v="0"/>
    <x v="2"/>
  </r>
  <r>
    <x v="524"/>
    <x v="3"/>
    <x v="1"/>
    <x v="3"/>
    <x v="9"/>
    <x v="736"/>
    <x v="742"/>
    <x v="1"/>
    <x v="0"/>
    <x v="1"/>
    <x v="4"/>
    <x v="743"/>
    <x v="0"/>
    <x v="1"/>
    <x v="0"/>
    <x v="743"/>
    <x v="713"/>
    <x v="685"/>
    <x v="524"/>
    <x v="508"/>
    <x v="5"/>
    <x v="1"/>
  </r>
  <r>
    <x v="324"/>
    <x v="3"/>
    <x v="0"/>
    <x v="4"/>
    <x v="9"/>
    <x v="737"/>
    <x v="743"/>
    <x v="3"/>
    <x v="0"/>
    <x v="0"/>
    <x v="1"/>
    <x v="744"/>
    <x v="4"/>
    <x v="1"/>
    <x v="0"/>
    <x v="744"/>
    <x v="714"/>
    <x v="686"/>
    <x v="324"/>
    <x v="322"/>
    <x v="7"/>
    <x v="0"/>
  </r>
  <r>
    <x v="525"/>
    <x v="5"/>
    <x v="1"/>
    <x v="0"/>
    <x v="3"/>
    <x v="738"/>
    <x v="744"/>
    <x v="0"/>
    <x v="0"/>
    <x v="3"/>
    <x v="2"/>
    <x v="745"/>
    <x v="0"/>
    <x v="3"/>
    <x v="0"/>
    <x v="745"/>
    <x v="715"/>
    <x v="687"/>
    <x v="525"/>
    <x v="360"/>
    <x v="1"/>
    <x v="1"/>
  </r>
  <r>
    <x v="409"/>
    <x v="7"/>
    <x v="3"/>
    <x v="1"/>
    <x v="3"/>
    <x v="739"/>
    <x v="745"/>
    <x v="0"/>
    <x v="0"/>
    <x v="0"/>
    <x v="1"/>
    <x v="746"/>
    <x v="3"/>
    <x v="1"/>
    <x v="1"/>
    <x v="746"/>
    <x v="716"/>
    <x v="249"/>
    <x v="409"/>
    <x v="503"/>
    <x v="7"/>
    <x v="3"/>
  </r>
  <r>
    <x v="526"/>
    <x v="4"/>
    <x v="3"/>
    <x v="5"/>
    <x v="14"/>
    <x v="740"/>
    <x v="746"/>
    <x v="0"/>
    <x v="0"/>
    <x v="3"/>
    <x v="2"/>
    <x v="747"/>
    <x v="3"/>
    <x v="2"/>
    <x v="0"/>
    <x v="747"/>
    <x v="717"/>
    <x v="688"/>
    <x v="526"/>
    <x v="509"/>
    <x v="8"/>
    <x v="3"/>
  </r>
  <r>
    <x v="107"/>
    <x v="6"/>
    <x v="4"/>
    <x v="3"/>
    <x v="0"/>
    <x v="741"/>
    <x v="747"/>
    <x v="1"/>
    <x v="0"/>
    <x v="1"/>
    <x v="0"/>
    <x v="748"/>
    <x v="2"/>
    <x v="0"/>
    <x v="0"/>
    <x v="748"/>
    <x v="718"/>
    <x v="689"/>
    <x v="107"/>
    <x v="427"/>
    <x v="8"/>
    <x v="4"/>
  </r>
  <r>
    <x v="366"/>
    <x v="3"/>
    <x v="2"/>
    <x v="5"/>
    <x v="18"/>
    <x v="742"/>
    <x v="748"/>
    <x v="0"/>
    <x v="1"/>
    <x v="3"/>
    <x v="2"/>
    <x v="749"/>
    <x v="4"/>
    <x v="3"/>
    <x v="1"/>
    <x v="749"/>
    <x v="538"/>
    <x v="690"/>
    <x v="366"/>
    <x v="4"/>
    <x v="0"/>
    <x v="2"/>
  </r>
  <r>
    <x v="392"/>
    <x v="3"/>
    <x v="2"/>
    <x v="4"/>
    <x v="8"/>
    <x v="743"/>
    <x v="749"/>
    <x v="2"/>
    <x v="1"/>
    <x v="2"/>
    <x v="0"/>
    <x v="750"/>
    <x v="3"/>
    <x v="3"/>
    <x v="0"/>
    <x v="750"/>
    <x v="719"/>
    <x v="691"/>
    <x v="392"/>
    <x v="384"/>
    <x v="1"/>
    <x v="2"/>
  </r>
  <r>
    <x v="18"/>
    <x v="9"/>
    <x v="4"/>
    <x v="2"/>
    <x v="16"/>
    <x v="744"/>
    <x v="750"/>
    <x v="0"/>
    <x v="0"/>
    <x v="0"/>
    <x v="1"/>
    <x v="751"/>
    <x v="0"/>
    <x v="0"/>
    <x v="1"/>
    <x v="751"/>
    <x v="720"/>
    <x v="692"/>
    <x v="18"/>
    <x v="510"/>
    <x v="1"/>
    <x v="4"/>
  </r>
  <r>
    <x v="93"/>
    <x v="7"/>
    <x v="2"/>
    <x v="0"/>
    <x v="12"/>
    <x v="745"/>
    <x v="751"/>
    <x v="2"/>
    <x v="1"/>
    <x v="3"/>
    <x v="3"/>
    <x v="752"/>
    <x v="0"/>
    <x v="3"/>
    <x v="0"/>
    <x v="752"/>
    <x v="721"/>
    <x v="693"/>
    <x v="93"/>
    <x v="511"/>
    <x v="1"/>
    <x v="2"/>
  </r>
  <r>
    <x v="23"/>
    <x v="10"/>
    <x v="0"/>
    <x v="2"/>
    <x v="4"/>
    <x v="746"/>
    <x v="752"/>
    <x v="0"/>
    <x v="1"/>
    <x v="3"/>
    <x v="1"/>
    <x v="753"/>
    <x v="1"/>
    <x v="1"/>
    <x v="0"/>
    <x v="753"/>
    <x v="722"/>
    <x v="694"/>
    <x v="23"/>
    <x v="512"/>
    <x v="7"/>
    <x v="0"/>
  </r>
  <r>
    <x v="378"/>
    <x v="3"/>
    <x v="4"/>
    <x v="2"/>
    <x v="4"/>
    <x v="747"/>
    <x v="753"/>
    <x v="2"/>
    <x v="1"/>
    <x v="2"/>
    <x v="3"/>
    <x v="754"/>
    <x v="1"/>
    <x v="0"/>
    <x v="1"/>
    <x v="754"/>
    <x v="723"/>
    <x v="166"/>
    <x v="378"/>
    <x v="244"/>
    <x v="7"/>
    <x v="4"/>
  </r>
  <r>
    <x v="527"/>
    <x v="6"/>
    <x v="2"/>
    <x v="5"/>
    <x v="13"/>
    <x v="748"/>
    <x v="754"/>
    <x v="2"/>
    <x v="1"/>
    <x v="1"/>
    <x v="5"/>
    <x v="755"/>
    <x v="4"/>
    <x v="1"/>
    <x v="0"/>
    <x v="755"/>
    <x v="724"/>
    <x v="201"/>
    <x v="527"/>
    <x v="211"/>
    <x v="5"/>
    <x v="2"/>
  </r>
  <r>
    <x v="528"/>
    <x v="7"/>
    <x v="4"/>
    <x v="5"/>
    <x v="12"/>
    <x v="749"/>
    <x v="755"/>
    <x v="0"/>
    <x v="1"/>
    <x v="2"/>
    <x v="2"/>
    <x v="756"/>
    <x v="0"/>
    <x v="1"/>
    <x v="1"/>
    <x v="756"/>
    <x v="725"/>
    <x v="695"/>
    <x v="528"/>
    <x v="52"/>
    <x v="8"/>
    <x v="4"/>
  </r>
  <r>
    <x v="529"/>
    <x v="1"/>
    <x v="0"/>
    <x v="0"/>
    <x v="3"/>
    <x v="750"/>
    <x v="756"/>
    <x v="1"/>
    <x v="0"/>
    <x v="1"/>
    <x v="2"/>
    <x v="757"/>
    <x v="2"/>
    <x v="0"/>
    <x v="1"/>
    <x v="757"/>
    <x v="726"/>
    <x v="696"/>
    <x v="529"/>
    <x v="513"/>
    <x v="1"/>
    <x v="0"/>
  </r>
  <r>
    <x v="530"/>
    <x v="10"/>
    <x v="2"/>
    <x v="6"/>
    <x v="19"/>
    <x v="751"/>
    <x v="757"/>
    <x v="1"/>
    <x v="0"/>
    <x v="0"/>
    <x v="2"/>
    <x v="758"/>
    <x v="4"/>
    <x v="3"/>
    <x v="0"/>
    <x v="758"/>
    <x v="727"/>
    <x v="697"/>
    <x v="530"/>
    <x v="138"/>
    <x v="3"/>
    <x v="2"/>
  </r>
  <r>
    <x v="332"/>
    <x v="6"/>
    <x v="2"/>
    <x v="5"/>
    <x v="14"/>
    <x v="752"/>
    <x v="758"/>
    <x v="1"/>
    <x v="0"/>
    <x v="2"/>
    <x v="4"/>
    <x v="759"/>
    <x v="4"/>
    <x v="0"/>
    <x v="0"/>
    <x v="759"/>
    <x v="728"/>
    <x v="698"/>
    <x v="332"/>
    <x v="331"/>
    <x v="1"/>
    <x v="2"/>
  </r>
  <r>
    <x v="503"/>
    <x v="3"/>
    <x v="2"/>
    <x v="0"/>
    <x v="17"/>
    <x v="753"/>
    <x v="759"/>
    <x v="0"/>
    <x v="0"/>
    <x v="1"/>
    <x v="0"/>
    <x v="760"/>
    <x v="3"/>
    <x v="0"/>
    <x v="1"/>
    <x v="760"/>
    <x v="729"/>
    <x v="699"/>
    <x v="503"/>
    <x v="514"/>
    <x v="6"/>
    <x v="2"/>
  </r>
  <r>
    <x v="531"/>
    <x v="1"/>
    <x v="0"/>
    <x v="5"/>
    <x v="0"/>
    <x v="754"/>
    <x v="760"/>
    <x v="2"/>
    <x v="0"/>
    <x v="0"/>
    <x v="4"/>
    <x v="761"/>
    <x v="0"/>
    <x v="2"/>
    <x v="0"/>
    <x v="761"/>
    <x v="730"/>
    <x v="700"/>
    <x v="531"/>
    <x v="515"/>
    <x v="0"/>
    <x v="0"/>
  </r>
  <r>
    <x v="532"/>
    <x v="8"/>
    <x v="4"/>
    <x v="0"/>
    <x v="10"/>
    <x v="755"/>
    <x v="761"/>
    <x v="1"/>
    <x v="1"/>
    <x v="3"/>
    <x v="4"/>
    <x v="762"/>
    <x v="3"/>
    <x v="1"/>
    <x v="0"/>
    <x v="762"/>
    <x v="350"/>
    <x v="701"/>
    <x v="532"/>
    <x v="163"/>
    <x v="2"/>
    <x v="4"/>
  </r>
  <r>
    <x v="155"/>
    <x v="6"/>
    <x v="0"/>
    <x v="1"/>
    <x v="10"/>
    <x v="756"/>
    <x v="762"/>
    <x v="0"/>
    <x v="1"/>
    <x v="2"/>
    <x v="2"/>
    <x v="763"/>
    <x v="1"/>
    <x v="0"/>
    <x v="0"/>
    <x v="763"/>
    <x v="731"/>
    <x v="702"/>
    <x v="155"/>
    <x v="292"/>
    <x v="4"/>
    <x v="0"/>
  </r>
  <r>
    <x v="115"/>
    <x v="4"/>
    <x v="0"/>
    <x v="6"/>
    <x v="10"/>
    <x v="757"/>
    <x v="763"/>
    <x v="1"/>
    <x v="1"/>
    <x v="3"/>
    <x v="2"/>
    <x v="764"/>
    <x v="1"/>
    <x v="2"/>
    <x v="0"/>
    <x v="764"/>
    <x v="732"/>
    <x v="703"/>
    <x v="115"/>
    <x v="144"/>
    <x v="6"/>
    <x v="0"/>
  </r>
  <r>
    <x v="533"/>
    <x v="6"/>
    <x v="0"/>
    <x v="2"/>
    <x v="0"/>
    <x v="758"/>
    <x v="764"/>
    <x v="1"/>
    <x v="1"/>
    <x v="3"/>
    <x v="4"/>
    <x v="765"/>
    <x v="4"/>
    <x v="3"/>
    <x v="0"/>
    <x v="765"/>
    <x v="733"/>
    <x v="704"/>
    <x v="533"/>
    <x v="249"/>
    <x v="1"/>
    <x v="0"/>
  </r>
  <r>
    <x v="376"/>
    <x v="0"/>
    <x v="3"/>
    <x v="1"/>
    <x v="7"/>
    <x v="759"/>
    <x v="765"/>
    <x v="1"/>
    <x v="1"/>
    <x v="3"/>
    <x v="3"/>
    <x v="766"/>
    <x v="3"/>
    <x v="3"/>
    <x v="0"/>
    <x v="766"/>
    <x v="734"/>
    <x v="521"/>
    <x v="376"/>
    <x v="377"/>
    <x v="2"/>
    <x v="3"/>
  </r>
  <r>
    <x v="24"/>
    <x v="2"/>
    <x v="0"/>
    <x v="2"/>
    <x v="15"/>
    <x v="760"/>
    <x v="766"/>
    <x v="3"/>
    <x v="0"/>
    <x v="3"/>
    <x v="5"/>
    <x v="767"/>
    <x v="0"/>
    <x v="0"/>
    <x v="1"/>
    <x v="767"/>
    <x v="735"/>
    <x v="705"/>
    <x v="24"/>
    <x v="516"/>
    <x v="5"/>
    <x v="0"/>
  </r>
  <r>
    <x v="121"/>
    <x v="11"/>
    <x v="2"/>
    <x v="2"/>
    <x v="2"/>
    <x v="761"/>
    <x v="767"/>
    <x v="1"/>
    <x v="0"/>
    <x v="3"/>
    <x v="4"/>
    <x v="768"/>
    <x v="2"/>
    <x v="3"/>
    <x v="1"/>
    <x v="768"/>
    <x v="736"/>
    <x v="706"/>
    <x v="121"/>
    <x v="287"/>
    <x v="2"/>
    <x v="2"/>
  </r>
  <r>
    <x v="343"/>
    <x v="3"/>
    <x v="0"/>
    <x v="1"/>
    <x v="8"/>
    <x v="762"/>
    <x v="768"/>
    <x v="1"/>
    <x v="1"/>
    <x v="1"/>
    <x v="3"/>
    <x v="769"/>
    <x v="4"/>
    <x v="1"/>
    <x v="1"/>
    <x v="769"/>
    <x v="737"/>
    <x v="707"/>
    <x v="343"/>
    <x v="220"/>
    <x v="8"/>
    <x v="0"/>
  </r>
  <r>
    <x v="534"/>
    <x v="2"/>
    <x v="4"/>
    <x v="1"/>
    <x v="18"/>
    <x v="763"/>
    <x v="769"/>
    <x v="1"/>
    <x v="0"/>
    <x v="0"/>
    <x v="5"/>
    <x v="770"/>
    <x v="3"/>
    <x v="0"/>
    <x v="0"/>
    <x v="770"/>
    <x v="738"/>
    <x v="708"/>
    <x v="534"/>
    <x v="209"/>
    <x v="4"/>
    <x v="4"/>
  </r>
  <r>
    <x v="535"/>
    <x v="5"/>
    <x v="0"/>
    <x v="5"/>
    <x v="1"/>
    <x v="764"/>
    <x v="770"/>
    <x v="2"/>
    <x v="1"/>
    <x v="2"/>
    <x v="1"/>
    <x v="771"/>
    <x v="2"/>
    <x v="1"/>
    <x v="0"/>
    <x v="771"/>
    <x v="739"/>
    <x v="709"/>
    <x v="535"/>
    <x v="517"/>
    <x v="2"/>
    <x v="0"/>
  </r>
  <r>
    <x v="536"/>
    <x v="10"/>
    <x v="4"/>
    <x v="6"/>
    <x v="6"/>
    <x v="765"/>
    <x v="771"/>
    <x v="1"/>
    <x v="1"/>
    <x v="0"/>
    <x v="0"/>
    <x v="772"/>
    <x v="4"/>
    <x v="1"/>
    <x v="0"/>
    <x v="772"/>
    <x v="740"/>
    <x v="710"/>
    <x v="536"/>
    <x v="23"/>
    <x v="6"/>
    <x v="4"/>
  </r>
  <r>
    <x v="388"/>
    <x v="1"/>
    <x v="2"/>
    <x v="0"/>
    <x v="9"/>
    <x v="766"/>
    <x v="772"/>
    <x v="1"/>
    <x v="1"/>
    <x v="3"/>
    <x v="3"/>
    <x v="773"/>
    <x v="3"/>
    <x v="3"/>
    <x v="1"/>
    <x v="773"/>
    <x v="741"/>
    <x v="711"/>
    <x v="388"/>
    <x v="380"/>
    <x v="4"/>
    <x v="2"/>
  </r>
  <r>
    <x v="537"/>
    <x v="10"/>
    <x v="3"/>
    <x v="6"/>
    <x v="16"/>
    <x v="767"/>
    <x v="773"/>
    <x v="3"/>
    <x v="1"/>
    <x v="1"/>
    <x v="2"/>
    <x v="774"/>
    <x v="2"/>
    <x v="0"/>
    <x v="0"/>
    <x v="774"/>
    <x v="742"/>
    <x v="141"/>
    <x v="537"/>
    <x v="453"/>
    <x v="2"/>
    <x v="3"/>
  </r>
  <r>
    <x v="538"/>
    <x v="6"/>
    <x v="0"/>
    <x v="3"/>
    <x v="4"/>
    <x v="768"/>
    <x v="774"/>
    <x v="0"/>
    <x v="0"/>
    <x v="0"/>
    <x v="0"/>
    <x v="775"/>
    <x v="3"/>
    <x v="2"/>
    <x v="1"/>
    <x v="775"/>
    <x v="743"/>
    <x v="712"/>
    <x v="538"/>
    <x v="518"/>
    <x v="6"/>
    <x v="0"/>
  </r>
  <r>
    <x v="148"/>
    <x v="3"/>
    <x v="3"/>
    <x v="5"/>
    <x v="14"/>
    <x v="769"/>
    <x v="775"/>
    <x v="3"/>
    <x v="1"/>
    <x v="3"/>
    <x v="0"/>
    <x v="776"/>
    <x v="2"/>
    <x v="2"/>
    <x v="0"/>
    <x v="776"/>
    <x v="744"/>
    <x v="713"/>
    <x v="148"/>
    <x v="178"/>
    <x v="0"/>
    <x v="3"/>
  </r>
  <r>
    <x v="317"/>
    <x v="0"/>
    <x v="1"/>
    <x v="2"/>
    <x v="17"/>
    <x v="770"/>
    <x v="776"/>
    <x v="0"/>
    <x v="1"/>
    <x v="0"/>
    <x v="2"/>
    <x v="777"/>
    <x v="4"/>
    <x v="0"/>
    <x v="0"/>
    <x v="777"/>
    <x v="745"/>
    <x v="714"/>
    <x v="317"/>
    <x v="519"/>
    <x v="4"/>
    <x v="1"/>
  </r>
  <r>
    <x v="539"/>
    <x v="2"/>
    <x v="0"/>
    <x v="2"/>
    <x v="9"/>
    <x v="771"/>
    <x v="777"/>
    <x v="3"/>
    <x v="0"/>
    <x v="2"/>
    <x v="2"/>
    <x v="778"/>
    <x v="4"/>
    <x v="0"/>
    <x v="0"/>
    <x v="778"/>
    <x v="746"/>
    <x v="715"/>
    <x v="539"/>
    <x v="90"/>
    <x v="3"/>
    <x v="0"/>
  </r>
  <r>
    <x v="332"/>
    <x v="6"/>
    <x v="2"/>
    <x v="6"/>
    <x v="12"/>
    <x v="772"/>
    <x v="778"/>
    <x v="0"/>
    <x v="1"/>
    <x v="1"/>
    <x v="5"/>
    <x v="779"/>
    <x v="1"/>
    <x v="1"/>
    <x v="0"/>
    <x v="779"/>
    <x v="747"/>
    <x v="716"/>
    <x v="332"/>
    <x v="520"/>
    <x v="5"/>
    <x v="2"/>
  </r>
  <r>
    <x v="229"/>
    <x v="4"/>
    <x v="3"/>
    <x v="4"/>
    <x v="3"/>
    <x v="773"/>
    <x v="779"/>
    <x v="3"/>
    <x v="1"/>
    <x v="1"/>
    <x v="1"/>
    <x v="780"/>
    <x v="0"/>
    <x v="1"/>
    <x v="1"/>
    <x v="780"/>
    <x v="438"/>
    <x v="717"/>
    <x v="229"/>
    <x v="367"/>
    <x v="4"/>
    <x v="3"/>
  </r>
  <r>
    <x v="538"/>
    <x v="6"/>
    <x v="1"/>
    <x v="1"/>
    <x v="11"/>
    <x v="774"/>
    <x v="780"/>
    <x v="0"/>
    <x v="1"/>
    <x v="2"/>
    <x v="3"/>
    <x v="781"/>
    <x v="3"/>
    <x v="1"/>
    <x v="0"/>
    <x v="781"/>
    <x v="748"/>
    <x v="718"/>
    <x v="538"/>
    <x v="521"/>
    <x v="8"/>
    <x v="1"/>
  </r>
  <r>
    <x v="410"/>
    <x v="3"/>
    <x v="4"/>
    <x v="1"/>
    <x v="6"/>
    <x v="775"/>
    <x v="781"/>
    <x v="3"/>
    <x v="1"/>
    <x v="3"/>
    <x v="1"/>
    <x v="782"/>
    <x v="3"/>
    <x v="2"/>
    <x v="0"/>
    <x v="782"/>
    <x v="749"/>
    <x v="719"/>
    <x v="410"/>
    <x v="522"/>
    <x v="5"/>
    <x v="4"/>
  </r>
  <r>
    <x v="540"/>
    <x v="8"/>
    <x v="0"/>
    <x v="6"/>
    <x v="15"/>
    <x v="776"/>
    <x v="782"/>
    <x v="1"/>
    <x v="0"/>
    <x v="2"/>
    <x v="3"/>
    <x v="783"/>
    <x v="4"/>
    <x v="3"/>
    <x v="1"/>
    <x v="783"/>
    <x v="750"/>
    <x v="720"/>
    <x v="540"/>
    <x v="94"/>
    <x v="5"/>
    <x v="0"/>
  </r>
  <r>
    <x v="251"/>
    <x v="6"/>
    <x v="1"/>
    <x v="4"/>
    <x v="1"/>
    <x v="777"/>
    <x v="783"/>
    <x v="2"/>
    <x v="0"/>
    <x v="0"/>
    <x v="5"/>
    <x v="784"/>
    <x v="2"/>
    <x v="0"/>
    <x v="0"/>
    <x v="784"/>
    <x v="751"/>
    <x v="721"/>
    <x v="251"/>
    <x v="9"/>
    <x v="8"/>
    <x v="1"/>
  </r>
  <r>
    <x v="513"/>
    <x v="3"/>
    <x v="1"/>
    <x v="5"/>
    <x v="5"/>
    <x v="778"/>
    <x v="784"/>
    <x v="0"/>
    <x v="1"/>
    <x v="2"/>
    <x v="4"/>
    <x v="785"/>
    <x v="4"/>
    <x v="2"/>
    <x v="1"/>
    <x v="785"/>
    <x v="752"/>
    <x v="722"/>
    <x v="513"/>
    <x v="36"/>
    <x v="1"/>
    <x v="1"/>
  </r>
  <r>
    <x v="541"/>
    <x v="3"/>
    <x v="2"/>
    <x v="5"/>
    <x v="14"/>
    <x v="779"/>
    <x v="785"/>
    <x v="2"/>
    <x v="1"/>
    <x v="2"/>
    <x v="1"/>
    <x v="786"/>
    <x v="4"/>
    <x v="3"/>
    <x v="0"/>
    <x v="786"/>
    <x v="753"/>
    <x v="723"/>
    <x v="541"/>
    <x v="523"/>
    <x v="2"/>
    <x v="2"/>
  </r>
  <r>
    <x v="518"/>
    <x v="7"/>
    <x v="4"/>
    <x v="3"/>
    <x v="8"/>
    <x v="780"/>
    <x v="786"/>
    <x v="3"/>
    <x v="0"/>
    <x v="2"/>
    <x v="5"/>
    <x v="787"/>
    <x v="0"/>
    <x v="1"/>
    <x v="1"/>
    <x v="787"/>
    <x v="754"/>
    <x v="724"/>
    <x v="518"/>
    <x v="524"/>
    <x v="5"/>
    <x v="4"/>
  </r>
  <r>
    <x v="337"/>
    <x v="6"/>
    <x v="1"/>
    <x v="6"/>
    <x v="4"/>
    <x v="781"/>
    <x v="787"/>
    <x v="3"/>
    <x v="0"/>
    <x v="0"/>
    <x v="3"/>
    <x v="788"/>
    <x v="2"/>
    <x v="1"/>
    <x v="0"/>
    <x v="788"/>
    <x v="755"/>
    <x v="725"/>
    <x v="337"/>
    <x v="67"/>
    <x v="6"/>
    <x v="1"/>
  </r>
  <r>
    <x v="542"/>
    <x v="6"/>
    <x v="0"/>
    <x v="1"/>
    <x v="11"/>
    <x v="782"/>
    <x v="788"/>
    <x v="2"/>
    <x v="1"/>
    <x v="0"/>
    <x v="3"/>
    <x v="789"/>
    <x v="2"/>
    <x v="1"/>
    <x v="0"/>
    <x v="789"/>
    <x v="756"/>
    <x v="726"/>
    <x v="542"/>
    <x v="474"/>
    <x v="4"/>
    <x v="0"/>
  </r>
  <r>
    <x v="296"/>
    <x v="0"/>
    <x v="3"/>
    <x v="4"/>
    <x v="8"/>
    <x v="783"/>
    <x v="789"/>
    <x v="2"/>
    <x v="0"/>
    <x v="3"/>
    <x v="3"/>
    <x v="790"/>
    <x v="4"/>
    <x v="0"/>
    <x v="0"/>
    <x v="790"/>
    <x v="757"/>
    <x v="663"/>
    <x v="296"/>
    <x v="525"/>
    <x v="2"/>
    <x v="3"/>
  </r>
  <r>
    <x v="85"/>
    <x v="9"/>
    <x v="4"/>
    <x v="5"/>
    <x v="9"/>
    <x v="784"/>
    <x v="790"/>
    <x v="3"/>
    <x v="1"/>
    <x v="3"/>
    <x v="2"/>
    <x v="791"/>
    <x v="2"/>
    <x v="2"/>
    <x v="0"/>
    <x v="791"/>
    <x v="758"/>
    <x v="727"/>
    <x v="85"/>
    <x v="526"/>
    <x v="6"/>
    <x v="4"/>
  </r>
  <r>
    <x v="537"/>
    <x v="10"/>
    <x v="1"/>
    <x v="6"/>
    <x v="11"/>
    <x v="785"/>
    <x v="791"/>
    <x v="3"/>
    <x v="0"/>
    <x v="3"/>
    <x v="3"/>
    <x v="792"/>
    <x v="0"/>
    <x v="1"/>
    <x v="0"/>
    <x v="792"/>
    <x v="759"/>
    <x v="728"/>
    <x v="537"/>
    <x v="115"/>
    <x v="8"/>
    <x v="1"/>
  </r>
  <r>
    <x v="528"/>
    <x v="7"/>
    <x v="4"/>
    <x v="3"/>
    <x v="6"/>
    <x v="786"/>
    <x v="792"/>
    <x v="0"/>
    <x v="1"/>
    <x v="3"/>
    <x v="1"/>
    <x v="793"/>
    <x v="1"/>
    <x v="0"/>
    <x v="1"/>
    <x v="793"/>
    <x v="611"/>
    <x v="729"/>
    <x v="528"/>
    <x v="511"/>
    <x v="3"/>
    <x v="4"/>
  </r>
  <r>
    <x v="528"/>
    <x v="7"/>
    <x v="1"/>
    <x v="0"/>
    <x v="3"/>
    <x v="787"/>
    <x v="793"/>
    <x v="2"/>
    <x v="1"/>
    <x v="1"/>
    <x v="1"/>
    <x v="794"/>
    <x v="3"/>
    <x v="3"/>
    <x v="0"/>
    <x v="794"/>
    <x v="760"/>
    <x v="730"/>
    <x v="528"/>
    <x v="52"/>
    <x v="8"/>
    <x v="1"/>
  </r>
  <r>
    <x v="466"/>
    <x v="11"/>
    <x v="2"/>
    <x v="0"/>
    <x v="8"/>
    <x v="788"/>
    <x v="794"/>
    <x v="1"/>
    <x v="1"/>
    <x v="2"/>
    <x v="4"/>
    <x v="795"/>
    <x v="0"/>
    <x v="1"/>
    <x v="0"/>
    <x v="795"/>
    <x v="761"/>
    <x v="731"/>
    <x v="466"/>
    <x v="527"/>
    <x v="7"/>
    <x v="2"/>
  </r>
  <r>
    <x v="383"/>
    <x v="0"/>
    <x v="4"/>
    <x v="3"/>
    <x v="5"/>
    <x v="789"/>
    <x v="795"/>
    <x v="1"/>
    <x v="1"/>
    <x v="1"/>
    <x v="4"/>
    <x v="796"/>
    <x v="0"/>
    <x v="3"/>
    <x v="0"/>
    <x v="796"/>
    <x v="762"/>
    <x v="732"/>
    <x v="383"/>
    <x v="3"/>
    <x v="1"/>
    <x v="4"/>
  </r>
  <r>
    <x v="543"/>
    <x v="3"/>
    <x v="0"/>
    <x v="5"/>
    <x v="6"/>
    <x v="790"/>
    <x v="796"/>
    <x v="2"/>
    <x v="0"/>
    <x v="2"/>
    <x v="4"/>
    <x v="797"/>
    <x v="3"/>
    <x v="1"/>
    <x v="0"/>
    <x v="797"/>
    <x v="104"/>
    <x v="733"/>
    <x v="543"/>
    <x v="523"/>
    <x v="6"/>
    <x v="0"/>
  </r>
  <r>
    <x v="206"/>
    <x v="9"/>
    <x v="3"/>
    <x v="0"/>
    <x v="19"/>
    <x v="791"/>
    <x v="797"/>
    <x v="0"/>
    <x v="1"/>
    <x v="2"/>
    <x v="4"/>
    <x v="798"/>
    <x v="0"/>
    <x v="1"/>
    <x v="0"/>
    <x v="798"/>
    <x v="763"/>
    <x v="734"/>
    <x v="206"/>
    <x v="380"/>
    <x v="6"/>
    <x v="3"/>
  </r>
  <r>
    <x v="413"/>
    <x v="7"/>
    <x v="2"/>
    <x v="2"/>
    <x v="16"/>
    <x v="792"/>
    <x v="798"/>
    <x v="2"/>
    <x v="0"/>
    <x v="3"/>
    <x v="0"/>
    <x v="799"/>
    <x v="3"/>
    <x v="0"/>
    <x v="0"/>
    <x v="799"/>
    <x v="764"/>
    <x v="735"/>
    <x v="413"/>
    <x v="10"/>
    <x v="1"/>
    <x v="2"/>
  </r>
  <r>
    <x v="316"/>
    <x v="4"/>
    <x v="2"/>
    <x v="3"/>
    <x v="7"/>
    <x v="793"/>
    <x v="799"/>
    <x v="2"/>
    <x v="1"/>
    <x v="3"/>
    <x v="3"/>
    <x v="800"/>
    <x v="2"/>
    <x v="0"/>
    <x v="0"/>
    <x v="800"/>
    <x v="670"/>
    <x v="736"/>
    <x v="316"/>
    <x v="420"/>
    <x v="6"/>
    <x v="2"/>
  </r>
  <r>
    <x v="349"/>
    <x v="0"/>
    <x v="1"/>
    <x v="5"/>
    <x v="5"/>
    <x v="794"/>
    <x v="800"/>
    <x v="1"/>
    <x v="0"/>
    <x v="1"/>
    <x v="3"/>
    <x v="801"/>
    <x v="3"/>
    <x v="0"/>
    <x v="0"/>
    <x v="801"/>
    <x v="765"/>
    <x v="737"/>
    <x v="349"/>
    <x v="422"/>
    <x v="6"/>
    <x v="1"/>
  </r>
  <r>
    <x v="544"/>
    <x v="5"/>
    <x v="0"/>
    <x v="3"/>
    <x v="14"/>
    <x v="795"/>
    <x v="801"/>
    <x v="0"/>
    <x v="0"/>
    <x v="1"/>
    <x v="1"/>
    <x v="802"/>
    <x v="0"/>
    <x v="3"/>
    <x v="0"/>
    <x v="802"/>
    <x v="7"/>
    <x v="738"/>
    <x v="544"/>
    <x v="528"/>
    <x v="6"/>
    <x v="0"/>
  </r>
  <r>
    <x v="545"/>
    <x v="3"/>
    <x v="2"/>
    <x v="3"/>
    <x v="12"/>
    <x v="796"/>
    <x v="802"/>
    <x v="1"/>
    <x v="0"/>
    <x v="2"/>
    <x v="1"/>
    <x v="803"/>
    <x v="2"/>
    <x v="3"/>
    <x v="0"/>
    <x v="803"/>
    <x v="766"/>
    <x v="739"/>
    <x v="545"/>
    <x v="489"/>
    <x v="0"/>
    <x v="2"/>
  </r>
  <r>
    <x v="522"/>
    <x v="3"/>
    <x v="3"/>
    <x v="2"/>
    <x v="12"/>
    <x v="797"/>
    <x v="803"/>
    <x v="0"/>
    <x v="0"/>
    <x v="0"/>
    <x v="2"/>
    <x v="804"/>
    <x v="2"/>
    <x v="3"/>
    <x v="0"/>
    <x v="804"/>
    <x v="767"/>
    <x v="740"/>
    <x v="522"/>
    <x v="418"/>
    <x v="5"/>
    <x v="3"/>
  </r>
  <r>
    <x v="315"/>
    <x v="10"/>
    <x v="0"/>
    <x v="1"/>
    <x v="16"/>
    <x v="798"/>
    <x v="804"/>
    <x v="2"/>
    <x v="0"/>
    <x v="2"/>
    <x v="4"/>
    <x v="805"/>
    <x v="1"/>
    <x v="3"/>
    <x v="0"/>
    <x v="805"/>
    <x v="768"/>
    <x v="741"/>
    <x v="315"/>
    <x v="326"/>
    <x v="2"/>
    <x v="0"/>
  </r>
  <r>
    <x v="546"/>
    <x v="4"/>
    <x v="3"/>
    <x v="2"/>
    <x v="12"/>
    <x v="799"/>
    <x v="805"/>
    <x v="1"/>
    <x v="1"/>
    <x v="0"/>
    <x v="5"/>
    <x v="806"/>
    <x v="1"/>
    <x v="0"/>
    <x v="0"/>
    <x v="806"/>
    <x v="769"/>
    <x v="742"/>
    <x v="546"/>
    <x v="458"/>
    <x v="3"/>
    <x v="3"/>
  </r>
  <r>
    <x v="0"/>
    <x v="0"/>
    <x v="4"/>
    <x v="6"/>
    <x v="18"/>
    <x v="800"/>
    <x v="806"/>
    <x v="2"/>
    <x v="0"/>
    <x v="0"/>
    <x v="3"/>
    <x v="807"/>
    <x v="0"/>
    <x v="0"/>
    <x v="0"/>
    <x v="807"/>
    <x v="409"/>
    <x v="342"/>
    <x v="0"/>
    <x v="215"/>
    <x v="6"/>
    <x v="4"/>
  </r>
  <r>
    <x v="547"/>
    <x v="7"/>
    <x v="3"/>
    <x v="6"/>
    <x v="15"/>
    <x v="801"/>
    <x v="807"/>
    <x v="3"/>
    <x v="0"/>
    <x v="3"/>
    <x v="3"/>
    <x v="808"/>
    <x v="4"/>
    <x v="2"/>
    <x v="0"/>
    <x v="808"/>
    <x v="770"/>
    <x v="743"/>
    <x v="547"/>
    <x v="529"/>
    <x v="2"/>
    <x v="3"/>
  </r>
  <r>
    <x v="548"/>
    <x v="3"/>
    <x v="1"/>
    <x v="1"/>
    <x v="17"/>
    <x v="802"/>
    <x v="808"/>
    <x v="0"/>
    <x v="0"/>
    <x v="0"/>
    <x v="1"/>
    <x v="809"/>
    <x v="2"/>
    <x v="0"/>
    <x v="0"/>
    <x v="809"/>
    <x v="771"/>
    <x v="744"/>
    <x v="548"/>
    <x v="530"/>
    <x v="7"/>
    <x v="1"/>
  </r>
  <r>
    <x v="399"/>
    <x v="6"/>
    <x v="2"/>
    <x v="4"/>
    <x v="0"/>
    <x v="803"/>
    <x v="809"/>
    <x v="3"/>
    <x v="0"/>
    <x v="1"/>
    <x v="0"/>
    <x v="810"/>
    <x v="0"/>
    <x v="2"/>
    <x v="0"/>
    <x v="810"/>
    <x v="772"/>
    <x v="745"/>
    <x v="399"/>
    <x v="521"/>
    <x v="1"/>
    <x v="2"/>
  </r>
  <r>
    <x v="75"/>
    <x v="5"/>
    <x v="2"/>
    <x v="1"/>
    <x v="10"/>
    <x v="804"/>
    <x v="810"/>
    <x v="3"/>
    <x v="0"/>
    <x v="0"/>
    <x v="3"/>
    <x v="811"/>
    <x v="2"/>
    <x v="1"/>
    <x v="0"/>
    <x v="811"/>
    <x v="773"/>
    <x v="746"/>
    <x v="75"/>
    <x v="531"/>
    <x v="8"/>
    <x v="2"/>
  </r>
  <r>
    <x v="549"/>
    <x v="2"/>
    <x v="0"/>
    <x v="6"/>
    <x v="17"/>
    <x v="805"/>
    <x v="811"/>
    <x v="3"/>
    <x v="1"/>
    <x v="1"/>
    <x v="1"/>
    <x v="812"/>
    <x v="3"/>
    <x v="3"/>
    <x v="1"/>
    <x v="812"/>
    <x v="774"/>
    <x v="747"/>
    <x v="549"/>
    <x v="532"/>
    <x v="8"/>
    <x v="0"/>
  </r>
  <r>
    <x v="400"/>
    <x v="2"/>
    <x v="0"/>
    <x v="2"/>
    <x v="0"/>
    <x v="806"/>
    <x v="812"/>
    <x v="0"/>
    <x v="0"/>
    <x v="3"/>
    <x v="5"/>
    <x v="813"/>
    <x v="4"/>
    <x v="1"/>
    <x v="0"/>
    <x v="813"/>
    <x v="775"/>
    <x v="748"/>
    <x v="400"/>
    <x v="533"/>
    <x v="5"/>
    <x v="0"/>
  </r>
  <r>
    <x v="255"/>
    <x v="10"/>
    <x v="1"/>
    <x v="5"/>
    <x v="5"/>
    <x v="807"/>
    <x v="813"/>
    <x v="2"/>
    <x v="0"/>
    <x v="3"/>
    <x v="0"/>
    <x v="814"/>
    <x v="4"/>
    <x v="1"/>
    <x v="1"/>
    <x v="814"/>
    <x v="776"/>
    <x v="749"/>
    <x v="255"/>
    <x v="447"/>
    <x v="6"/>
    <x v="1"/>
  </r>
  <r>
    <x v="200"/>
    <x v="10"/>
    <x v="1"/>
    <x v="6"/>
    <x v="13"/>
    <x v="808"/>
    <x v="814"/>
    <x v="0"/>
    <x v="0"/>
    <x v="2"/>
    <x v="4"/>
    <x v="815"/>
    <x v="4"/>
    <x v="0"/>
    <x v="0"/>
    <x v="815"/>
    <x v="777"/>
    <x v="116"/>
    <x v="200"/>
    <x v="534"/>
    <x v="5"/>
    <x v="1"/>
  </r>
  <r>
    <x v="91"/>
    <x v="7"/>
    <x v="1"/>
    <x v="0"/>
    <x v="1"/>
    <x v="809"/>
    <x v="815"/>
    <x v="0"/>
    <x v="1"/>
    <x v="0"/>
    <x v="4"/>
    <x v="816"/>
    <x v="2"/>
    <x v="2"/>
    <x v="0"/>
    <x v="816"/>
    <x v="778"/>
    <x v="750"/>
    <x v="91"/>
    <x v="535"/>
    <x v="1"/>
    <x v="1"/>
  </r>
  <r>
    <x v="550"/>
    <x v="3"/>
    <x v="3"/>
    <x v="2"/>
    <x v="6"/>
    <x v="810"/>
    <x v="816"/>
    <x v="0"/>
    <x v="0"/>
    <x v="3"/>
    <x v="1"/>
    <x v="817"/>
    <x v="1"/>
    <x v="3"/>
    <x v="0"/>
    <x v="817"/>
    <x v="779"/>
    <x v="751"/>
    <x v="550"/>
    <x v="536"/>
    <x v="7"/>
    <x v="3"/>
  </r>
  <r>
    <x v="131"/>
    <x v="7"/>
    <x v="1"/>
    <x v="1"/>
    <x v="10"/>
    <x v="811"/>
    <x v="817"/>
    <x v="2"/>
    <x v="0"/>
    <x v="1"/>
    <x v="1"/>
    <x v="818"/>
    <x v="0"/>
    <x v="3"/>
    <x v="0"/>
    <x v="818"/>
    <x v="780"/>
    <x v="752"/>
    <x v="131"/>
    <x v="441"/>
    <x v="8"/>
    <x v="1"/>
  </r>
  <r>
    <x v="340"/>
    <x v="6"/>
    <x v="1"/>
    <x v="2"/>
    <x v="4"/>
    <x v="812"/>
    <x v="818"/>
    <x v="1"/>
    <x v="1"/>
    <x v="1"/>
    <x v="1"/>
    <x v="819"/>
    <x v="4"/>
    <x v="2"/>
    <x v="0"/>
    <x v="819"/>
    <x v="781"/>
    <x v="753"/>
    <x v="340"/>
    <x v="300"/>
    <x v="5"/>
    <x v="1"/>
  </r>
  <r>
    <x v="75"/>
    <x v="5"/>
    <x v="2"/>
    <x v="3"/>
    <x v="11"/>
    <x v="813"/>
    <x v="819"/>
    <x v="0"/>
    <x v="1"/>
    <x v="1"/>
    <x v="4"/>
    <x v="820"/>
    <x v="2"/>
    <x v="3"/>
    <x v="1"/>
    <x v="820"/>
    <x v="782"/>
    <x v="754"/>
    <x v="75"/>
    <x v="71"/>
    <x v="4"/>
    <x v="2"/>
  </r>
  <r>
    <x v="522"/>
    <x v="3"/>
    <x v="2"/>
    <x v="6"/>
    <x v="10"/>
    <x v="814"/>
    <x v="820"/>
    <x v="2"/>
    <x v="1"/>
    <x v="2"/>
    <x v="2"/>
    <x v="821"/>
    <x v="4"/>
    <x v="1"/>
    <x v="0"/>
    <x v="821"/>
    <x v="306"/>
    <x v="755"/>
    <x v="522"/>
    <x v="184"/>
    <x v="6"/>
    <x v="2"/>
  </r>
  <r>
    <x v="551"/>
    <x v="2"/>
    <x v="3"/>
    <x v="6"/>
    <x v="12"/>
    <x v="815"/>
    <x v="821"/>
    <x v="1"/>
    <x v="0"/>
    <x v="1"/>
    <x v="5"/>
    <x v="822"/>
    <x v="4"/>
    <x v="0"/>
    <x v="1"/>
    <x v="822"/>
    <x v="571"/>
    <x v="756"/>
    <x v="551"/>
    <x v="2"/>
    <x v="6"/>
    <x v="3"/>
  </r>
  <r>
    <x v="552"/>
    <x v="5"/>
    <x v="3"/>
    <x v="6"/>
    <x v="8"/>
    <x v="816"/>
    <x v="822"/>
    <x v="0"/>
    <x v="1"/>
    <x v="2"/>
    <x v="3"/>
    <x v="823"/>
    <x v="0"/>
    <x v="3"/>
    <x v="1"/>
    <x v="823"/>
    <x v="783"/>
    <x v="757"/>
    <x v="552"/>
    <x v="537"/>
    <x v="0"/>
    <x v="3"/>
  </r>
  <r>
    <x v="553"/>
    <x v="7"/>
    <x v="2"/>
    <x v="0"/>
    <x v="0"/>
    <x v="817"/>
    <x v="823"/>
    <x v="1"/>
    <x v="0"/>
    <x v="0"/>
    <x v="4"/>
    <x v="824"/>
    <x v="0"/>
    <x v="2"/>
    <x v="0"/>
    <x v="824"/>
    <x v="784"/>
    <x v="758"/>
    <x v="553"/>
    <x v="538"/>
    <x v="2"/>
    <x v="2"/>
  </r>
  <r>
    <x v="87"/>
    <x v="4"/>
    <x v="3"/>
    <x v="5"/>
    <x v="5"/>
    <x v="818"/>
    <x v="824"/>
    <x v="1"/>
    <x v="1"/>
    <x v="0"/>
    <x v="5"/>
    <x v="825"/>
    <x v="2"/>
    <x v="2"/>
    <x v="0"/>
    <x v="825"/>
    <x v="785"/>
    <x v="759"/>
    <x v="87"/>
    <x v="539"/>
    <x v="0"/>
    <x v="3"/>
  </r>
  <r>
    <x v="554"/>
    <x v="8"/>
    <x v="1"/>
    <x v="1"/>
    <x v="11"/>
    <x v="819"/>
    <x v="825"/>
    <x v="1"/>
    <x v="0"/>
    <x v="3"/>
    <x v="3"/>
    <x v="826"/>
    <x v="0"/>
    <x v="2"/>
    <x v="0"/>
    <x v="826"/>
    <x v="786"/>
    <x v="760"/>
    <x v="554"/>
    <x v="233"/>
    <x v="8"/>
    <x v="1"/>
  </r>
  <r>
    <x v="507"/>
    <x v="11"/>
    <x v="2"/>
    <x v="3"/>
    <x v="13"/>
    <x v="820"/>
    <x v="826"/>
    <x v="3"/>
    <x v="0"/>
    <x v="0"/>
    <x v="3"/>
    <x v="827"/>
    <x v="4"/>
    <x v="1"/>
    <x v="1"/>
    <x v="827"/>
    <x v="695"/>
    <x v="761"/>
    <x v="507"/>
    <x v="540"/>
    <x v="0"/>
    <x v="2"/>
  </r>
  <r>
    <x v="528"/>
    <x v="7"/>
    <x v="0"/>
    <x v="6"/>
    <x v="6"/>
    <x v="821"/>
    <x v="827"/>
    <x v="1"/>
    <x v="1"/>
    <x v="2"/>
    <x v="5"/>
    <x v="828"/>
    <x v="1"/>
    <x v="3"/>
    <x v="0"/>
    <x v="828"/>
    <x v="787"/>
    <x v="597"/>
    <x v="528"/>
    <x v="87"/>
    <x v="6"/>
    <x v="0"/>
  </r>
  <r>
    <x v="323"/>
    <x v="0"/>
    <x v="4"/>
    <x v="6"/>
    <x v="15"/>
    <x v="822"/>
    <x v="828"/>
    <x v="1"/>
    <x v="1"/>
    <x v="3"/>
    <x v="0"/>
    <x v="829"/>
    <x v="2"/>
    <x v="1"/>
    <x v="0"/>
    <x v="829"/>
    <x v="676"/>
    <x v="762"/>
    <x v="323"/>
    <x v="541"/>
    <x v="5"/>
    <x v="4"/>
  </r>
  <r>
    <x v="391"/>
    <x v="3"/>
    <x v="4"/>
    <x v="5"/>
    <x v="8"/>
    <x v="823"/>
    <x v="829"/>
    <x v="2"/>
    <x v="0"/>
    <x v="0"/>
    <x v="5"/>
    <x v="830"/>
    <x v="2"/>
    <x v="3"/>
    <x v="0"/>
    <x v="830"/>
    <x v="788"/>
    <x v="763"/>
    <x v="391"/>
    <x v="113"/>
    <x v="0"/>
    <x v="4"/>
  </r>
  <r>
    <x v="501"/>
    <x v="9"/>
    <x v="2"/>
    <x v="1"/>
    <x v="3"/>
    <x v="824"/>
    <x v="830"/>
    <x v="2"/>
    <x v="0"/>
    <x v="0"/>
    <x v="2"/>
    <x v="831"/>
    <x v="2"/>
    <x v="1"/>
    <x v="1"/>
    <x v="831"/>
    <x v="789"/>
    <x v="764"/>
    <x v="501"/>
    <x v="206"/>
    <x v="6"/>
    <x v="2"/>
  </r>
  <r>
    <x v="305"/>
    <x v="10"/>
    <x v="4"/>
    <x v="2"/>
    <x v="6"/>
    <x v="825"/>
    <x v="831"/>
    <x v="2"/>
    <x v="0"/>
    <x v="2"/>
    <x v="2"/>
    <x v="832"/>
    <x v="2"/>
    <x v="1"/>
    <x v="1"/>
    <x v="832"/>
    <x v="790"/>
    <x v="765"/>
    <x v="305"/>
    <x v="200"/>
    <x v="1"/>
    <x v="4"/>
  </r>
  <r>
    <x v="409"/>
    <x v="7"/>
    <x v="3"/>
    <x v="1"/>
    <x v="0"/>
    <x v="826"/>
    <x v="832"/>
    <x v="3"/>
    <x v="1"/>
    <x v="0"/>
    <x v="3"/>
    <x v="833"/>
    <x v="1"/>
    <x v="0"/>
    <x v="0"/>
    <x v="833"/>
    <x v="791"/>
    <x v="766"/>
    <x v="409"/>
    <x v="293"/>
    <x v="1"/>
    <x v="3"/>
  </r>
  <r>
    <x v="555"/>
    <x v="8"/>
    <x v="3"/>
    <x v="0"/>
    <x v="19"/>
    <x v="827"/>
    <x v="833"/>
    <x v="0"/>
    <x v="1"/>
    <x v="2"/>
    <x v="5"/>
    <x v="834"/>
    <x v="3"/>
    <x v="3"/>
    <x v="0"/>
    <x v="834"/>
    <x v="792"/>
    <x v="767"/>
    <x v="555"/>
    <x v="542"/>
    <x v="7"/>
    <x v="3"/>
  </r>
  <r>
    <x v="556"/>
    <x v="0"/>
    <x v="4"/>
    <x v="2"/>
    <x v="16"/>
    <x v="828"/>
    <x v="834"/>
    <x v="3"/>
    <x v="0"/>
    <x v="3"/>
    <x v="4"/>
    <x v="835"/>
    <x v="4"/>
    <x v="3"/>
    <x v="0"/>
    <x v="835"/>
    <x v="793"/>
    <x v="768"/>
    <x v="556"/>
    <x v="543"/>
    <x v="0"/>
    <x v="4"/>
  </r>
  <r>
    <x v="557"/>
    <x v="8"/>
    <x v="0"/>
    <x v="1"/>
    <x v="19"/>
    <x v="829"/>
    <x v="835"/>
    <x v="3"/>
    <x v="1"/>
    <x v="3"/>
    <x v="0"/>
    <x v="836"/>
    <x v="4"/>
    <x v="0"/>
    <x v="1"/>
    <x v="836"/>
    <x v="794"/>
    <x v="250"/>
    <x v="557"/>
    <x v="389"/>
    <x v="4"/>
    <x v="0"/>
  </r>
  <r>
    <x v="159"/>
    <x v="7"/>
    <x v="2"/>
    <x v="4"/>
    <x v="15"/>
    <x v="830"/>
    <x v="836"/>
    <x v="2"/>
    <x v="1"/>
    <x v="2"/>
    <x v="0"/>
    <x v="837"/>
    <x v="3"/>
    <x v="1"/>
    <x v="0"/>
    <x v="837"/>
    <x v="795"/>
    <x v="769"/>
    <x v="159"/>
    <x v="159"/>
    <x v="2"/>
    <x v="2"/>
  </r>
  <r>
    <x v="558"/>
    <x v="3"/>
    <x v="1"/>
    <x v="6"/>
    <x v="0"/>
    <x v="831"/>
    <x v="837"/>
    <x v="2"/>
    <x v="0"/>
    <x v="2"/>
    <x v="2"/>
    <x v="838"/>
    <x v="3"/>
    <x v="0"/>
    <x v="0"/>
    <x v="838"/>
    <x v="796"/>
    <x v="770"/>
    <x v="558"/>
    <x v="544"/>
    <x v="6"/>
    <x v="1"/>
  </r>
  <r>
    <x v="559"/>
    <x v="9"/>
    <x v="4"/>
    <x v="1"/>
    <x v="6"/>
    <x v="832"/>
    <x v="838"/>
    <x v="2"/>
    <x v="0"/>
    <x v="0"/>
    <x v="3"/>
    <x v="839"/>
    <x v="2"/>
    <x v="3"/>
    <x v="0"/>
    <x v="839"/>
    <x v="797"/>
    <x v="771"/>
    <x v="559"/>
    <x v="545"/>
    <x v="5"/>
    <x v="4"/>
  </r>
  <r>
    <x v="560"/>
    <x v="4"/>
    <x v="1"/>
    <x v="6"/>
    <x v="7"/>
    <x v="833"/>
    <x v="839"/>
    <x v="1"/>
    <x v="1"/>
    <x v="0"/>
    <x v="3"/>
    <x v="840"/>
    <x v="4"/>
    <x v="0"/>
    <x v="1"/>
    <x v="840"/>
    <x v="798"/>
    <x v="772"/>
    <x v="560"/>
    <x v="468"/>
    <x v="0"/>
    <x v="1"/>
  </r>
  <r>
    <x v="72"/>
    <x v="5"/>
    <x v="2"/>
    <x v="2"/>
    <x v="15"/>
    <x v="834"/>
    <x v="840"/>
    <x v="1"/>
    <x v="1"/>
    <x v="2"/>
    <x v="4"/>
    <x v="841"/>
    <x v="3"/>
    <x v="3"/>
    <x v="0"/>
    <x v="841"/>
    <x v="799"/>
    <x v="773"/>
    <x v="72"/>
    <x v="528"/>
    <x v="8"/>
    <x v="2"/>
  </r>
  <r>
    <x v="135"/>
    <x v="4"/>
    <x v="2"/>
    <x v="1"/>
    <x v="4"/>
    <x v="835"/>
    <x v="841"/>
    <x v="0"/>
    <x v="1"/>
    <x v="0"/>
    <x v="4"/>
    <x v="842"/>
    <x v="0"/>
    <x v="2"/>
    <x v="0"/>
    <x v="842"/>
    <x v="800"/>
    <x v="774"/>
    <x v="135"/>
    <x v="13"/>
    <x v="4"/>
    <x v="2"/>
  </r>
  <r>
    <x v="325"/>
    <x v="9"/>
    <x v="4"/>
    <x v="4"/>
    <x v="4"/>
    <x v="836"/>
    <x v="842"/>
    <x v="3"/>
    <x v="0"/>
    <x v="3"/>
    <x v="3"/>
    <x v="843"/>
    <x v="4"/>
    <x v="0"/>
    <x v="0"/>
    <x v="843"/>
    <x v="801"/>
    <x v="775"/>
    <x v="325"/>
    <x v="327"/>
    <x v="5"/>
    <x v="4"/>
  </r>
  <r>
    <x v="516"/>
    <x v="7"/>
    <x v="4"/>
    <x v="4"/>
    <x v="15"/>
    <x v="837"/>
    <x v="843"/>
    <x v="3"/>
    <x v="1"/>
    <x v="3"/>
    <x v="5"/>
    <x v="844"/>
    <x v="4"/>
    <x v="2"/>
    <x v="0"/>
    <x v="844"/>
    <x v="802"/>
    <x v="776"/>
    <x v="516"/>
    <x v="538"/>
    <x v="0"/>
    <x v="4"/>
  </r>
  <r>
    <x v="561"/>
    <x v="4"/>
    <x v="2"/>
    <x v="1"/>
    <x v="14"/>
    <x v="838"/>
    <x v="844"/>
    <x v="3"/>
    <x v="0"/>
    <x v="2"/>
    <x v="1"/>
    <x v="845"/>
    <x v="4"/>
    <x v="1"/>
    <x v="0"/>
    <x v="845"/>
    <x v="803"/>
    <x v="777"/>
    <x v="561"/>
    <x v="218"/>
    <x v="4"/>
    <x v="2"/>
  </r>
  <r>
    <x v="562"/>
    <x v="10"/>
    <x v="3"/>
    <x v="6"/>
    <x v="17"/>
    <x v="839"/>
    <x v="845"/>
    <x v="1"/>
    <x v="0"/>
    <x v="3"/>
    <x v="4"/>
    <x v="846"/>
    <x v="3"/>
    <x v="0"/>
    <x v="0"/>
    <x v="846"/>
    <x v="804"/>
    <x v="778"/>
    <x v="562"/>
    <x v="546"/>
    <x v="2"/>
    <x v="3"/>
  </r>
  <r>
    <x v="168"/>
    <x v="9"/>
    <x v="2"/>
    <x v="3"/>
    <x v="17"/>
    <x v="840"/>
    <x v="258"/>
    <x v="1"/>
    <x v="1"/>
    <x v="2"/>
    <x v="4"/>
    <x v="847"/>
    <x v="1"/>
    <x v="2"/>
    <x v="0"/>
    <x v="847"/>
    <x v="805"/>
    <x v="779"/>
    <x v="168"/>
    <x v="347"/>
    <x v="8"/>
    <x v="2"/>
  </r>
  <r>
    <x v="248"/>
    <x v="7"/>
    <x v="0"/>
    <x v="2"/>
    <x v="9"/>
    <x v="841"/>
    <x v="846"/>
    <x v="0"/>
    <x v="0"/>
    <x v="3"/>
    <x v="5"/>
    <x v="848"/>
    <x v="2"/>
    <x v="3"/>
    <x v="0"/>
    <x v="848"/>
    <x v="806"/>
    <x v="780"/>
    <x v="248"/>
    <x v="547"/>
    <x v="7"/>
    <x v="0"/>
  </r>
  <r>
    <x v="183"/>
    <x v="1"/>
    <x v="1"/>
    <x v="3"/>
    <x v="2"/>
    <x v="842"/>
    <x v="847"/>
    <x v="1"/>
    <x v="0"/>
    <x v="2"/>
    <x v="0"/>
    <x v="849"/>
    <x v="2"/>
    <x v="1"/>
    <x v="0"/>
    <x v="849"/>
    <x v="807"/>
    <x v="178"/>
    <x v="183"/>
    <x v="74"/>
    <x v="6"/>
    <x v="1"/>
  </r>
  <r>
    <x v="304"/>
    <x v="4"/>
    <x v="3"/>
    <x v="3"/>
    <x v="8"/>
    <x v="843"/>
    <x v="848"/>
    <x v="2"/>
    <x v="1"/>
    <x v="3"/>
    <x v="4"/>
    <x v="850"/>
    <x v="2"/>
    <x v="3"/>
    <x v="0"/>
    <x v="850"/>
    <x v="808"/>
    <x v="781"/>
    <x v="304"/>
    <x v="313"/>
    <x v="4"/>
    <x v="3"/>
  </r>
  <r>
    <x v="563"/>
    <x v="2"/>
    <x v="0"/>
    <x v="3"/>
    <x v="2"/>
    <x v="844"/>
    <x v="849"/>
    <x v="0"/>
    <x v="1"/>
    <x v="0"/>
    <x v="0"/>
    <x v="851"/>
    <x v="1"/>
    <x v="1"/>
    <x v="0"/>
    <x v="851"/>
    <x v="809"/>
    <x v="782"/>
    <x v="563"/>
    <x v="334"/>
    <x v="5"/>
    <x v="0"/>
  </r>
  <r>
    <x v="564"/>
    <x v="11"/>
    <x v="2"/>
    <x v="2"/>
    <x v="0"/>
    <x v="845"/>
    <x v="850"/>
    <x v="3"/>
    <x v="0"/>
    <x v="3"/>
    <x v="5"/>
    <x v="852"/>
    <x v="1"/>
    <x v="3"/>
    <x v="0"/>
    <x v="852"/>
    <x v="810"/>
    <x v="783"/>
    <x v="564"/>
    <x v="548"/>
    <x v="8"/>
    <x v="2"/>
  </r>
  <r>
    <x v="230"/>
    <x v="0"/>
    <x v="4"/>
    <x v="0"/>
    <x v="11"/>
    <x v="846"/>
    <x v="851"/>
    <x v="1"/>
    <x v="1"/>
    <x v="1"/>
    <x v="0"/>
    <x v="853"/>
    <x v="4"/>
    <x v="0"/>
    <x v="0"/>
    <x v="853"/>
    <x v="811"/>
    <x v="784"/>
    <x v="230"/>
    <x v="226"/>
    <x v="8"/>
    <x v="4"/>
  </r>
  <r>
    <x v="565"/>
    <x v="6"/>
    <x v="0"/>
    <x v="1"/>
    <x v="1"/>
    <x v="847"/>
    <x v="852"/>
    <x v="0"/>
    <x v="1"/>
    <x v="3"/>
    <x v="5"/>
    <x v="854"/>
    <x v="2"/>
    <x v="1"/>
    <x v="0"/>
    <x v="854"/>
    <x v="184"/>
    <x v="785"/>
    <x v="565"/>
    <x v="329"/>
    <x v="5"/>
    <x v="0"/>
  </r>
  <r>
    <x v="336"/>
    <x v="2"/>
    <x v="2"/>
    <x v="5"/>
    <x v="9"/>
    <x v="848"/>
    <x v="853"/>
    <x v="3"/>
    <x v="1"/>
    <x v="2"/>
    <x v="0"/>
    <x v="855"/>
    <x v="0"/>
    <x v="1"/>
    <x v="1"/>
    <x v="855"/>
    <x v="812"/>
    <x v="515"/>
    <x v="336"/>
    <x v="75"/>
    <x v="0"/>
    <x v="2"/>
  </r>
  <r>
    <x v="566"/>
    <x v="3"/>
    <x v="0"/>
    <x v="2"/>
    <x v="2"/>
    <x v="849"/>
    <x v="854"/>
    <x v="1"/>
    <x v="1"/>
    <x v="1"/>
    <x v="3"/>
    <x v="856"/>
    <x v="3"/>
    <x v="0"/>
    <x v="1"/>
    <x v="856"/>
    <x v="813"/>
    <x v="786"/>
    <x v="566"/>
    <x v="398"/>
    <x v="4"/>
    <x v="0"/>
  </r>
  <r>
    <x v="431"/>
    <x v="7"/>
    <x v="2"/>
    <x v="3"/>
    <x v="17"/>
    <x v="850"/>
    <x v="855"/>
    <x v="3"/>
    <x v="1"/>
    <x v="2"/>
    <x v="3"/>
    <x v="857"/>
    <x v="3"/>
    <x v="2"/>
    <x v="0"/>
    <x v="857"/>
    <x v="814"/>
    <x v="787"/>
    <x v="431"/>
    <x v="262"/>
    <x v="1"/>
    <x v="2"/>
  </r>
  <r>
    <x v="567"/>
    <x v="11"/>
    <x v="3"/>
    <x v="5"/>
    <x v="17"/>
    <x v="851"/>
    <x v="856"/>
    <x v="3"/>
    <x v="0"/>
    <x v="3"/>
    <x v="4"/>
    <x v="858"/>
    <x v="0"/>
    <x v="3"/>
    <x v="0"/>
    <x v="858"/>
    <x v="815"/>
    <x v="788"/>
    <x v="567"/>
    <x v="549"/>
    <x v="4"/>
    <x v="3"/>
  </r>
  <r>
    <x v="137"/>
    <x v="9"/>
    <x v="1"/>
    <x v="3"/>
    <x v="2"/>
    <x v="852"/>
    <x v="857"/>
    <x v="0"/>
    <x v="1"/>
    <x v="3"/>
    <x v="2"/>
    <x v="859"/>
    <x v="0"/>
    <x v="2"/>
    <x v="1"/>
    <x v="859"/>
    <x v="816"/>
    <x v="789"/>
    <x v="137"/>
    <x v="158"/>
    <x v="8"/>
    <x v="1"/>
  </r>
  <r>
    <x v="568"/>
    <x v="6"/>
    <x v="2"/>
    <x v="6"/>
    <x v="9"/>
    <x v="853"/>
    <x v="858"/>
    <x v="1"/>
    <x v="1"/>
    <x v="2"/>
    <x v="3"/>
    <x v="860"/>
    <x v="1"/>
    <x v="1"/>
    <x v="1"/>
    <x v="860"/>
    <x v="817"/>
    <x v="790"/>
    <x v="568"/>
    <x v="185"/>
    <x v="5"/>
    <x v="2"/>
  </r>
  <r>
    <x v="569"/>
    <x v="11"/>
    <x v="0"/>
    <x v="4"/>
    <x v="6"/>
    <x v="854"/>
    <x v="859"/>
    <x v="2"/>
    <x v="1"/>
    <x v="0"/>
    <x v="1"/>
    <x v="861"/>
    <x v="2"/>
    <x v="1"/>
    <x v="0"/>
    <x v="861"/>
    <x v="818"/>
    <x v="791"/>
    <x v="569"/>
    <x v="540"/>
    <x v="5"/>
    <x v="0"/>
  </r>
  <r>
    <x v="16"/>
    <x v="0"/>
    <x v="0"/>
    <x v="0"/>
    <x v="9"/>
    <x v="855"/>
    <x v="860"/>
    <x v="3"/>
    <x v="1"/>
    <x v="3"/>
    <x v="1"/>
    <x v="862"/>
    <x v="3"/>
    <x v="0"/>
    <x v="0"/>
    <x v="862"/>
    <x v="819"/>
    <x v="792"/>
    <x v="16"/>
    <x v="550"/>
    <x v="6"/>
    <x v="0"/>
  </r>
  <r>
    <x v="570"/>
    <x v="9"/>
    <x v="4"/>
    <x v="3"/>
    <x v="5"/>
    <x v="856"/>
    <x v="861"/>
    <x v="3"/>
    <x v="1"/>
    <x v="2"/>
    <x v="5"/>
    <x v="863"/>
    <x v="3"/>
    <x v="2"/>
    <x v="1"/>
    <x v="863"/>
    <x v="820"/>
    <x v="793"/>
    <x v="570"/>
    <x v="545"/>
    <x v="2"/>
    <x v="4"/>
  </r>
  <r>
    <x v="571"/>
    <x v="5"/>
    <x v="3"/>
    <x v="3"/>
    <x v="5"/>
    <x v="857"/>
    <x v="862"/>
    <x v="2"/>
    <x v="1"/>
    <x v="0"/>
    <x v="2"/>
    <x v="864"/>
    <x v="3"/>
    <x v="3"/>
    <x v="1"/>
    <x v="864"/>
    <x v="821"/>
    <x v="794"/>
    <x v="571"/>
    <x v="260"/>
    <x v="2"/>
    <x v="3"/>
  </r>
  <r>
    <x v="572"/>
    <x v="2"/>
    <x v="3"/>
    <x v="0"/>
    <x v="7"/>
    <x v="858"/>
    <x v="863"/>
    <x v="3"/>
    <x v="0"/>
    <x v="1"/>
    <x v="4"/>
    <x v="865"/>
    <x v="0"/>
    <x v="0"/>
    <x v="0"/>
    <x v="865"/>
    <x v="822"/>
    <x v="795"/>
    <x v="572"/>
    <x v="551"/>
    <x v="8"/>
    <x v="3"/>
  </r>
  <r>
    <x v="124"/>
    <x v="6"/>
    <x v="3"/>
    <x v="0"/>
    <x v="16"/>
    <x v="859"/>
    <x v="864"/>
    <x v="0"/>
    <x v="1"/>
    <x v="2"/>
    <x v="1"/>
    <x v="866"/>
    <x v="2"/>
    <x v="3"/>
    <x v="0"/>
    <x v="866"/>
    <x v="823"/>
    <x v="796"/>
    <x v="124"/>
    <x v="122"/>
    <x v="1"/>
    <x v="3"/>
  </r>
  <r>
    <x v="573"/>
    <x v="7"/>
    <x v="1"/>
    <x v="5"/>
    <x v="8"/>
    <x v="860"/>
    <x v="865"/>
    <x v="3"/>
    <x v="0"/>
    <x v="0"/>
    <x v="5"/>
    <x v="867"/>
    <x v="0"/>
    <x v="1"/>
    <x v="0"/>
    <x v="867"/>
    <x v="824"/>
    <x v="797"/>
    <x v="573"/>
    <x v="130"/>
    <x v="3"/>
    <x v="1"/>
  </r>
  <r>
    <x v="472"/>
    <x v="3"/>
    <x v="2"/>
    <x v="1"/>
    <x v="6"/>
    <x v="861"/>
    <x v="866"/>
    <x v="2"/>
    <x v="1"/>
    <x v="3"/>
    <x v="4"/>
    <x v="868"/>
    <x v="4"/>
    <x v="0"/>
    <x v="0"/>
    <x v="868"/>
    <x v="825"/>
    <x v="798"/>
    <x v="472"/>
    <x v="460"/>
    <x v="7"/>
    <x v="2"/>
  </r>
  <r>
    <x v="232"/>
    <x v="4"/>
    <x v="3"/>
    <x v="0"/>
    <x v="3"/>
    <x v="862"/>
    <x v="867"/>
    <x v="1"/>
    <x v="1"/>
    <x v="0"/>
    <x v="2"/>
    <x v="869"/>
    <x v="0"/>
    <x v="0"/>
    <x v="0"/>
    <x v="869"/>
    <x v="826"/>
    <x v="518"/>
    <x v="232"/>
    <x v="224"/>
    <x v="0"/>
    <x v="3"/>
  </r>
  <r>
    <x v="247"/>
    <x v="11"/>
    <x v="1"/>
    <x v="1"/>
    <x v="13"/>
    <x v="863"/>
    <x v="868"/>
    <x v="3"/>
    <x v="0"/>
    <x v="1"/>
    <x v="2"/>
    <x v="870"/>
    <x v="2"/>
    <x v="2"/>
    <x v="1"/>
    <x v="870"/>
    <x v="527"/>
    <x v="799"/>
    <x v="247"/>
    <x v="552"/>
    <x v="4"/>
    <x v="1"/>
  </r>
  <r>
    <x v="574"/>
    <x v="5"/>
    <x v="0"/>
    <x v="5"/>
    <x v="13"/>
    <x v="864"/>
    <x v="869"/>
    <x v="3"/>
    <x v="1"/>
    <x v="2"/>
    <x v="0"/>
    <x v="871"/>
    <x v="1"/>
    <x v="2"/>
    <x v="0"/>
    <x v="871"/>
    <x v="827"/>
    <x v="800"/>
    <x v="574"/>
    <x v="553"/>
    <x v="6"/>
    <x v="0"/>
  </r>
  <r>
    <x v="575"/>
    <x v="7"/>
    <x v="0"/>
    <x v="2"/>
    <x v="5"/>
    <x v="865"/>
    <x v="870"/>
    <x v="3"/>
    <x v="1"/>
    <x v="2"/>
    <x v="1"/>
    <x v="872"/>
    <x v="0"/>
    <x v="2"/>
    <x v="1"/>
    <x v="872"/>
    <x v="828"/>
    <x v="801"/>
    <x v="575"/>
    <x v="179"/>
    <x v="4"/>
    <x v="0"/>
  </r>
  <r>
    <x v="225"/>
    <x v="10"/>
    <x v="0"/>
    <x v="0"/>
    <x v="7"/>
    <x v="866"/>
    <x v="871"/>
    <x v="1"/>
    <x v="1"/>
    <x v="2"/>
    <x v="4"/>
    <x v="873"/>
    <x v="3"/>
    <x v="2"/>
    <x v="0"/>
    <x v="873"/>
    <x v="829"/>
    <x v="802"/>
    <x v="225"/>
    <x v="554"/>
    <x v="0"/>
    <x v="0"/>
  </r>
  <r>
    <x v="491"/>
    <x v="6"/>
    <x v="2"/>
    <x v="1"/>
    <x v="4"/>
    <x v="867"/>
    <x v="872"/>
    <x v="1"/>
    <x v="1"/>
    <x v="2"/>
    <x v="3"/>
    <x v="874"/>
    <x v="4"/>
    <x v="1"/>
    <x v="0"/>
    <x v="874"/>
    <x v="830"/>
    <x v="103"/>
    <x v="491"/>
    <x v="67"/>
    <x v="7"/>
    <x v="2"/>
  </r>
  <r>
    <x v="433"/>
    <x v="6"/>
    <x v="0"/>
    <x v="6"/>
    <x v="3"/>
    <x v="868"/>
    <x v="873"/>
    <x v="2"/>
    <x v="0"/>
    <x v="0"/>
    <x v="4"/>
    <x v="875"/>
    <x v="4"/>
    <x v="0"/>
    <x v="0"/>
    <x v="875"/>
    <x v="831"/>
    <x v="803"/>
    <x v="433"/>
    <x v="250"/>
    <x v="2"/>
    <x v="0"/>
  </r>
  <r>
    <x v="576"/>
    <x v="4"/>
    <x v="3"/>
    <x v="5"/>
    <x v="14"/>
    <x v="869"/>
    <x v="874"/>
    <x v="3"/>
    <x v="0"/>
    <x v="3"/>
    <x v="1"/>
    <x v="876"/>
    <x v="1"/>
    <x v="1"/>
    <x v="0"/>
    <x v="876"/>
    <x v="832"/>
    <x v="804"/>
    <x v="576"/>
    <x v="467"/>
    <x v="0"/>
    <x v="3"/>
  </r>
  <r>
    <x v="338"/>
    <x v="8"/>
    <x v="3"/>
    <x v="6"/>
    <x v="7"/>
    <x v="870"/>
    <x v="875"/>
    <x v="2"/>
    <x v="1"/>
    <x v="0"/>
    <x v="2"/>
    <x v="877"/>
    <x v="1"/>
    <x v="3"/>
    <x v="0"/>
    <x v="877"/>
    <x v="833"/>
    <x v="805"/>
    <x v="338"/>
    <x v="555"/>
    <x v="7"/>
    <x v="3"/>
  </r>
  <r>
    <x v="577"/>
    <x v="0"/>
    <x v="4"/>
    <x v="3"/>
    <x v="2"/>
    <x v="871"/>
    <x v="876"/>
    <x v="1"/>
    <x v="1"/>
    <x v="2"/>
    <x v="3"/>
    <x v="878"/>
    <x v="4"/>
    <x v="0"/>
    <x v="0"/>
    <x v="878"/>
    <x v="834"/>
    <x v="806"/>
    <x v="577"/>
    <x v="556"/>
    <x v="1"/>
    <x v="4"/>
  </r>
  <r>
    <x v="429"/>
    <x v="0"/>
    <x v="0"/>
    <x v="6"/>
    <x v="0"/>
    <x v="872"/>
    <x v="877"/>
    <x v="0"/>
    <x v="1"/>
    <x v="1"/>
    <x v="3"/>
    <x v="879"/>
    <x v="3"/>
    <x v="0"/>
    <x v="0"/>
    <x v="879"/>
    <x v="835"/>
    <x v="807"/>
    <x v="429"/>
    <x v="215"/>
    <x v="5"/>
    <x v="0"/>
  </r>
  <r>
    <x v="578"/>
    <x v="5"/>
    <x v="2"/>
    <x v="6"/>
    <x v="4"/>
    <x v="873"/>
    <x v="878"/>
    <x v="2"/>
    <x v="0"/>
    <x v="0"/>
    <x v="0"/>
    <x v="880"/>
    <x v="1"/>
    <x v="2"/>
    <x v="0"/>
    <x v="880"/>
    <x v="836"/>
    <x v="808"/>
    <x v="578"/>
    <x v="531"/>
    <x v="3"/>
    <x v="2"/>
  </r>
  <r>
    <x v="71"/>
    <x v="5"/>
    <x v="4"/>
    <x v="6"/>
    <x v="18"/>
    <x v="874"/>
    <x v="879"/>
    <x v="0"/>
    <x v="0"/>
    <x v="3"/>
    <x v="3"/>
    <x v="881"/>
    <x v="1"/>
    <x v="3"/>
    <x v="0"/>
    <x v="881"/>
    <x v="837"/>
    <x v="809"/>
    <x v="71"/>
    <x v="251"/>
    <x v="8"/>
    <x v="4"/>
  </r>
  <r>
    <x v="579"/>
    <x v="4"/>
    <x v="3"/>
    <x v="4"/>
    <x v="11"/>
    <x v="875"/>
    <x v="880"/>
    <x v="0"/>
    <x v="1"/>
    <x v="1"/>
    <x v="0"/>
    <x v="882"/>
    <x v="1"/>
    <x v="2"/>
    <x v="0"/>
    <x v="882"/>
    <x v="273"/>
    <x v="810"/>
    <x v="579"/>
    <x v="6"/>
    <x v="0"/>
    <x v="3"/>
  </r>
  <r>
    <x v="422"/>
    <x v="6"/>
    <x v="3"/>
    <x v="2"/>
    <x v="12"/>
    <x v="876"/>
    <x v="881"/>
    <x v="3"/>
    <x v="1"/>
    <x v="1"/>
    <x v="3"/>
    <x v="883"/>
    <x v="3"/>
    <x v="3"/>
    <x v="0"/>
    <x v="883"/>
    <x v="838"/>
    <x v="811"/>
    <x v="422"/>
    <x v="557"/>
    <x v="2"/>
    <x v="3"/>
  </r>
  <r>
    <x v="580"/>
    <x v="1"/>
    <x v="3"/>
    <x v="6"/>
    <x v="12"/>
    <x v="877"/>
    <x v="882"/>
    <x v="0"/>
    <x v="0"/>
    <x v="3"/>
    <x v="1"/>
    <x v="884"/>
    <x v="0"/>
    <x v="0"/>
    <x v="0"/>
    <x v="884"/>
    <x v="839"/>
    <x v="812"/>
    <x v="580"/>
    <x v="558"/>
    <x v="7"/>
    <x v="3"/>
  </r>
  <r>
    <x v="531"/>
    <x v="1"/>
    <x v="3"/>
    <x v="4"/>
    <x v="8"/>
    <x v="878"/>
    <x v="883"/>
    <x v="3"/>
    <x v="1"/>
    <x v="1"/>
    <x v="4"/>
    <x v="885"/>
    <x v="3"/>
    <x v="0"/>
    <x v="0"/>
    <x v="885"/>
    <x v="840"/>
    <x v="813"/>
    <x v="531"/>
    <x v="559"/>
    <x v="3"/>
    <x v="3"/>
  </r>
  <r>
    <x v="2"/>
    <x v="2"/>
    <x v="3"/>
    <x v="5"/>
    <x v="10"/>
    <x v="879"/>
    <x v="884"/>
    <x v="1"/>
    <x v="0"/>
    <x v="3"/>
    <x v="5"/>
    <x v="886"/>
    <x v="2"/>
    <x v="3"/>
    <x v="1"/>
    <x v="886"/>
    <x v="841"/>
    <x v="814"/>
    <x v="2"/>
    <x v="560"/>
    <x v="3"/>
    <x v="3"/>
  </r>
  <r>
    <x v="90"/>
    <x v="5"/>
    <x v="1"/>
    <x v="4"/>
    <x v="4"/>
    <x v="880"/>
    <x v="885"/>
    <x v="1"/>
    <x v="1"/>
    <x v="1"/>
    <x v="5"/>
    <x v="887"/>
    <x v="4"/>
    <x v="2"/>
    <x v="0"/>
    <x v="887"/>
    <x v="842"/>
    <x v="207"/>
    <x v="90"/>
    <x v="561"/>
    <x v="2"/>
    <x v="1"/>
  </r>
  <r>
    <x v="581"/>
    <x v="1"/>
    <x v="1"/>
    <x v="1"/>
    <x v="1"/>
    <x v="881"/>
    <x v="886"/>
    <x v="1"/>
    <x v="0"/>
    <x v="0"/>
    <x v="5"/>
    <x v="888"/>
    <x v="2"/>
    <x v="0"/>
    <x v="1"/>
    <x v="888"/>
    <x v="843"/>
    <x v="815"/>
    <x v="581"/>
    <x v="562"/>
    <x v="2"/>
    <x v="1"/>
  </r>
  <r>
    <x v="268"/>
    <x v="5"/>
    <x v="1"/>
    <x v="3"/>
    <x v="19"/>
    <x v="882"/>
    <x v="887"/>
    <x v="1"/>
    <x v="0"/>
    <x v="1"/>
    <x v="3"/>
    <x v="889"/>
    <x v="3"/>
    <x v="3"/>
    <x v="1"/>
    <x v="889"/>
    <x v="844"/>
    <x v="816"/>
    <x v="268"/>
    <x v="260"/>
    <x v="6"/>
    <x v="1"/>
  </r>
  <r>
    <x v="189"/>
    <x v="3"/>
    <x v="0"/>
    <x v="1"/>
    <x v="15"/>
    <x v="883"/>
    <x v="888"/>
    <x v="3"/>
    <x v="0"/>
    <x v="1"/>
    <x v="0"/>
    <x v="890"/>
    <x v="2"/>
    <x v="2"/>
    <x v="0"/>
    <x v="890"/>
    <x v="845"/>
    <x v="696"/>
    <x v="189"/>
    <x v="268"/>
    <x v="0"/>
    <x v="0"/>
  </r>
  <r>
    <x v="582"/>
    <x v="6"/>
    <x v="1"/>
    <x v="1"/>
    <x v="5"/>
    <x v="884"/>
    <x v="889"/>
    <x v="0"/>
    <x v="0"/>
    <x v="3"/>
    <x v="0"/>
    <x v="891"/>
    <x v="2"/>
    <x v="1"/>
    <x v="1"/>
    <x v="891"/>
    <x v="846"/>
    <x v="817"/>
    <x v="582"/>
    <x v="166"/>
    <x v="2"/>
    <x v="1"/>
  </r>
  <r>
    <x v="478"/>
    <x v="7"/>
    <x v="2"/>
    <x v="4"/>
    <x v="15"/>
    <x v="885"/>
    <x v="890"/>
    <x v="1"/>
    <x v="1"/>
    <x v="1"/>
    <x v="3"/>
    <x v="892"/>
    <x v="1"/>
    <x v="2"/>
    <x v="0"/>
    <x v="892"/>
    <x v="847"/>
    <x v="818"/>
    <x v="478"/>
    <x v="128"/>
    <x v="8"/>
    <x v="2"/>
  </r>
  <r>
    <x v="583"/>
    <x v="2"/>
    <x v="4"/>
    <x v="3"/>
    <x v="18"/>
    <x v="886"/>
    <x v="891"/>
    <x v="2"/>
    <x v="1"/>
    <x v="1"/>
    <x v="0"/>
    <x v="893"/>
    <x v="4"/>
    <x v="1"/>
    <x v="1"/>
    <x v="893"/>
    <x v="848"/>
    <x v="819"/>
    <x v="583"/>
    <x v="494"/>
    <x v="5"/>
    <x v="4"/>
  </r>
  <r>
    <x v="584"/>
    <x v="11"/>
    <x v="4"/>
    <x v="2"/>
    <x v="4"/>
    <x v="887"/>
    <x v="892"/>
    <x v="3"/>
    <x v="1"/>
    <x v="0"/>
    <x v="3"/>
    <x v="894"/>
    <x v="0"/>
    <x v="3"/>
    <x v="0"/>
    <x v="894"/>
    <x v="849"/>
    <x v="820"/>
    <x v="584"/>
    <x v="563"/>
    <x v="7"/>
    <x v="4"/>
  </r>
  <r>
    <x v="251"/>
    <x v="6"/>
    <x v="1"/>
    <x v="4"/>
    <x v="18"/>
    <x v="888"/>
    <x v="893"/>
    <x v="1"/>
    <x v="0"/>
    <x v="2"/>
    <x v="2"/>
    <x v="895"/>
    <x v="4"/>
    <x v="0"/>
    <x v="1"/>
    <x v="895"/>
    <x v="850"/>
    <x v="821"/>
    <x v="251"/>
    <x v="31"/>
    <x v="6"/>
    <x v="1"/>
  </r>
  <r>
    <x v="585"/>
    <x v="4"/>
    <x v="2"/>
    <x v="6"/>
    <x v="7"/>
    <x v="889"/>
    <x v="894"/>
    <x v="1"/>
    <x v="0"/>
    <x v="0"/>
    <x v="3"/>
    <x v="896"/>
    <x v="1"/>
    <x v="0"/>
    <x v="1"/>
    <x v="896"/>
    <x v="851"/>
    <x v="822"/>
    <x v="585"/>
    <x v="464"/>
    <x v="3"/>
    <x v="2"/>
  </r>
  <r>
    <x v="431"/>
    <x v="7"/>
    <x v="3"/>
    <x v="4"/>
    <x v="7"/>
    <x v="890"/>
    <x v="895"/>
    <x v="3"/>
    <x v="1"/>
    <x v="1"/>
    <x v="0"/>
    <x v="897"/>
    <x v="2"/>
    <x v="2"/>
    <x v="0"/>
    <x v="897"/>
    <x v="852"/>
    <x v="823"/>
    <x v="431"/>
    <x v="317"/>
    <x v="4"/>
    <x v="3"/>
  </r>
  <r>
    <x v="586"/>
    <x v="0"/>
    <x v="1"/>
    <x v="6"/>
    <x v="2"/>
    <x v="891"/>
    <x v="896"/>
    <x v="2"/>
    <x v="1"/>
    <x v="1"/>
    <x v="4"/>
    <x v="898"/>
    <x v="4"/>
    <x v="3"/>
    <x v="0"/>
    <x v="898"/>
    <x v="853"/>
    <x v="824"/>
    <x v="586"/>
    <x v="564"/>
    <x v="7"/>
    <x v="1"/>
  </r>
  <r>
    <x v="587"/>
    <x v="3"/>
    <x v="0"/>
    <x v="6"/>
    <x v="7"/>
    <x v="892"/>
    <x v="897"/>
    <x v="1"/>
    <x v="1"/>
    <x v="2"/>
    <x v="4"/>
    <x v="899"/>
    <x v="3"/>
    <x v="3"/>
    <x v="0"/>
    <x v="899"/>
    <x v="854"/>
    <x v="825"/>
    <x v="587"/>
    <x v="565"/>
    <x v="0"/>
    <x v="0"/>
  </r>
  <r>
    <x v="228"/>
    <x v="10"/>
    <x v="1"/>
    <x v="1"/>
    <x v="10"/>
    <x v="893"/>
    <x v="898"/>
    <x v="3"/>
    <x v="0"/>
    <x v="3"/>
    <x v="2"/>
    <x v="900"/>
    <x v="3"/>
    <x v="2"/>
    <x v="0"/>
    <x v="900"/>
    <x v="855"/>
    <x v="826"/>
    <x v="228"/>
    <x v="272"/>
    <x v="1"/>
    <x v="1"/>
  </r>
  <r>
    <x v="588"/>
    <x v="10"/>
    <x v="2"/>
    <x v="6"/>
    <x v="19"/>
    <x v="894"/>
    <x v="899"/>
    <x v="3"/>
    <x v="0"/>
    <x v="3"/>
    <x v="2"/>
    <x v="901"/>
    <x v="0"/>
    <x v="0"/>
    <x v="0"/>
    <x v="901"/>
    <x v="702"/>
    <x v="827"/>
    <x v="588"/>
    <x v="167"/>
    <x v="1"/>
    <x v="2"/>
  </r>
  <r>
    <x v="149"/>
    <x v="0"/>
    <x v="4"/>
    <x v="1"/>
    <x v="14"/>
    <x v="895"/>
    <x v="900"/>
    <x v="2"/>
    <x v="1"/>
    <x v="2"/>
    <x v="2"/>
    <x v="902"/>
    <x v="4"/>
    <x v="0"/>
    <x v="1"/>
    <x v="902"/>
    <x v="856"/>
    <x v="828"/>
    <x v="149"/>
    <x v="566"/>
    <x v="5"/>
    <x v="4"/>
  </r>
  <r>
    <x v="318"/>
    <x v="8"/>
    <x v="3"/>
    <x v="0"/>
    <x v="8"/>
    <x v="896"/>
    <x v="901"/>
    <x v="2"/>
    <x v="1"/>
    <x v="1"/>
    <x v="3"/>
    <x v="903"/>
    <x v="4"/>
    <x v="2"/>
    <x v="0"/>
    <x v="903"/>
    <x v="857"/>
    <x v="829"/>
    <x v="318"/>
    <x v="316"/>
    <x v="2"/>
    <x v="3"/>
  </r>
  <r>
    <x v="589"/>
    <x v="2"/>
    <x v="3"/>
    <x v="1"/>
    <x v="11"/>
    <x v="897"/>
    <x v="902"/>
    <x v="0"/>
    <x v="0"/>
    <x v="3"/>
    <x v="0"/>
    <x v="904"/>
    <x v="2"/>
    <x v="2"/>
    <x v="1"/>
    <x v="904"/>
    <x v="858"/>
    <x v="830"/>
    <x v="589"/>
    <x v="567"/>
    <x v="0"/>
    <x v="3"/>
  </r>
  <r>
    <x v="458"/>
    <x v="2"/>
    <x v="4"/>
    <x v="2"/>
    <x v="18"/>
    <x v="898"/>
    <x v="903"/>
    <x v="0"/>
    <x v="1"/>
    <x v="1"/>
    <x v="3"/>
    <x v="905"/>
    <x v="1"/>
    <x v="2"/>
    <x v="0"/>
    <x v="905"/>
    <x v="859"/>
    <x v="831"/>
    <x v="458"/>
    <x v="334"/>
    <x v="1"/>
    <x v="4"/>
  </r>
  <r>
    <x v="590"/>
    <x v="4"/>
    <x v="1"/>
    <x v="4"/>
    <x v="14"/>
    <x v="899"/>
    <x v="904"/>
    <x v="3"/>
    <x v="1"/>
    <x v="0"/>
    <x v="0"/>
    <x v="906"/>
    <x v="1"/>
    <x v="1"/>
    <x v="0"/>
    <x v="906"/>
    <x v="860"/>
    <x v="832"/>
    <x v="590"/>
    <x v="51"/>
    <x v="6"/>
    <x v="1"/>
  </r>
  <r>
    <x v="427"/>
    <x v="4"/>
    <x v="1"/>
    <x v="1"/>
    <x v="7"/>
    <x v="900"/>
    <x v="905"/>
    <x v="2"/>
    <x v="0"/>
    <x v="0"/>
    <x v="0"/>
    <x v="907"/>
    <x v="2"/>
    <x v="1"/>
    <x v="1"/>
    <x v="907"/>
    <x v="861"/>
    <x v="833"/>
    <x v="427"/>
    <x v="357"/>
    <x v="0"/>
    <x v="1"/>
  </r>
  <r>
    <x v="103"/>
    <x v="3"/>
    <x v="0"/>
    <x v="6"/>
    <x v="10"/>
    <x v="901"/>
    <x v="906"/>
    <x v="1"/>
    <x v="0"/>
    <x v="0"/>
    <x v="5"/>
    <x v="908"/>
    <x v="1"/>
    <x v="0"/>
    <x v="0"/>
    <x v="908"/>
    <x v="862"/>
    <x v="834"/>
    <x v="103"/>
    <x v="194"/>
    <x v="7"/>
    <x v="0"/>
  </r>
  <r>
    <x v="591"/>
    <x v="7"/>
    <x v="2"/>
    <x v="0"/>
    <x v="13"/>
    <x v="902"/>
    <x v="907"/>
    <x v="2"/>
    <x v="1"/>
    <x v="2"/>
    <x v="3"/>
    <x v="909"/>
    <x v="0"/>
    <x v="3"/>
    <x v="0"/>
    <x v="909"/>
    <x v="863"/>
    <x v="460"/>
    <x v="591"/>
    <x v="568"/>
    <x v="1"/>
    <x v="2"/>
  </r>
  <r>
    <x v="592"/>
    <x v="4"/>
    <x v="3"/>
    <x v="2"/>
    <x v="4"/>
    <x v="903"/>
    <x v="908"/>
    <x v="2"/>
    <x v="0"/>
    <x v="2"/>
    <x v="0"/>
    <x v="910"/>
    <x v="3"/>
    <x v="0"/>
    <x v="0"/>
    <x v="910"/>
    <x v="864"/>
    <x v="835"/>
    <x v="592"/>
    <x v="569"/>
    <x v="0"/>
    <x v="3"/>
  </r>
  <r>
    <x v="455"/>
    <x v="4"/>
    <x v="3"/>
    <x v="4"/>
    <x v="1"/>
    <x v="904"/>
    <x v="909"/>
    <x v="1"/>
    <x v="0"/>
    <x v="1"/>
    <x v="5"/>
    <x v="911"/>
    <x v="1"/>
    <x v="1"/>
    <x v="0"/>
    <x v="911"/>
    <x v="865"/>
    <x v="836"/>
    <x v="455"/>
    <x v="7"/>
    <x v="0"/>
    <x v="3"/>
  </r>
  <r>
    <x v="593"/>
    <x v="4"/>
    <x v="2"/>
    <x v="2"/>
    <x v="2"/>
    <x v="905"/>
    <x v="910"/>
    <x v="2"/>
    <x v="1"/>
    <x v="1"/>
    <x v="3"/>
    <x v="912"/>
    <x v="1"/>
    <x v="3"/>
    <x v="0"/>
    <x v="912"/>
    <x v="866"/>
    <x v="837"/>
    <x v="593"/>
    <x v="376"/>
    <x v="5"/>
    <x v="2"/>
  </r>
  <r>
    <x v="594"/>
    <x v="9"/>
    <x v="0"/>
    <x v="3"/>
    <x v="2"/>
    <x v="906"/>
    <x v="911"/>
    <x v="0"/>
    <x v="0"/>
    <x v="0"/>
    <x v="4"/>
    <x v="913"/>
    <x v="3"/>
    <x v="1"/>
    <x v="0"/>
    <x v="913"/>
    <x v="867"/>
    <x v="838"/>
    <x v="594"/>
    <x v="402"/>
    <x v="8"/>
    <x v="0"/>
  </r>
  <r>
    <x v="361"/>
    <x v="0"/>
    <x v="0"/>
    <x v="4"/>
    <x v="14"/>
    <x v="907"/>
    <x v="912"/>
    <x v="0"/>
    <x v="1"/>
    <x v="2"/>
    <x v="3"/>
    <x v="914"/>
    <x v="2"/>
    <x v="2"/>
    <x v="0"/>
    <x v="914"/>
    <x v="868"/>
    <x v="839"/>
    <x v="361"/>
    <x v="570"/>
    <x v="3"/>
    <x v="0"/>
  </r>
  <r>
    <x v="54"/>
    <x v="3"/>
    <x v="2"/>
    <x v="2"/>
    <x v="8"/>
    <x v="908"/>
    <x v="913"/>
    <x v="0"/>
    <x v="1"/>
    <x v="3"/>
    <x v="5"/>
    <x v="915"/>
    <x v="2"/>
    <x v="1"/>
    <x v="0"/>
    <x v="915"/>
    <x v="869"/>
    <x v="840"/>
    <x v="54"/>
    <x v="117"/>
    <x v="0"/>
    <x v="2"/>
  </r>
  <r>
    <x v="348"/>
    <x v="9"/>
    <x v="3"/>
    <x v="1"/>
    <x v="10"/>
    <x v="909"/>
    <x v="914"/>
    <x v="0"/>
    <x v="1"/>
    <x v="0"/>
    <x v="0"/>
    <x v="916"/>
    <x v="3"/>
    <x v="3"/>
    <x v="0"/>
    <x v="916"/>
    <x v="870"/>
    <x v="841"/>
    <x v="348"/>
    <x v="571"/>
    <x v="8"/>
    <x v="3"/>
  </r>
  <r>
    <x v="595"/>
    <x v="3"/>
    <x v="1"/>
    <x v="3"/>
    <x v="13"/>
    <x v="910"/>
    <x v="915"/>
    <x v="0"/>
    <x v="1"/>
    <x v="3"/>
    <x v="4"/>
    <x v="917"/>
    <x v="3"/>
    <x v="2"/>
    <x v="1"/>
    <x v="917"/>
    <x v="871"/>
    <x v="842"/>
    <x v="595"/>
    <x v="395"/>
    <x v="5"/>
    <x v="1"/>
  </r>
  <r>
    <x v="510"/>
    <x v="2"/>
    <x v="1"/>
    <x v="4"/>
    <x v="14"/>
    <x v="911"/>
    <x v="916"/>
    <x v="1"/>
    <x v="0"/>
    <x v="3"/>
    <x v="5"/>
    <x v="918"/>
    <x v="0"/>
    <x v="2"/>
    <x v="0"/>
    <x v="918"/>
    <x v="872"/>
    <x v="670"/>
    <x v="510"/>
    <x v="572"/>
    <x v="6"/>
    <x v="1"/>
  </r>
  <r>
    <x v="357"/>
    <x v="3"/>
    <x v="4"/>
    <x v="3"/>
    <x v="13"/>
    <x v="912"/>
    <x v="917"/>
    <x v="2"/>
    <x v="1"/>
    <x v="0"/>
    <x v="3"/>
    <x v="919"/>
    <x v="1"/>
    <x v="2"/>
    <x v="1"/>
    <x v="919"/>
    <x v="873"/>
    <x v="15"/>
    <x v="357"/>
    <x v="113"/>
    <x v="8"/>
    <x v="4"/>
  </r>
  <r>
    <x v="158"/>
    <x v="9"/>
    <x v="0"/>
    <x v="4"/>
    <x v="10"/>
    <x v="913"/>
    <x v="918"/>
    <x v="3"/>
    <x v="1"/>
    <x v="1"/>
    <x v="0"/>
    <x v="920"/>
    <x v="3"/>
    <x v="2"/>
    <x v="1"/>
    <x v="920"/>
    <x v="874"/>
    <x v="843"/>
    <x v="158"/>
    <x v="158"/>
    <x v="6"/>
    <x v="0"/>
  </r>
  <r>
    <x v="149"/>
    <x v="0"/>
    <x v="2"/>
    <x v="6"/>
    <x v="15"/>
    <x v="914"/>
    <x v="919"/>
    <x v="2"/>
    <x v="1"/>
    <x v="2"/>
    <x v="3"/>
    <x v="921"/>
    <x v="2"/>
    <x v="1"/>
    <x v="0"/>
    <x v="921"/>
    <x v="875"/>
    <x v="844"/>
    <x v="149"/>
    <x v="566"/>
    <x v="5"/>
    <x v="2"/>
  </r>
  <r>
    <x v="320"/>
    <x v="7"/>
    <x v="2"/>
    <x v="4"/>
    <x v="15"/>
    <x v="915"/>
    <x v="920"/>
    <x v="1"/>
    <x v="0"/>
    <x v="0"/>
    <x v="1"/>
    <x v="922"/>
    <x v="0"/>
    <x v="1"/>
    <x v="0"/>
    <x v="922"/>
    <x v="580"/>
    <x v="845"/>
    <x v="320"/>
    <x v="503"/>
    <x v="8"/>
    <x v="2"/>
  </r>
  <r>
    <x v="596"/>
    <x v="10"/>
    <x v="2"/>
    <x v="5"/>
    <x v="8"/>
    <x v="916"/>
    <x v="921"/>
    <x v="1"/>
    <x v="0"/>
    <x v="3"/>
    <x v="3"/>
    <x v="923"/>
    <x v="2"/>
    <x v="0"/>
    <x v="0"/>
    <x v="923"/>
    <x v="876"/>
    <x v="846"/>
    <x v="596"/>
    <x v="142"/>
    <x v="5"/>
    <x v="2"/>
  </r>
  <r>
    <x v="597"/>
    <x v="0"/>
    <x v="3"/>
    <x v="0"/>
    <x v="5"/>
    <x v="917"/>
    <x v="922"/>
    <x v="1"/>
    <x v="0"/>
    <x v="3"/>
    <x v="2"/>
    <x v="924"/>
    <x v="1"/>
    <x v="0"/>
    <x v="1"/>
    <x v="924"/>
    <x v="562"/>
    <x v="847"/>
    <x v="597"/>
    <x v="573"/>
    <x v="2"/>
    <x v="3"/>
  </r>
  <r>
    <x v="598"/>
    <x v="7"/>
    <x v="2"/>
    <x v="0"/>
    <x v="16"/>
    <x v="918"/>
    <x v="923"/>
    <x v="3"/>
    <x v="0"/>
    <x v="3"/>
    <x v="4"/>
    <x v="925"/>
    <x v="2"/>
    <x v="2"/>
    <x v="0"/>
    <x v="925"/>
    <x v="877"/>
    <x v="848"/>
    <x v="598"/>
    <x v="574"/>
    <x v="3"/>
    <x v="2"/>
  </r>
  <r>
    <x v="39"/>
    <x v="10"/>
    <x v="3"/>
    <x v="6"/>
    <x v="5"/>
    <x v="919"/>
    <x v="924"/>
    <x v="2"/>
    <x v="1"/>
    <x v="0"/>
    <x v="0"/>
    <x v="926"/>
    <x v="0"/>
    <x v="1"/>
    <x v="0"/>
    <x v="926"/>
    <x v="878"/>
    <x v="849"/>
    <x v="39"/>
    <x v="476"/>
    <x v="2"/>
    <x v="3"/>
  </r>
  <r>
    <x v="503"/>
    <x v="3"/>
    <x v="2"/>
    <x v="5"/>
    <x v="13"/>
    <x v="920"/>
    <x v="925"/>
    <x v="1"/>
    <x v="0"/>
    <x v="1"/>
    <x v="3"/>
    <x v="927"/>
    <x v="2"/>
    <x v="1"/>
    <x v="0"/>
    <x v="927"/>
    <x v="879"/>
    <x v="850"/>
    <x v="503"/>
    <x v="370"/>
    <x v="8"/>
    <x v="2"/>
  </r>
  <r>
    <x v="23"/>
    <x v="10"/>
    <x v="3"/>
    <x v="6"/>
    <x v="14"/>
    <x v="921"/>
    <x v="926"/>
    <x v="1"/>
    <x v="0"/>
    <x v="3"/>
    <x v="1"/>
    <x v="928"/>
    <x v="3"/>
    <x v="3"/>
    <x v="0"/>
    <x v="928"/>
    <x v="880"/>
    <x v="851"/>
    <x v="23"/>
    <x v="512"/>
    <x v="7"/>
    <x v="3"/>
  </r>
  <r>
    <x v="570"/>
    <x v="9"/>
    <x v="0"/>
    <x v="5"/>
    <x v="4"/>
    <x v="922"/>
    <x v="927"/>
    <x v="2"/>
    <x v="1"/>
    <x v="1"/>
    <x v="2"/>
    <x v="929"/>
    <x v="4"/>
    <x v="3"/>
    <x v="1"/>
    <x v="929"/>
    <x v="549"/>
    <x v="852"/>
    <x v="570"/>
    <x v="219"/>
    <x v="0"/>
    <x v="0"/>
  </r>
  <r>
    <x v="323"/>
    <x v="0"/>
    <x v="0"/>
    <x v="0"/>
    <x v="4"/>
    <x v="923"/>
    <x v="928"/>
    <x v="2"/>
    <x v="0"/>
    <x v="1"/>
    <x v="1"/>
    <x v="930"/>
    <x v="3"/>
    <x v="0"/>
    <x v="0"/>
    <x v="930"/>
    <x v="881"/>
    <x v="779"/>
    <x v="323"/>
    <x v="320"/>
    <x v="0"/>
    <x v="0"/>
  </r>
  <r>
    <x v="192"/>
    <x v="6"/>
    <x v="0"/>
    <x v="2"/>
    <x v="5"/>
    <x v="924"/>
    <x v="929"/>
    <x v="1"/>
    <x v="1"/>
    <x v="2"/>
    <x v="5"/>
    <x v="931"/>
    <x v="0"/>
    <x v="0"/>
    <x v="0"/>
    <x v="931"/>
    <x v="882"/>
    <x v="853"/>
    <x v="192"/>
    <x v="59"/>
    <x v="7"/>
    <x v="0"/>
  </r>
  <r>
    <x v="328"/>
    <x v="11"/>
    <x v="1"/>
    <x v="4"/>
    <x v="17"/>
    <x v="925"/>
    <x v="930"/>
    <x v="3"/>
    <x v="1"/>
    <x v="3"/>
    <x v="1"/>
    <x v="932"/>
    <x v="2"/>
    <x v="2"/>
    <x v="0"/>
    <x v="932"/>
    <x v="883"/>
    <x v="359"/>
    <x v="328"/>
    <x v="575"/>
    <x v="4"/>
    <x v="1"/>
  </r>
  <r>
    <x v="241"/>
    <x v="0"/>
    <x v="1"/>
    <x v="3"/>
    <x v="8"/>
    <x v="926"/>
    <x v="931"/>
    <x v="1"/>
    <x v="0"/>
    <x v="1"/>
    <x v="0"/>
    <x v="933"/>
    <x v="4"/>
    <x v="1"/>
    <x v="0"/>
    <x v="933"/>
    <x v="884"/>
    <x v="854"/>
    <x v="241"/>
    <x v="3"/>
    <x v="3"/>
    <x v="1"/>
  </r>
  <r>
    <x v="411"/>
    <x v="4"/>
    <x v="0"/>
    <x v="3"/>
    <x v="7"/>
    <x v="927"/>
    <x v="932"/>
    <x v="1"/>
    <x v="1"/>
    <x v="2"/>
    <x v="4"/>
    <x v="934"/>
    <x v="2"/>
    <x v="3"/>
    <x v="0"/>
    <x v="934"/>
    <x v="885"/>
    <x v="855"/>
    <x v="411"/>
    <x v="192"/>
    <x v="7"/>
    <x v="0"/>
  </r>
  <r>
    <x v="69"/>
    <x v="6"/>
    <x v="0"/>
    <x v="0"/>
    <x v="1"/>
    <x v="928"/>
    <x v="933"/>
    <x v="2"/>
    <x v="1"/>
    <x v="3"/>
    <x v="1"/>
    <x v="935"/>
    <x v="3"/>
    <x v="3"/>
    <x v="1"/>
    <x v="935"/>
    <x v="886"/>
    <x v="856"/>
    <x v="69"/>
    <x v="576"/>
    <x v="2"/>
    <x v="0"/>
  </r>
  <r>
    <x v="165"/>
    <x v="9"/>
    <x v="4"/>
    <x v="6"/>
    <x v="1"/>
    <x v="929"/>
    <x v="934"/>
    <x v="1"/>
    <x v="1"/>
    <x v="1"/>
    <x v="3"/>
    <x v="936"/>
    <x v="3"/>
    <x v="3"/>
    <x v="1"/>
    <x v="936"/>
    <x v="887"/>
    <x v="112"/>
    <x v="165"/>
    <x v="204"/>
    <x v="7"/>
    <x v="4"/>
  </r>
  <r>
    <x v="329"/>
    <x v="9"/>
    <x v="0"/>
    <x v="0"/>
    <x v="16"/>
    <x v="930"/>
    <x v="935"/>
    <x v="1"/>
    <x v="0"/>
    <x v="0"/>
    <x v="4"/>
    <x v="937"/>
    <x v="1"/>
    <x v="2"/>
    <x v="0"/>
    <x v="937"/>
    <x v="888"/>
    <x v="857"/>
    <x v="329"/>
    <x v="238"/>
    <x v="5"/>
    <x v="0"/>
  </r>
  <r>
    <x v="599"/>
    <x v="0"/>
    <x v="3"/>
    <x v="5"/>
    <x v="4"/>
    <x v="931"/>
    <x v="936"/>
    <x v="3"/>
    <x v="0"/>
    <x v="1"/>
    <x v="1"/>
    <x v="938"/>
    <x v="4"/>
    <x v="1"/>
    <x v="0"/>
    <x v="938"/>
    <x v="889"/>
    <x v="858"/>
    <x v="599"/>
    <x v="88"/>
    <x v="0"/>
    <x v="3"/>
  </r>
  <r>
    <x v="600"/>
    <x v="0"/>
    <x v="0"/>
    <x v="2"/>
    <x v="6"/>
    <x v="932"/>
    <x v="937"/>
    <x v="3"/>
    <x v="0"/>
    <x v="3"/>
    <x v="4"/>
    <x v="939"/>
    <x v="1"/>
    <x v="3"/>
    <x v="0"/>
    <x v="939"/>
    <x v="890"/>
    <x v="859"/>
    <x v="600"/>
    <x v="577"/>
    <x v="3"/>
    <x v="0"/>
  </r>
  <r>
    <x v="601"/>
    <x v="6"/>
    <x v="0"/>
    <x v="2"/>
    <x v="9"/>
    <x v="933"/>
    <x v="938"/>
    <x v="1"/>
    <x v="0"/>
    <x v="1"/>
    <x v="2"/>
    <x v="940"/>
    <x v="4"/>
    <x v="3"/>
    <x v="0"/>
    <x v="940"/>
    <x v="891"/>
    <x v="860"/>
    <x v="601"/>
    <x v="337"/>
    <x v="8"/>
    <x v="0"/>
  </r>
  <r>
    <x v="458"/>
    <x v="2"/>
    <x v="1"/>
    <x v="6"/>
    <x v="5"/>
    <x v="934"/>
    <x v="939"/>
    <x v="3"/>
    <x v="0"/>
    <x v="1"/>
    <x v="1"/>
    <x v="941"/>
    <x v="1"/>
    <x v="2"/>
    <x v="0"/>
    <x v="941"/>
    <x v="892"/>
    <x v="861"/>
    <x v="458"/>
    <x v="578"/>
    <x v="5"/>
    <x v="1"/>
  </r>
  <r>
    <x v="574"/>
    <x v="5"/>
    <x v="1"/>
    <x v="0"/>
    <x v="2"/>
    <x v="935"/>
    <x v="940"/>
    <x v="3"/>
    <x v="0"/>
    <x v="1"/>
    <x v="1"/>
    <x v="942"/>
    <x v="0"/>
    <x v="3"/>
    <x v="0"/>
    <x v="942"/>
    <x v="893"/>
    <x v="862"/>
    <x v="574"/>
    <x v="440"/>
    <x v="2"/>
    <x v="1"/>
  </r>
  <r>
    <x v="602"/>
    <x v="4"/>
    <x v="1"/>
    <x v="3"/>
    <x v="3"/>
    <x v="853"/>
    <x v="941"/>
    <x v="1"/>
    <x v="1"/>
    <x v="0"/>
    <x v="4"/>
    <x v="943"/>
    <x v="2"/>
    <x v="1"/>
    <x v="0"/>
    <x v="943"/>
    <x v="381"/>
    <x v="863"/>
    <x v="602"/>
    <x v="420"/>
    <x v="3"/>
    <x v="1"/>
  </r>
  <r>
    <x v="473"/>
    <x v="1"/>
    <x v="3"/>
    <x v="6"/>
    <x v="13"/>
    <x v="936"/>
    <x v="942"/>
    <x v="0"/>
    <x v="1"/>
    <x v="3"/>
    <x v="0"/>
    <x v="944"/>
    <x v="2"/>
    <x v="2"/>
    <x v="0"/>
    <x v="944"/>
    <x v="894"/>
    <x v="864"/>
    <x v="473"/>
    <x v="501"/>
    <x v="3"/>
    <x v="3"/>
  </r>
  <r>
    <x v="603"/>
    <x v="4"/>
    <x v="3"/>
    <x v="0"/>
    <x v="9"/>
    <x v="937"/>
    <x v="943"/>
    <x v="1"/>
    <x v="0"/>
    <x v="3"/>
    <x v="5"/>
    <x v="945"/>
    <x v="1"/>
    <x v="3"/>
    <x v="0"/>
    <x v="945"/>
    <x v="895"/>
    <x v="748"/>
    <x v="603"/>
    <x v="579"/>
    <x v="3"/>
    <x v="3"/>
  </r>
  <r>
    <x v="111"/>
    <x v="10"/>
    <x v="4"/>
    <x v="3"/>
    <x v="13"/>
    <x v="938"/>
    <x v="944"/>
    <x v="1"/>
    <x v="1"/>
    <x v="3"/>
    <x v="1"/>
    <x v="946"/>
    <x v="4"/>
    <x v="0"/>
    <x v="0"/>
    <x v="946"/>
    <x v="896"/>
    <x v="865"/>
    <x v="111"/>
    <x v="181"/>
    <x v="7"/>
    <x v="4"/>
  </r>
  <r>
    <x v="425"/>
    <x v="9"/>
    <x v="2"/>
    <x v="1"/>
    <x v="3"/>
    <x v="939"/>
    <x v="945"/>
    <x v="2"/>
    <x v="1"/>
    <x v="0"/>
    <x v="3"/>
    <x v="947"/>
    <x v="0"/>
    <x v="0"/>
    <x v="0"/>
    <x v="947"/>
    <x v="897"/>
    <x v="866"/>
    <x v="425"/>
    <x v="580"/>
    <x v="8"/>
    <x v="2"/>
  </r>
  <r>
    <x v="155"/>
    <x v="6"/>
    <x v="2"/>
    <x v="4"/>
    <x v="2"/>
    <x v="940"/>
    <x v="946"/>
    <x v="3"/>
    <x v="0"/>
    <x v="1"/>
    <x v="1"/>
    <x v="948"/>
    <x v="0"/>
    <x v="1"/>
    <x v="0"/>
    <x v="948"/>
    <x v="898"/>
    <x v="867"/>
    <x v="155"/>
    <x v="368"/>
    <x v="0"/>
    <x v="2"/>
  </r>
  <r>
    <x v="383"/>
    <x v="0"/>
    <x v="2"/>
    <x v="1"/>
    <x v="14"/>
    <x v="941"/>
    <x v="947"/>
    <x v="2"/>
    <x v="0"/>
    <x v="0"/>
    <x v="2"/>
    <x v="949"/>
    <x v="0"/>
    <x v="2"/>
    <x v="0"/>
    <x v="949"/>
    <x v="751"/>
    <x v="868"/>
    <x v="383"/>
    <x v="581"/>
    <x v="5"/>
    <x v="2"/>
  </r>
  <r>
    <x v="3"/>
    <x v="0"/>
    <x v="0"/>
    <x v="2"/>
    <x v="17"/>
    <x v="942"/>
    <x v="948"/>
    <x v="1"/>
    <x v="0"/>
    <x v="0"/>
    <x v="1"/>
    <x v="950"/>
    <x v="2"/>
    <x v="0"/>
    <x v="0"/>
    <x v="950"/>
    <x v="899"/>
    <x v="869"/>
    <x v="3"/>
    <x v="525"/>
    <x v="4"/>
    <x v="0"/>
  </r>
  <r>
    <x v="604"/>
    <x v="6"/>
    <x v="0"/>
    <x v="4"/>
    <x v="16"/>
    <x v="943"/>
    <x v="949"/>
    <x v="0"/>
    <x v="0"/>
    <x v="0"/>
    <x v="1"/>
    <x v="951"/>
    <x v="3"/>
    <x v="2"/>
    <x v="0"/>
    <x v="951"/>
    <x v="900"/>
    <x v="870"/>
    <x v="604"/>
    <x v="582"/>
    <x v="5"/>
    <x v="0"/>
  </r>
  <r>
    <x v="605"/>
    <x v="2"/>
    <x v="4"/>
    <x v="2"/>
    <x v="5"/>
    <x v="944"/>
    <x v="950"/>
    <x v="0"/>
    <x v="0"/>
    <x v="0"/>
    <x v="0"/>
    <x v="952"/>
    <x v="1"/>
    <x v="3"/>
    <x v="0"/>
    <x v="952"/>
    <x v="901"/>
    <x v="871"/>
    <x v="605"/>
    <x v="583"/>
    <x v="0"/>
    <x v="4"/>
  </r>
  <r>
    <x v="606"/>
    <x v="2"/>
    <x v="4"/>
    <x v="6"/>
    <x v="12"/>
    <x v="945"/>
    <x v="951"/>
    <x v="2"/>
    <x v="1"/>
    <x v="0"/>
    <x v="1"/>
    <x v="953"/>
    <x v="2"/>
    <x v="1"/>
    <x v="0"/>
    <x v="953"/>
    <x v="902"/>
    <x v="872"/>
    <x v="606"/>
    <x v="24"/>
    <x v="7"/>
    <x v="4"/>
  </r>
  <r>
    <x v="551"/>
    <x v="2"/>
    <x v="1"/>
    <x v="3"/>
    <x v="17"/>
    <x v="946"/>
    <x v="952"/>
    <x v="2"/>
    <x v="1"/>
    <x v="1"/>
    <x v="2"/>
    <x v="954"/>
    <x v="2"/>
    <x v="3"/>
    <x v="0"/>
    <x v="954"/>
    <x v="903"/>
    <x v="873"/>
    <x v="551"/>
    <x v="28"/>
    <x v="8"/>
    <x v="1"/>
  </r>
  <r>
    <x v="535"/>
    <x v="5"/>
    <x v="1"/>
    <x v="1"/>
    <x v="15"/>
    <x v="947"/>
    <x v="953"/>
    <x v="1"/>
    <x v="1"/>
    <x v="2"/>
    <x v="1"/>
    <x v="955"/>
    <x v="4"/>
    <x v="2"/>
    <x v="0"/>
    <x v="955"/>
    <x v="684"/>
    <x v="874"/>
    <x v="535"/>
    <x v="584"/>
    <x v="0"/>
    <x v="1"/>
  </r>
  <r>
    <x v="109"/>
    <x v="4"/>
    <x v="2"/>
    <x v="6"/>
    <x v="3"/>
    <x v="948"/>
    <x v="954"/>
    <x v="0"/>
    <x v="1"/>
    <x v="2"/>
    <x v="2"/>
    <x v="956"/>
    <x v="0"/>
    <x v="2"/>
    <x v="0"/>
    <x v="956"/>
    <x v="904"/>
    <x v="255"/>
    <x v="109"/>
    <x v="419"/>
    <x v="6"/>
    <x v="2"/>
  </r>
  <r>
    <x v="151"/>
    <x v="0"/>
    <x v="0"/>
    <x v="1"/>
    <x v="10"/>
    <x v="949"/>
    <x v="955"/>
    <x v="1"/>
    <x v="1"/>
    <x v="1"/>
    <x v="3"/>
    <x v="957"/>
    <x v="0"/>
    <x v="2"/>
    <x v="1"/>
    <x v="957"/>
    <x v="905"/>
    <x v="875"/>
    <x v="151"/>
    <x v="585"/>
    <x v="2"/>
    <x v="0"/>
  </r>
  <r>
    <x v="172"/>
    <x v="8"/>
    <x v="2"/>
    <x v="2"/>
    <x v="6"/>
    <x v="950"/>
    <x v="956"/>
    <x v="1"/>
    <x v="0"/>
    <x v="1"/>
    <x v="3"/>
    <x v="958"/>
    <x v="1"/>
    <x v="2"/>
    <x v="0"/>
    <x v="958"/>
    <x v="124"/>
    <x v="876"/>
    <x v="172"/>
    <x v="586"/>
    <x v="7"/>
    <x v="2"/>
  </r>
  <r>
    <x v="534"/>
    <x v="2"/>
    <x v="1"/>
    <x v="4"/>
    <x v="5"/>
    <x v="951"/>
    <x v="957"/>
    <x v="0"/>
    <x v="1"/>
    <x v="0"/>
    <x v="2"/>
    <x v="959"/>
    <x v="0"/>
    <x v="2"/>
    <x v="1"/>
    <x v="959"/>
    <x v="906"/>
    <x v="877"/>
    <x v="534"/>
    <x v="213"/>
    <x v="3"/>
    <x v="1"/>
  </r>
  <r>
    <x v="254"/>
    <x v="9"/>
    <x v="1"/>
    <x v="4"/>
    <x v="14"/>
    <x v="952"/>
    <x v="958"/>
    <x v="1"/>
    <x v="0"/>
    <x v="2"/>
    <x v="3"/>
    <x v="960"/>
    <x v="0"/>
    <x v="2"/>
    <x v="0"/>
    <x v="960"/>
    <x v="907"/>
    <x v="878"/>
    <x v="254"/>
    <x v="319"/>
    <x v="2"/>
    <x v="1"/>
  </r>
  <r>
    <x v="607"/>
    <x v="8"/>
    <x v="2"/>
    <x v="3"/>
    <x v="19"/>
    <x v="953"/>
    <x v="959"/>
    <x v="1"/>
    <x v="1"/>
    <x v="1"/>
    <x v="1"/>
    <x v="961"/>
    <x v="0"/>
    <x v="3"/>
    <x v="1"/>
    <x v="961"/>
    <x v="908"/>
    <x v="879"/>
    <x v="607"/>
    <x v="587"/>
    <x v="0"/>
    <x v="2"/>
  </r>
  <r>
    <x v="123"/>
    <x v="8"/>
    <x v="2"/>
    <x v="3"/>
    <x v="13"/>
    <x v="954"/>
    <x v="960"/>
    <x v="3"/>
    <x v="0"/>
    <x v="0"/>
    <x v="1"/>
    <x v="962"/>
    <x v="1"/>
    <x v="2"/>
    <x v="0"/>
    <x v="962"/>
    <x v="909"/>
    <x v="880"/>
    <x v="123"/>
    <x v="336"/>
    <x v="5"/>
    <x v="2"/>
  </r>
  <r>
    <x v="327"/>
    <x v="9"/>
    <x v="4"/>
    <x v="3"/>
    <x v="10"/>
    <x v="955"/>
    <x v="961"/>
    <x v="1"/>
    <x v="0"/>
    <x v="1"/>
    <x v="5"/>
    <x v="963"/>
    <x v="1"/>
    <x v="2"/>
    <x v="0"/>
    <x v="963"/>
    <x v="910"/>
    <x v="881"/>
    <x v="327"/>
    <x v="191"/>
    <x v="4"/>
    <x v="4"/>
  </r>
  <r>
    <x v="170"/>
    <x v="0"/>
    <x v="4"/>
    <x v="5"/>
    <x v="10"/>
    <x v="956"/>
    <x v="962"/>
    <x v="3"/>
    <x v="1"/>
    <x v="3"/>
    <x v="2"/>
    <x v="964"/>
    <x v="4"/>
    <x v="3"/>
    <x v="0"/>
    <x v="964"/>
    <x v="911"/>
    <x v="882"/>
    <x v="170"/>
    <x v="248"/>
    <x v="3"/>
    <x v="4"/>
  </r>
  <r>
    <x v="563"/>
    <x v="2"/>
    <x v="1"/>
    <x v="6"/>
    <x v="11"/>
    <x v="957"/>
    <x v="963"/>
    <x v="1"/>
    <x v="0"/>
    <x v="0"/>
    <x v="4"/>
    <x v="965"/>
    <x v="2"/>
    <x v="2"/>
    <x v="0"/>
    <x v="965"/>
    <x v="912"/>
    <x v="883"/>
    <x v="563"/>
    <x v="588"/>
    <x v="1"/>
    <x v="1"/>
  </r>
  <r>
    <x v="386"/>
    <x v="5"/>
    <x v="1"/>
    <x v="6"/>
    <x v="7"/>
    <x v="958"/>
    <x v="964"/>
    <x v="3"/>
    <x v="1"/>
    <x v="1"/>
    <x v="0"/>
    <x v="966"/>
    <x v="3"/>
    <x v="0"/>
    <x v="1"/>
    <x v="966"/>
    <x v="588"/>
    <x v="884"/>
    <x v="386"/>
    <x v="390"/>
    <x v="4"/>
    <x v="1"/>
  </r>
  <r>
    <x v="608"/>
    <x v="4"/>
    <x v="2"/>
    <x v="0"/>
    <x v="10"/>
    <x v="959"/>
    <x v="965"/>
    <x v="2"/>
    <x v="0"/>
    <x v="1"/>
    <x v="3"/>
    <x v="967"/>
    <x v="3"/>
    <x v="1"/>
    <x v="0"/>
    <x v="967"/>
    <x v="913"/>
    <x v="885"/>
    <x v="608"/>
    <x v="44"/>
    <x v="6"/>
    <x v="2"/>
  </r>
  <r>
    <x v="609"/>
    <x v="6"/>
    <x v="3"/>
    <x v="3"/>
    <x v="6"/>
    <x v="960"/>
    <x v="966"/>
    <x v="3"/>
    <x v="0"/>
    <x v="0"/>
    <x v="3"/>
    <x v="968"/>
    <x v="1"/>
    <x v="0"/>
    <x v="1"/>
    <x v="968"/>
    <x v="914"/>
    <x v="24"/>
    <x v="609"/>
    <x v="166"/>
    <x v="7"/>
    <x v="3"/>
  </r>
  <r>
    <x v="610"/>
    <x v="7"/>
    <x v="4"/>
    <x v="3"/>
    <x v="8"/>
    <x v="961"/>
    <x v="967"/>
    <x v="2"/>
    <x v="0"/>
    <x v="0"/>
    <x v="0"/>
    <x v="969"/>
    <x v="4"/>
    <x v="2"/>
    <x v="0"/>
    <x v="969"/>
    <x v="915"/>
    <x v="886"/>
    <x v="610"/>
    <x v="589"/>
    <x v="1"/>
    <x v="4"/>
  </r>
  <r>
    <x v="80"/>
    <x v="2"/>
    <x v="3"/>
    <x v="3"/>
    <x v="4"/>
    <x v="962"/>
    <x v="968"/>
    <x v="2"/>
    <x v="1"/>
    <x v="1"/>
    <x v="0"/>
    <x v="970"/>
    <x v="4"/>
    <x v="0"/>
    <x v="0"/>
    <x v="970"/>
    <x v="916"/>
    <x v="212"/>
    <x v="80"/>
    <x v="75"/>
    <x v="1"/>
    <x v="3"/>
  </r>
  <r>
    <x v="571"/>
    <x v="5"/>
    <x v="0"/>
    <x v="4"/>
    <x v="4"/>
    <x v="963"/>
    <x v="969"/>
    <x v="1"/>
    <x v="0"/>
    <x v="2"/>
    <x v="5"/>
    <x v="971"/>
    <x v="4"/>
    <x v="2"/>
    <x v="1"/>
    <x v="971"/>
    <x v="917"/>
    <x v="887"/>
    <x v="571"/>
    <x v="378"/>
    <x v="6"/>
    <x v="0"/>
  </r>
  <r>
    <x v="279"/>
    <x v="0"/>
    <x v="4"/>
    <x v="1"/>
    <x v="19"/>
    <x v="964"/>
    <x v="970"/>
    <x v="2"/>
    <x v="0"/>
    <x v="2"/>
    <x v="4"/>
    <x v="972"/>
    <x v="2"/>
    <x v="0"/>
    <x v="0"/>
    <x v="972"/>
    <x v="918"/>
    <x v="888"/>
    <x v="279"/>
    <x v="590"/>
    <x v="8"/>
    <x v="4"/>
  </r>
  <r>
    <x v="2"/>
    <x v="2"/>
    <x v="3"/>
    <x v="5"/>
    <x v="3"/>
    <x v="965"/>
    <x v="971"/>
    <x v="0"/>
    <x v="1"/>
    <x v="1"/>
    <x v="2"/>
    <x v="973"/>
    <x v="2"/>
    <x v="0"/>
    <x v="0"/>
    <x v="973"/>
    <x v="919"/>
    <x v="889"/>
    <x v="2"/>
    <x v="494"/>
    <x v="2"/>
    <x v="3"/>
  </r>
  <r>
    <x v="21"/>
    <x v="6"/>
    <x v="2"/>
    <x v="3"/>
    <x v="18"/>
    <x v="966"/>
    <x v="972"/>
    <x v="2"/>
    <x v="0"/>
    <x v="2"/>
    <x v="5"/>
    <x v="974"/>
    <x v="1"/>
    <x v="1"/>
    <x v="0"/>
    <x v="974"/>
    <x v="920"/>
    <x v="890"/>
    <x v="21"/>
    <x v="520"/>
    <x v="1"/>
    <x v="2"/>
  </r>
  <r>
    <x v="83"/>
    <x v="2"/>
    <x v="3"/>
    <x v="5"/>
    <x v="13"/>
    <x v="967"/>
    <x v="973"/>
    <x v="3"/>
    <x v="1"/>
    <x v="1"/>
    <x v="4"/>
    <x v="975"/>
    <x v="1"/>
    <x v="0"/>
    <x v="0"/>
    <x v="975"/>
    <x v="714"/>
    <x v="891"/>
    <x v="83"/>
    <x v="346"/>
    <x v="7"/>
    <x v="3"/>
  </r>
  <r>
    <x v="611"/>
    <x v="7"/>
    <x v="3"/>
    <x v="0"/>
    <x v="6"/>
    <x v="968"/>
    <x v="974"/>
    <x v="1"/>
    <x v="1"/>
    <x v="0"/>
    <x v="5"/>
    <x v="976"/>
    <x v="0"/>
    <x v="1"/>
    <x v="0"/>
    <x v="976"/>
    <x v="921"/>
    <x v="892"/>
    <x v="611"/>
    <x v="286"/>
    <x v="6"/>
    <x v="3"/>
  </r>
  <r>
    <x v="612"/>
    <x v="7"/>
    <x v="2"/>
    <x v="1"/>
    <x v="10"/>
    <x v="969"/>
    <x v="975"/>
    <x v="3"/>
    <x v="1"/>
    <x v="2"/>
    <x v="5"/>
    <x v="977"/>
    <x v="2"/>
    <x v="1"/>
    <x v="1"/>
    <x v="977"/>
    <x v="922"/>
    <x v="38"/>
    <x v="612"/>
    <x v="300"/>
    <x v="4"/>
    <x v="2"/>
  </r>
  <r>
    <x v="98"/>
    <x v="10"/>
    <x v="2"/>
    <x v="4"/>
    <x v="17"/>
    <x v="970"/>
    <x v="976"/>
    <x v="2"/>
    <x v="0"/>
    <x v="3"/>
    <x v="5"/>
    <x v="978"/>
    <x v="4"/>
    <x v="1"/>
    <x v="0"/>
    <x v="978"/>
    <x v="279"/>
    <x v="893"/>
    <x v="98"/>
    <x v="399"/>
    <x v="3"/>
    <x v="2"/>
  </r>
  <r>
    <x v="613"/>
    <x v="9"/>
    <x v="1"/>
    <x v="4"/>
    <x v="4"/>
    <x v="971"/>
    <x v="977"/>
    <x v="2"/>
    <x v="0"/>
    <x v="2"/>
    <x v="3"/>
    <x v="979"/>
    <x v="0"/>
    <x v="2"/>
    <x v="0"/>
    <x v="979"/>
    <x v="923"/>
    <x v="894"/>
    <x v="613"/>
    <x v="591"/>
    <x v="3"/>
    <x v="1"/>
  </r>
  <r>
    <x v="614"/>
    <x v="4"/>
    <x v="3"/>
    <x v="6"/>
    <x v="11"/>
    <x v="972"/>
    <x v="978"/>
    <x v="2"/>
    <x v="0"/>
    <x v="0"/>
    <x v="2"/>
    <x v="980"/>
    <x v="0"/>
    <x v="3"/>
    <x v="1"/>
    <x v="980"/>
    <x v="924"/>
    <x v="895"/>
    <x v="614"/>
    <x v="240"/>
    <x v="7"/>
    <x v="3"/>
  </r>
  <r>
    <x v="478"/>
    <x v="7"/>
    <x v="1"/>
    <x v="1"/>
    <x v="5"/>
    <x v="973"/>
    <x v="979"/>
    <x v="3"/>
    <x v="0"/>
    <x v="0"/>
    <x v="3"/>
    <x v="981"/>
    <x v="1"/>
    <x v="1"/>
    <x v="1"/>
    <x v="981"/>
    <x v="925"/>
    <x v="896"/>
    <x v="478"/>
    <x v="511"/>
    <x v="0"/>
    <x v="1"/>
  </r>
  <r>
    <x v="165"/>
    <x v="9"/>
    <x v="0"/>
    <x v="5"/>
    <x v="17"/>
    <x v="974"/>
    <x v="980"/>
    <x v="1"/>
    <x v="0"/>
    <x v="0"/>
    <x v="1"/>
    <x v="982"/>
    <x v="0"/>
    <x v="3"/>
    <x v="0"/>
    <x v="982"/>
    <x v="926"/>
    <x v="897"/>
    <x v="165"/>
    <x v="347"/>
    <x v="0"/>
    <x v="0"/>
  </r>
  <r>
    <x v="306"/>
    <x v="6"/>
    <x v="3"/>
    <x v="5"/>
    <x v="12"/>
    <x v="975"/>
    <x v="981"/>
    <x v="1"/>
    <x v="0"/>
    <x v="2"/>
    <x v="3"/>
    <x v="983"/>
    <x v="4"/>
    <x v="2"/>
    <x v="1"/>
    <x v="983"/>
    <x v="927"/>
    <x v="898"/>
    <x v="306"/>
    <x v="592"/>
    <x v="6"/>
    <x v="3"/>
  </r>
  <r>
    <x v="615"/>
    <x v="6"/>
    <x v="2"/>
    <x v="2"/>
    <x v="3"/>
    <x v="976"/>
    <x v="982"/>
    <x v="1"/>
    <x v="0"/>
    <x v="0"/>
    <x v="5"/>
    <x v="984"/>
    <x v="3"/>
    <x v="1"/>
    <x v="1"/>
    <x v="984"/>
    <x v="928"/>
    <x v="562"/>
    <x v="615"/>
    <x v="474"/>
    <x v="6"/>
    <x v="2"/>
  </r>
  <r>
    <x v="445"/>
    <x v="8"/>
    <x v="1"/>
    <x v="0"/>
    <x v="0"/>
    <x v="977"/>
    <x v="983"/>
    <x v="2"/>
    <x v="0"/>
    <x v="1"/>
    <x v="5"/>
    <x v="985"/>
    <x v="4"/>
    <x v="2"/>
    <x v="0"/>
    <x v="985"/>
    <x v="929"/>
    <x v="899"/>
    <x v="445"/>
    <x v="593"/>
    <x v="0"/>
    <x v="1"/>
  </r>
  <r>
    <x v="246"/>
    <x v="11"/>
    <x v="4"/>
    <x v="4"/>
    <x v="16"/>
    <x v="978"/>
    <x v="984"/>
    <x v="3"/>
    <x v="1"/>
    <x v="0"/>
    <x v="3"/>
    <x v="986"/>
    <x v="1"/>
    <x v="0"/>
    <x v="0"/>
    <x v="986"/>
    <x v="930"/>
    <x v="900"/>
    <x v="246"/>
    <x v="407"/>
    <x v="1"/>
    <x v="4"/>
  </r>
  <r>
    <x v="616"/>
    <x v="0"/>
    <x v="4"/>
    <x v="0"/>
    <x v="1"/>
    <x v="979"/>
    <x v="985"/>
    <x v="3"/>
    <x v="1"/>
    <x v="1"/>
    <x v="0"/>
    <x v="987"/>
    <x v="2"/>
    <x v="0"/>
    <x v="0"/>
    <x v="987"/>
    <x v="931"/>
    <x v="901"/>
    <x v="616"/>
    <x v="594"/>
    <x v="7"/>
    <x v="4"/>
  </r>
  <r>
    <x v="617"/>
    <x v="8"/>
    <x v="0"/>
    <x v="5"/>
    <x v="4"/>
    <x v="980"/>
    <x v="986"/>
    <x v="2"/>
    <x v="0"/>
    <x v="2"/>
    <x v="3"/>
    <x v="988"/>
    <x v="1"/>
    <x v="3"/>
    <x v="0"/>
    <x v="988"/>
    <x v="932"/>
    <x v="902"/>
    <x v="617"/>
    <x v="155"/>
    <x v="0"/>
    <x v="0"/>
  </r>
  <r>
    <x v="488"/>
    <x v="9"/>
    <x v="0"/>
    <x v="3"/>
    <x v="3"/>
    <x v="981"/>
    <x v="987"/>
    <x v="3"/>
    <x v="1"/>
    <x v="1"/>
    <x v="2"/>
    <x v="989"/>
    <x v="4"/>
    <x v="0"/>
    <x v="0"/>
    <x v="989"/>
    <x v="933"/>
    <x v="903"/>
    <x v="488"/>
    <x v="81"/>
    <x v="4"/>
    <x v="0"/>
  </r>
  <r>
    <x v="288"/>
    <x v="11"/>
    <x v="1"/>
    <x v="1"/>
    <x v="18"/>
    <x v="982"/>
    <x v="988"/>
    <x v="3"/>
    <x v="0"/>
    <x v="1"/>
    <x v="0"/>
    <x v="990"/>
    <x v="3"/>
    <x v="0"/>
    <x v="0"/>
    <x v="990"/>
    <x v="934"/>
    <x v="200"/>
    <x v="288"/>
    <x v="595"/>
    <x v="4"/>
    <x v="1"/>
  </r>
  <r>
    <x v="618"/>
    <x v="0"/>
    <x v="4"/>
    <x v="4"/>
    <x v="10"/>
    <x v="983"/>
    <x v="989"/>
    <x v="2"/>
    <x v="1"/>
    <x v="2"/>
    <x v="3"/>
    <x v="991"/>
    <x v="4"/>
    <x v="3"/>
    <x v="1"/>
    <x v="991"/>
    <x v="935"/>
    <x v="904"/>
    <x v="618"/>
    <x v="105"/>
    <x v="2"/>
    <x v="4"/>
  </r>
  <r>
    <x v="33"/>
    <x v="2"/>
    <x v="1"/>
    <x v="3"/>
    <x v="10"/>
    <x v="984"/>
    <x v="990"/>
    <x v="3"/>
    <x v="0"/>
    <x v="1"/>
    <x v="1"/>
    <x v="992"/>
    <x v="2"/>
    <x v="2"/>
    <x v="0"/>
    <x v="992"/>
    <x v="936"/>
    <x v="905"/>
    <x v="33"/>
    <x v="33"/>
    <x v="0"/>
    <x v="1"/>
  </r>
  <r>
    <x v="50"/>
    <x v="4"/>
    <x v="2"/>
    <x v="0"/>
    <x v="5"/>
    <x v="985"/>
    <x v="991"/>
    <x v="1"/>
    <x v="1"/>
    <x v="0"/>
    <x v="1"/>
    <x v="993"/>
    <x v="0"/>
    <x v="0"/>
    <x v="0"/>
    <x v="993"/>
    <x v="582"/>
    <x v="906"/>
    <x v="50"/>
    <x v="49"/>
    <x v="6"/>
    <x v="2"/>
  </r>
  <r>
    <x v="447"/>
    <x v="11"/>
    <x v="0"/>
    <x v="4"/>
    <x v="17"/>
    <x v="986"/>
    <x v="992"/>
    <x v="3"/>
    <x v="0"/>
    <x v="0"/>
    <x v="3"/>
    <x v="994"/>
    <x v="0"/>
    <x v="2"/>
    <x v="0"/>
    <x v="994"/>
    <x v="937"/>
    <x v="583"/>
    <x v="447"/>
    <x v="259"/>
    <x v="7"/>
    <x v="0"/>
  </r>
  <r>
    <x v="366"/>
    <x v="3"/>
    <x v="3"/>
    <x v="0"/>
    <x v="18"/>
    <x v="987"/>
    <x v="993"/>
    <x v="3"/>
    <x v="1"/>
    <x v="0"/>
    <x v="5"/>
    <x v="995"/>
    <x v="1"/>
    <x v="0"/>
    <x v="0"/>
    <x v="995"/>
    <x v="938"/>
    <x v="723"/>
    <x v="366"/>
    <x v="596"/>
    <x v="5"/>
    <x v="3"/>
  </r>
  <r>
    <x v="619"/>
    <x v="4"/>
    <x v="0"/>
    <x v="0"/>
    <x v="8"/>
    <x v="988"/>
    <x v="994"/>
    <x v="0"/>
    <x v="0"/>
    <x v="1"/>
    <x v="5"/>
    <x v="996"/>
    <x v="2"/>
    <x v="3"/>
    <x v="0"/>
    <x v="996"/>
    <x v="939"/>
    <x v="681"/>
    <x v="619"/>
    <x v="597"/>
    <x v="7"/>
    <x v="0"/>
  </r>
  <r>
    <x v="620"/>
    <x v="3"/>
    <x v="0"/>
    <x v="3"/>
    <x v="11"/>
    <x v="989"/>
    <x v="995"/>
    <x v="0"/>
    <x v="0"/>
    <x v="3"/>
    <x v="0"/>
    <x v="997"/>
    <x v="2"/>
    <x v="1"/>
    <x v="0"/>
    <x v="997"/>
    <x v="109"/>
    <x v="834"/>
    <x v="620"/>
    <x v="99"/>
    <x v="3"/>
    <x v="0"/>
  </r>
  <r>
    <x v="621"/>
    <x v="1"/>
    <x v="3"/>
    <x v="4"/>
    <x v="3"/>
    <x v="990"/>
    <x v="996"/>
    <x v="2"/>
    <x v="1"/>
    <x v="1"/>
    <x v="3"/>
    <x v="998"/>
    <x v="1"/>
    <x v="0"/>
    <x v="0"/>
    <x v="998"/>
    <x v="940"/>
    <x v="907"/>
    <x v="621"/>
    <x v="598"/>
    <x v="8"/>
    <x v="3"/>
  </r>
  <r>
    <x v="600"/>
    <x v="0"/>
    <x v="0"/>
    <x v="0"/>
    <x v="7"/>
    <x v="991"/>
    <x v="997"/>
    <x v="0"/>
    <x v="0"/>
    <x v="3"/>
    <x v="2"/>
    <x v="999"/>
    <x v="2"/>
    <x v="2"/>
    <x v="0"/>
    <x v="999"/>
    <x v="941"/>
    <x v="908"/>
    <x v="600"/>
    <x v="5"/>
    <x v="1"/>
    <x v="0"/>
  </r>
  <r>
    <x v="338"/>
    <x v="8"/>
    <x v="0"/>
    <x v="2"/>
    <x v="5"/>
    <x v="992"/>
    <x v="998"/>
    <x v="3"/>
    <x v="0"/>
    <x v="0"/>
    <x v="0"/>
    <x v="1000"/>
    <x v="3"/>
    <x v="2"/>
    <x v="0"/>
    <x v="1000"/>
    <x v="942"/>
    <x v="674"/>
    <x v="338"/>
    <x v="78"/>
    <x v="6"/>
    <x v="0"/>
  </r>
  <r>
    <x v="352"/>
    <x v="5"/>
    <x v="2"/>
    <x v="2"/>
    <x v="13"/>
    <x v="993"/>
    <x v="999"/>
    <x v="3"/>
    <x v="0"/>
    <x v="0"/>
    <x v="1"/>
    <x v="1001"/>
    <x v="2"/>
    <x v="2"/>
    <x v="0"/>
    <x v="1001"/>
    <x v="943"/>
    <x v="909"/>
    <x v="352"/>
    <x v="351"/>
    <x v="0"/>
    <x v="2"/>
  </r>
  <r>
    <x v="622"/>
    <x v="1"/>
    <x v="4"/>
    <x v="1"/>
    <x v="13"/>
    <x v="994"/>
    <x v="1000"/>
    <x v="3"/>
    <x v="0"/>
    <x v="2"/>
    <x v="4"/>
    <x v="1002"/>
    <x v="0"/>
    <x v="0"/>
    <x v="0"/>
    <x v="1002"/>
    <x v="944"/>
    <x v="910"/>
    <x v="622"/>
    <x v="452"/>
    <x v="2"/>
    <x v="4"/>
  </r>
  <r>
    <x v="623"/>
    <x v="11"/>
    <x v="0"/>
    <x v="2"/>
    <x v="1"/>
    <x v="995"/>
    <x v="1001"/>
    <x v="3"/>
    <x v="1"/>
    <x v="2"/>
    <x v="2"/>
    <x v="1003"/>
    <x v="1"/>
    <x v="3"/>
    <x v="0"/>
    <x v="1003"/>
    <x v="945"/>
    <x v="911"/>
    <x v="623"/>
    <x v="575"/>
    <x v="1"/>
    <x v="0"/>
  </r>
  <r>
    <x v="624"/>
    <x v="0"/>
    <x v="4"/>
    <x v="6"/>
    <x v="4"/>
    <x v="996"/>
    <x v="1002"/>
    <x v="2"/>
    <x v="1"/>
    <x v="2"/>
    <x v="5"/>
    <x v="1004"/>
    <x v="0"/>
    <x v="0"/>
    <x v="0"/>
    <x v="1004"/>
    <x v="946"/>
    <x v="645"/>
    <x v="624"/>
    <x v="581"/>
    <x v="6"/>
    <x v="4"/>
  </r>
  <r>
    <x v="15"/>
    <x v="2"/>
    <x v="4"/>
    <x v="4"/>
    <x v="11"/>
    <x v="997"/>
    <x v="1003"/>
    <x v="3"/>
    <x v="1"/>
    <x v="2"/>
    <x v="0"/>
    <x v="1005"/>
    <x v="0"/>
    <x v="0"/>
    <x v="1"/>
    <x v="1005"/>
    <x v="947"/>
    <x v="912"/>
    <x v="15"/>
    <x v="567"/>
    <x v="4"/>
    <x v="4"/>
  </r>
  <r>
    <x v="529"/>
    <x v="1"/>
    <x v="3"/>
    <x v="5"/>
    <x v="3"/>
    <x v="998"/>
    <x v="1004"/>
    <x v="0"/>
    <x v="0"/>
    <x v="0"/>
    <x v="0"/>
    <x v="1006"/>
    <x v="1"/>
    <x v="1"/>
    <x v="0"/>
    <x v="1006"/>
    <x v="948"/>
    <x v="913"/>
    <x v="529"/>
    <x v="513"/>
    <x v="1"/>
    <x v="3"/>
  </r>
  <r>
    <x v="625"/>
    <x v="7"/>
    <x v="0"/>
    <x v="0"/>
    <x v="3"/>
    <x v="999"/>
    <x v="1005"/>
    <x v="3"/>
    <x v="1"/>
    <x v="3"/>
    <x v="1"/>
    <x v="1007"/>
    <x v="3"/>
    <x v="0"/>
    <x v="0"/>
    <x v="1007"/>
    <x v="949"/>
    <x v="886"/>
    <x v="625"/>
    <x v="488"/>
    <x v="2"/>
    <x v="0"/>
  </r>
  <r>
    <x v="496"/>
    <x v="10"/>
    <x v="0"/>
    <x v="6"/>
    <x v="8"/>
    <x v="1000"/>
    <x v="1006"/>
    <x v="2"/>
    <x v="0"/>
    <x v="1"/>
    <x v="1"/>
    <x v="1008"/>
    <x v="3"/>
    <x v="2"/>
    <x v="0"/>
    <x v="1008"/>
    <x v="453"/>
    <x v="914"/>
    <x v="496"/>
    <x v="599"/>
    <x v="8"/>
    <x v="0"/>
  </r>
  <r>
    <x v="34"/>
    <x v="11"/>
    <x v="2"/>
    <x v="2"/>
    <x v="18"/>
    <x v="840"/>
    <x v="1007"/>
    <x v="0"/>
    <x v="1"/>
    <x v="3"/>
    <x v="2"/>
    <x v="1009"/>
    <x v="4"/>
    <x v="0"/>
    <x v="1"/>
    <x v="1009"/>
    <x v="950"/>
    <x v="915"/>
    <x v="34"/>
    <x v="552"/>
    <x v="6"/>
    <x v="2"/>
  </r>
  <r>
    <x v="460"/>
    <x v="2"/>
    <x v="0"/>
    <x v="0"/>
    <x v="19"/>
    <x v="1001"/>
    <x v="1008"/>
    <x v="2"/>
    <x v="0"/>
    <x v="0"/>
    <x v="1"/>
    <x v="1010"/>
    <x v="4"/>
    <x v="0"/>
    <x v="1"/>
    <x v="1010"/>
    <x v="951"/>
    <x v="899"/>
    <x v="460"/>
    <x v="600"/>
    <x v="8"/>
    <x v="0"/>
  </r>
  <r>
    <x v="391"/>
    <x v="3"/>
    <x v="0"/>
    <x v="5"/>
    <x v="7"/>
    <x v="1002"/>
    <x v="1009"/>
    <x v="1"/>
    <x v="0"/>
    <x v="1"/>
    <x v="0"/>
    <x v="1011"/>
    <x v="1"/>
    <x v="0"/>
    <x v="0"/>
    <x v="1011"/>
    <x v="952"/>
    <x v="691"/>
    <x v="391"/>
    <x v="601"/>
    <x v="5"/>
    <x v="0"/>
  </r>
  <r>
    <x v="324"/>
    <x v="3"/>
    <x v="4"/>
    <x v="4"/>
    <x v="17"/>
    <x v="1003"/>
    <x v="1010"/>
    <x v="3"/>
    <x v="0"/>
    <x v="1"/>
    <x v="0"/>
    <x v="1012"/>
    <x v="3"/>
    <x v="2"/>
    <x v="0"/>
    <x v="1012"/>
    <x v="953"/>
    <x v="916"/>
    <x v="324"/>
    <x v="602"/>
    <x v="0"/>
    <x v="4"/>
  </r>
  <r>
    <x v="385"/>
    <x v="11"/>
    <x v="1"/>
    <x v="0"/>
    <x v="13"/>
    <x v="1004"/>
    <x v="1011"/>
    <x v="2"/>
    <x v="1"/>
    <x v="3"/>
    <x v="1"/>
    <x v="1013"/>
    <x v="3"/>
    <x v="0"/>
    <x v="1"/>
    <x v="1013"/>
    <x v="954"/>
    <x v="917"/>
    <x v="385"/>
    <x v="440"/>
    <x v="5"/>
    <x v="1"/>
  </r>
  <r>
    <x v="626"/>
    <x v="0"/>
    <x v="0"/>
    <x v="0"/>
    <x v="11"/>
    <x v="1005"/>
    <x v="1012"/>
    <x v="2"/>
    <x v="1"/>
    <x v="2"/>
    <x v="2"/>
    <x v="1014"/>
    <x v="2"/>
    <x v="1"/>
    <x v="0"/>
    <x v="1014"/>
    <x v="955"/>
    <x v="918"/>
    <x v="626"/>
    <x v="603"/>
    <x v="5"/>
    <x v="0"/>
  </r>
  <r>
    <x v="58"/>
    <x v="6"/>
    <x v="2"/>
    <x v="6"/>
    <x v="0"/>
    <x v="1006"/>
    <x v="1013"/>
    <x v="2"/>
    <x v="0"/>
    <x v="3"/>
    <x v="1"/>
    <x v="1015"/>
    <x v="4"/>
    <x v="0"/>
    <x v="1"/>
    <x v="1015"/>
    <x v="956"/>
    <x v="919"/>
    <x v="58"/>
    <x v="91"/>
    <x v="1"/>
    <x v="2"/>
  </r>
  <r>
    <x v="490"/>
    <x v="0"/>
    <x v="2"/>
    <x v="0"/>
    <x v="19"/>
    <x v="1007"/>
    <x v="1014"/>
    <x v="0"/>
    <x v="1"/>
    <x v="1"/>
    <x v="4"/>
    <x v="1016"/>
    <x v="4"/>
    <x v="1"/>
    <x v="0"/>
    <x v="1016"/>
    <x v="957"/>
    <x v="920"/>
    <x v="490"/>
    <x v="604"/>
    <x v="7"/>
    <x v="2"/>
  </r>
  <r>
    <x v="283"/>
    <x v="9"/>
    <x v="1"/>
    <x v="0"/>
    <x v="3"/>
    <x v="1008"/>
    <x v="1015"/>
    <x v="3"/>
    <x v="1"/>
    <x v="1"/>
    <x v="2"/>
    <x v="1017"/>
    <x v="2"/>
    <x v="0"/>
    <x v="0"/>
    <x v="1017"/>
    <x v="958"/>
    <x v="921"/>
    <x v="283"/>
    <x v="605"/>
    <x v="2"/>
    <x v="1"/>
  </r>
  <r>
    <x v="579"/>
    <x v="4"/>
    <x v="4"/>
    <x v="3"/>
    <x v="0"/>
    <x v="1009"/>
    <x v="1016"/>
    <x v="2"/>
    <x v="1"/>
    <x v="0"/>
    <x v="0"/>
    <x v="1018"/>
    <x v="3"/>
    <x v="3"/>
    <x v="0"/>
    <x v="1018"/>
    <x v="959"/>
    <x v="922"/>
    <x v="579"/>
    <x v="606"/>
    <x v="5"/>
    <x v="4"/>
  </r>
  <r>
    <x v="235"/>
    <x v="0"/>
    <x v="3"/>
    <x v="1"/>
    <x v="4"/>
    <x v="1010"/>
    <x v="1017"/>
    <x v="2"/>
    <x v="1"/>
    <x v="0"/>
    <x v="5"/>
    <x v="1019"/>
    <x v="0"/>
    <x v="1"/>
    <x v="0"/>
    <x v="1019"/>
    <x v="269"/>
    <x v="923"/>
    <x v="235"/>
    <x v="607"/>
    <x v="0"/>
    <x v="3"/>
  </r>
  <r>
    <x v="627"/>
    <x v="7"/>
    <x v="2"/>
    <x v="6"/>
    <x v="10"/>
    <x v="1011"/>
    <x v="1018"/>
    <x v="1"/>
    <x v="1"/>
    <x v="0"/>
    <x v="0"/>
    <x v="1020"/>
    <x v="3"/>
    <x v="2"/>
    <x v="0"/>
    <x v="1020"/>
    <x v="862"/>
    <x v="924"/>
    <x v="627"/>
    <x v="107"/>
    <x v="3"/>
    <x v="2"/>
  </r>
  <r>
    <x v="628"/>
    <x v="0"/>
    <x v="0"/>
    <x v="5"/>
    <x v="1"/>
    <x v="1012"/>
    <x v="1019"/>
    <x v="1"/>
    <x v="1"/>
    <x v="3"/>
    <x v="3"/>
    <x v="1021"/>
    <x v="2"/>
    <x v="3"/>
    <x v="0"/>
    <x v="1021"/>
    <x v="960"/>
    <x v="925"/>
    <x v="628"/>
    <x v="608"/>
    <x v="6"/>
    <x v="0"/>
  </r>
  <r>
    <x v="499"/>
    <x v="2"/>
    <x v="0"/>
    <x v="1"/>
    <x v="1"/>
    <x v="1013"/>
    <x v="1020"/>
    <x v="3"/>
    <x v="1"/>
    <x v="1"/>
    <x v="3"/>
    <x v="1022"/>
    <x v="0"/>
    <x v="3"/>
    <x v="1"/>
    <x v="1022"/>
    <x v="961"/>
    <x v="926"/>
    <x v="499"/>
    <x v="415"/>
    <x v="2"/>
    <x v="0"/>
  </r>
  <r>
    <x v="629"/>
    <x v="11"/>
    <x v="4"/>
    <x v="3"/>
    <x v="12"/>
    <x v="1014"/>
    <x v="1021"/>
    <x v="1"/>
    <x v="0"/>
    <x v="2"/>
    <x v="0"/>
    <x v="1023"/>
    <x v="3"/>
    <x v="0"/>
    <x v="0"/>
    <x v="1023"/>
    <x v="757"/>
    <x v="806"/>
    <x v="629"/>
    <x v="237"/>
    <x v="6"/>
    <x v="4"/>
  </r>
  <r>
    <x v="497"/>
    <x v="2"/>
    <x v="0"/>
    <x v="2"/>
    <x v="4"/>
    <x v="1015"/>
    <x v="1022"/>
    <x v="2"/>
    <x v="0"/>
    <x v="2"/>
    <x v="1"/>
    <x v="1024"/>
    <x v="0"/>
    <x v="2"/>
    <x v="1"/>
    <x v="1024"/>
    <x v="962"/>
    <x v="927"/>
    <x v="497"/>
    <x v="54"/>
    <x v="1"/>
    <x v="0"/>
  </r>
  <r>
    <x v="282"/>
    <x v="4"/>
    <x v="4"/>
    <x v="6"/>
    <x v="4"/>
    <x v="1016"/>
    <x v="1023"/>
    <x v="0"/>
    <x v="0"/>
    <x v="3"/>
    <x v="3"/>
    <x v="1025"/>
    <x v="4"/>
    <x v="1"/>
    <x v="0"/>
    <x v="1025"/>
    <x v="963"/>
    <x v="928"/>
    <x v="282"/>
    <x v="110"/>
    <x v="4"/>
    <x v="4"/>
  </r>
  <r>
    <x v="589"/>
    <x v="2"/>
    <x v="2"/>
    <x v="2"/>
    <x v="15"/>
    <x v="1017"/>
    <x v="1024"/>
    <x v="3"/>
    <x v="0"/>
    <x v="3"/>
    <x v="4"/>
    <x v="1026"/>
    <x v="3"/>
    <x v="0"/>
    <x v="0"/>
    <x v="1026"/>
    <x v="964"/>
    <x v="929"/>
    <x v="589"/>
    <x v="609"/>
    <x v="1"/>
    <x v="2"/>
  </r>
  <r>
    <x v="393"/>
    <x v="7"/>
    <x v="0"/>
    <x v="6"/>
    <x v="15"/>
    <x v="1018"/>
    <x v="1025"/>
    <x v="1"/>
    <x v="1"/>
    <x v="0"/>
    <x v="0"/>
    <x v="1027"/>
    <x v="4"/>
    <x v="3"/>
    <x v="0"/>
    <x v="1027"/>
    <x v="965"/>
    <x v="930"/>
    <x v="393"/>
    <x v="202"/>
    <x v="0"/>
    <x v="0"/>
  </r>
  <r>
    <x v="537"/>
    <x v="10"/>
    <x v="1"/>
    <x v="3"/>
    <x v="5"/>
    <x v="1019"/>
    <x v="1026"/>
    <x v="3"/>
    <x v="0"/>
    <x v="2"/>
    <x v="0"/>
    <x v="1028"/>
    <x v="4"/>
    <x v="0"/>
    <x v="0"/>
    <x v="1028"/>
    <x v="966"/>
    <x v="931"/>
    <x v="537"/>
    <x v="610"/>
    <x v="1"/>
    <x v="1"/>
  </r>
  <r>
    <x v="462"/>
    <x v="8"/>
    <x v="1"/>
    <x v="3"/>
    <x v="11"/>
    <x v="1020"/>
    <x v="1027"/>
    <x v="2"/>
    <x v="0"/>
    <x v="0"/>
    <x v="5"/>
    <x v="1029"/>
    <x v="4"/>
    <x v="3"/>
    <x v="0"/>
    <x v="1029"/>
    <x v="967"/>
    <x v="932"/>
    <x v="462"/>
    <x v="611"/>
    <x v="4"/>
    <x v="1"/>
  </r>
  <r>
    <x v="351"/>
    <x v="3"/>
    <x v="0"/>
    <x v="3"/>
    <x v="1"/>
    <x v="1021"/>
    <x v="1028"/>
    <x v="0"/>
    <x v="1"/>
    <x v="1"/>
    <x v="1"/>
    <x v="1030"/>
    <x v="1"/>
    <x v="2"/>
    <x v="0"/>
    <x v="1030"/>
    <x v="968"/>
    <x v="933"/>
    <x v="351"/>
    <x v="203"/>
    <x v="8"/>
    <x v="0"/>
  </r>
  <r>
    <x v="521"/>
    <x v="2"/>
    <x v="0"/>
    <x v="4"/>
    <x v="16"/>
    <x v="1022"/>
    <x v="1029"/>
    <x v="2"/>
    <x v="0"/>
    <x v="2"/>
    <x v="1"/>
    <x v="1031"/>
    <x v="0"/>
    <x v="3"/>
    <x v="0"/>
    <x v="1031"/>
    <x v="969"/>
    <x v="155"/>
    <x v="521"/>
    <x v="90"/>
    <x v="6"/>
    <x v="0"/>
  </r>
  <r>
    <x v="73"/>
    <x v="4"/>
    <x v="0"/>
    <x v="4"/>
    <x v="8"/>
    <x v="1023"/>
    <x v="1030"/>
    <x v="3"/>
    <x v="1"/>
    <x v="3"/>
    <x v="4"/>
    <x v="1032"/>
    <x v="1"/>
    <x v="0"/>
    <x v="0"/>
    <x v="1032"/>
    <x v="970"/>
    <x v="934"/>
    <x v="73"/>
    <x v="612"/>
    <x v="0"/>
    <x v="0"/>
  </r>
  <r>
    <x v="335"/>
    <x v="5"/>
    <x v="2"/>
    <x v="5"/>
    <x v="18"/>
    <x v="1024"/>
    <x v="1031"/>
    <x v="0"/>
    <x v="1"/>
    <x v="3"/>
    <x v="3"/>
    <x v="1033"/>
    <x v="4"/>
    <x v="2"/>
    <x v="1"/>
    <x v="1033"/>
    <x v="413"/>
    <x v="935"/>
    <x v="335"/>
    <x v="613"/>
    <x v="4"/>
    <x v="2"/>
  </r>
  <r>
    <x v="502"/>
    <x v="7"/>
    <x v="4"/>
    <x v="6"/>
    <x v="4"/>
    <x v="1025"/>
    <x v="1032"/>
    <x v="3"/>
    <x v="1"/>
    <x v="1"/>
    <x v="3"/>
    <x v="1034"/>
    <x v="3"/>
    <x v="2"/>
    <x v="0"/>
    <x v="1034"/>
    <x v="971"/>
    <x v="936"/>
    <x v="502"/>
    <x v="614"/>
    <x v="7"/>
    <x v="4"/>
  </r>
  <r>
    <x v="116"/>
    <x v="3"/>
    <x v="1"/>
    <x v="5"/>
    <x v="3"/>
    <x v="1026"/>
    <x v="1033"/>
    <x v="1"/>
    <x v="1"/>
    <x v="3"/>
    <x v="2"/>
    <x v="1035"/>
    <x v="2"/>
    <x v="2"/>
    <x v="0"/>
    <x v="1035"/>
    <x v="972"/>
    <x v="937"/>
    <x v="116"/>
    <x v="615"/>
    <x v="7"/>
    <x v="1"/>
  </r>
  <r>
    <x v="630"/>
    <x v="0"/>
    <x v="2"/>
    <x v="6"/>
    <x v="10"/>
    <x v="1027"/>
    <x v="1034"/>
    <x v="3"/>
    <x v="0"/>
    <x v="3"/>
    <x v="2"/>
    <x v="1036"/>
    <x v="4"/>
    <x v="2"/>
    <x v="0"/>
    <x v="1036"/>
    <x v="973"/>
    <x v="938"/>
    <x v="630"/>
    <x v="577"/>
    <x v="2"/>
    <x v="2"/>
  </r>
  <r>
    <x v="389"/>
    <x v="3"/>
    <x v="1"/>
    <x v="6"/>
    <x v="17"/>
    <x v="1028"/>
    <x v="1035"/>
    <x v="3"/>
    <x v="0"/>
    <x v="3"/>
    <x v="4"/>
    <x v="1037"/>
    <x v="0"/>
    <x v="3"/>
    <x v="0"/>
    <x v="1037"/>
    <x v="974"/>
    <x v="393"/>
    <x v="389"/>
    <x v="508"/>
    <x v="6"/>
    <x v="1"/>
  </r>
  <r>
    <x v="132"/>
    <x v="6"/>
    <x v="3"/>
    <x v="5"/>
    <x v="11"/>
    <x v="1029"/>
    <x v="1036"/>
    <x v="2"/>
    <x v="0"/>
    <x v="3"/>
    <x v="3"/>
    <x v="1038"/>
    <x v="0"/>
    <x v="0"/>
    <x v="0"/>
    <x v="1038"/>
    <x v="975"/>
    <x v="939"/>
    <x v="132"/>
    <x v="48"/>
    <x v="4"/>
    <x v="3"/>
  </r>
  <r>
    <x v="256"/>
    <x v="6"/>
    <x v="4"/>
    <x v="2"/>
    <x v="8"/>
    <x v="1030"/>
    <x v="1037"/>
    <x v="3"/>
    <x v="0"/>
    <x v="1"/>
    <x v="1"/>
    <x v="1039"/>
    <x v="3"/>
    <x v="2"/>
    <x v="0"/>
    <x v="1039"/>
    <x v="976"/>
    <x v="940"/>
    <x v="256"/>
    <x v="616"/>
    <x v="3"/>
    <x v="4"/>
  </r>
  <r>
    <x v="17"/>
    <x v="2"/>
    <x v="0"/>
    <x v="6"/>
    <x v="18"/>
    <x v="1031"/>
    <x v="1038"/>
    <x v="0"/>
    <x v="0"/>
    <x v="1"/>
    <x v="0"/>
    <x v="1040"/>
    <x v="2"/>
    <x v="1"/>
    <x v="0"/>
    <x v="1040"/>
    <x v="977"/>
    <x v="941"/>
    <x v="17"/>
    <x v="17"/>
    <x v="0"/>
    <x v="0"/>
  </r>
  <r>
    <x v="340"/>
    <x v="6"/>
    <x v="4"/>
    <x v="2"/>
    <x v="11"/>
    <x v="1032"/>
    <x v="1039"/>
    <x v="0"/>
    <x v="0"/>
    <x v="0"/>
    <x v="0"/>
    <x v="1041"/>
    <x v="0"/>
    <x v="1"/>
    <x v="1"/>
    <x v="1041"/>
    <x v="978"/>
    <x v="168"/>
    <x v="340"/>
    <x v="185"/>
    <x v="2"/>
    <x v="4"/>
  </r>
  <r>
    <x v="182"/>
    <x v="3"/>
    <x v="3"/>
    <x v="6"/>
    <x v="1"/>
    <x v="1033"/>
    <x v="1040"/>
    <x v="1"/>
    <x v="1"/>
    <x v="0"/>
    <x v="0"/>
    <x v="1042"/>
    <x v="4"/>
    <x v="3"/>
    <x v="1"/>
    <x v="1042"/>
    <x v="979"/>
    <x v="942"/>
    <x v="182"/>
    <x v="295"/>
    <x v="7"/>
    <x v="3"/>
  </r>
  <r>
    <x v="372"/>
    <x v="5"/>
    <x v="1"/>
    <x v="0"/>
    <x v="5"/>
    <x v="1034"/>
    <x v="1041"/>
    <x v="3"/>
    <x v="0"/>
    <x v="3"/>
    <x v="5"/>
    <x v="1043"/>
    <x v="3"/>
    <x v="0"/>
    <x v="0"/>
    <x v="1043"/>
    <x v="980"/>
    <x v="943"/>
    <x v="372"/>
    <x v="382"/>
    <x v="6"/>
    <x v="1"/>
  </r>
  <r>
    <x v="445"/>
    <x v="8"/>
    <x v="4"/>
    <x v="1"/>
    <x v="14"/>
    <x v="1035"/>
    <x v="1042"/>
    <x v="3"/>
    <x v="0"/>
    <x v="1"/>
    <x v="1"/>
    <x v="1044"/>
    <x v="3"/>
    <x v="2"/>
    <x v="0"/>
    <x v="1044"/>
    <x v="981"/>
    <x v="944"/>
    <x v="445"/>
    <x v="617"/>
    <x v="6"/>
    <x v="4"/>
  </r>
  <r>
    <x v="631"/>
    <x v="2"/>
    <x v="1"/>
    <x v="4"/>
    <x v="10"/>
    <x v="1036"/>
    <x v="1043"/>
    <x v="3"/>
    <x v="0"/>
    <x v="3"/>
    <x v="5"/>
    <x v="1045"/>
    <x v="3"/>
    <x v="0"/>
    <x v="0"/>
    <x v="1045"/>
    <x v="982"/>
    <x v="945"/>
    <x v="631"/>
    <x v="618"/>
    <x v="1"/>
    <x v="1"/>
  </r>
  <r>
    <x v="285"/>
    <x v="10"/>
    <x v="2"/>
    <x v="3"/>
    <x v="4"/>
    <x v="1037"/>
    <x v="1044"/>
    <x v="3"/>
    <x v="0"/>
    <x v="0"/>
    <x v="2"/>
    <x v="1046"/>
    <x v="0"/>
    <x v="0"/>
    <x v="0"/>
    <x v="1046"/>
    <x v="983"/>
    <x v="946"/>
    <x v="285"/>
    <x v="167"/>
    <x v="8"/>
    <x v="2"/>
  </r>
  <r>
    <x v="601"/>
    <x v="6"/>
    <x v="4"/>
    <x v="2"/>
    <x v="19"/>
    <x v="1038"/>
    <x v="1045"/>
    <x v="2"/>
    <x v="0"/>
    <x v="1"/>
    <x v="2"/>
    <x v="1047"/>
    <x v="1"/>
    <x v="0"/>
    <x v="0"/>
    <x v="1047"/>
    <x v="122"/>
    <x v="947"/>
    <x v="601"/>
    <x v="83"/>
    <x v="3"/>
    <x v="4"/>
  </r>
  <r>
    <x v="202"/>
    <x v="0"/>
    <x v="4"/>
    <x v="4"/>
    <x v="1"/>
    <x v="1039"/>
    <x v="1046"/>
    <x v="2"/>
    <x v="0"/>
    <x v="3"/>
    <x v="4"/>
    <x v="1048"/>
    <x v="4"/>
    <x v="0"/>
    <x v="0"/>
    <x v="1048"/>
    <x v="482"/>
    <x v="948"/>
    <x v="202"/>
    <x v="619"/>
    <x v="2"/>
    <x v="4"/>
  </r>
  <r>
    <x v="632"/>
    <x v="1"/>
    <x v="2"/>
    <x v="2"/>
    <x v="1"/>
    <x v="1040"/>
    <x v="1047"/>
    <x v="3"/>
    <x v="1"/>
    <x v="0"/>
    <x v="5"/>
    <x v="1049"/>
    <x v="3"/>
    <x v="0"/>
    <x v="1"/>
    <x v="1049"/>
    <x v="984"/>
    <x v="949"/>
    <x v="632"/>
    <x v="620"/>
    <x v="4"/>
    <x v="2"/>
  </r>
  <r>
    <x v="418"/>
    <x v="3"/>
    <x v="1"/>
    <x v="6"/>
    <x v="11"/>
    <x v="1041"/>
    <x v="1048"/>
    <x v="1"/>
    <x v="0"/>
    <x v="0"/>
    <x v="5"/>
    <x v="1050"/>
    <x v="1"/>
    <x v="2"/>
    <x v="0"/>
    <x v="1050"/>
    <x v="985"/>
    <x v="950"/>
    <x v="418"/>
    <x v="596"/>
    <x v="2"/>
    <x v="1"/>
  </r>
  <r>
    <x v="191"/>
    <x v="4"/>
    <x v="4"/>
    <x v="2"/>
    <x v="4"/>
    <x v="1042"/>
    <x v="1049"/>
    <x v="2"/>
    <x v="1"/>
    <x v="1"/>
    <x v="4"/>
    <x v="1051"/>
    <x v="3"/>
    <x v="1"/>
    <x v="1"/>
    <x v="1051"/>
    <x v="986"/>
    <x v="628"/>
    <x v="191"/>
    <x v="621"/>
    <x v="0"/>
    <x v="4"/>
  </r>
  <r>
    <x v="378"/>
    <x v="3"/>
    <x v="3"/>
    <x v="5"/>
    <x v="0"/>
    <x v="1043"/>
    <x v="1050"/>
    <x v="2"/>
    <x v="1"/>
    <x v="3"/>
    <x v="0"/>
    <x v="1052"/>
    <x v="3"/>
    <x v="3"/>
    <x v="0"/>
    <x v="1052"/>
    <x v="433"/>
    <x v="799"/>
    <x v="378"/>
    <x v="278"/>
    <x v="1"/>
    <x v="3"/>
  </r>
  <r>
    <x v="320"/>
    <x v="7"/>
    <x v="2"/>
    <x v="6"/>
    <x v="5"/>
    <x v="1044"/>
    <x v="1051"/>
    <x v="2"/>
    <x v="1"/>
    <x v="1"/>
    <x v="5"/>
    <x v="1053"/>
    <x v="1"/>
    <x v="2"/>
    <x v="0"/>
    <x v="1053"/>
    <x v="987"/>
    <x v="951"/>
    <x v="320"/>
    <x v="622"/>
    <x v="1"/>
    <x v="2"/>
  </r>
  <r>
    <x v="405"/>
    <x v="4"/>
    <x v="2"/>
    <x v="5"/>
    <x v="18"/>
    <x v="1045"/>
    <x v="1052"/>
    <x v="2"/>
    <x v="1"/>
    <x v="1"/>
    <x v="0"/>
    <x v="1054"/>
    <x v="2"/>
    <x v="1"/>
    <x v="1"/>
    <x v="1054"/>
    <x v="988"/>
    <x v="37"/>
    <x v="405"/>
    <x v="623"/>
    <x v="5"/>
    <x v="2"/>
  </r>
  <r>
    <x v="421"/>
    <x v="8"/>
    <x v="3"/>
    <x v="6"/>
    <x v="17"/>
    <x v="1046"/>
    <x v="1053"/>
    <x v="3"/>
    <x v="0"/>
    <x v="3"/>
    <x v="3"/>
    <x v="1055"/>
    <x v="3"/>
    <x v="3"/>
    <x v="0"/>
    <x v="1055"/>
    <x v="989"/>
    <x v="553"/>
    <x v="421"/>
    <x v="155"/>
    <x v="6"/>
    <x v="3"/>
  </r>
  <r>
    <x v="602"/>
    <x v="4"/>
    <x v="4"/>
    <x v="6"/>
    <x v="16"/>
    <x v="1047"/>
    <x v="1054"/>
    <x v="1"/>
    <x v="1"/>
    <x v="3"/>
    <x v="3"/>
    <x v="1056"/>
    <x v="3"/>
    <x v="1"/>
    <x v="0"/>
    <x v="1056"/>
    <x v="990"/>
    <x v="952"/>
    <x v="602"/>
    <x v="313"/>
    <x v="7"/>
    <x v="4"/>
  </r>
  <r>
    <x v="633"/>
    <x v="5"/>
    <x v="4"/>
    <x v="2"/>
    <x v="0"/>
    <x v="1048"/>
    <x v="1055"/>
    <x v="3"/>
    <x v="0"/>
    <x v="2"/>
    <x v="2"/>
    <x v="1057"/>
    <x v="3"/>
    <x v="2"/>
    <x v="1"/>
    <x v="1057"/>
    <x v="991"/>
    <x v="953"/>
    <x v="633"/>
    <x v="251"/>
    <x v="7"/>
    <x v="4"/>
  </r>
  <r>
    <x v="508"/>
    <x v="11"/>
    <x v="1"/>
    <x v="0"/>
    <x v="4"/>
    <x v="1049"/>
    <x v="1056"/>
    <x v="3"/>
    <x v="0"/>
    <x v="2"/>
    <x v="4"/>
    <x v="1058"/>
    <x v="1"/>
    <x v="3"/>
    <x v="0"/>
    <x v="1058"/>
    <x v="992"/>
    <x v="954"/>
    <x v="508"/>
    <x v="624"/>
    <x v="4"/>
    <x v="1"/>
  </r>
  <r>
    <x v="399"/>
    <x v="6"/>
    <x v="2"/>
    <x v="1"/>
    <x v="11"/>
    <x v="1050"/>
    <x v="1057"/>
    <x v="3"/>
    <x v="1"/>
    <x v="0"/>
    <x v="4"/>
    <x v="1059"/>
    <x v="2"/>
    <x v="0"/>
    <x v="1"/>
    <x v="1059"/>
    <x v="993"/>
    <x v="178"/>
    <x v="399"/>
    <x v="250"/>
    <x v="3"/>
    <x v="2"/>
  </r>
  <r>
    <x v="238"/>
    <x v="8"/>
    <x v="2"/>
    <x v="0"/>
    <x v="2"/>
    <x v="1051"/>
    <x v="1058"/>
    <x v="1"/>
    <x v="0"/>
    <x v="1"/>
    <x v="5"/>
    <x v="1060"/>
    <x v="2"/>
    <x v="1"/>
    <x v="0"/>
    <x v="1060"/>
    <x v="538"/>
    <x v="955"/>
    <x v="238"/>
    <x v="625"/>
    <x v="6"/>
    <x v="2"/>
  </r>
  <r>
    <x v="634"/>
    <x v="8"/>
    <x v="0"/>
    <x v="4"/>
    <x v="3"/>
    <x v="1052"/>
    <x v="1059"/>
    <x v="1"/>
    <x v="1"/>
    <x v="3"/>
    <x v="4"/>
    <x v="1061"/>
    <x v="3"/>
    <x v="3"/>
    <x v="0"/>
    <x v="1061"/>
    <x v="994"/>
    <x v="956"/>
    <x v="634"/>
    <x v="626"/>
    <x v="1"/>
    <x v="0"/>
  </r>
  <r>
    <x v="635"/>
    <x v="10"/>
    <x v="0"/>
    <x v="6"/>
    <x v="2"/>
    <x v="1053"/>
    <x v="1060"/>
    <x v="2"/>
    <x v="0"/>
    <x v="3"/>
    <x v="1"/>
    <x v="1062"/>
    <x v="1"/>
    <x v="2"/>
    <x v="0"/>
    <x v="1062"/>
    <x v="995"/>
    <x v="119"/>
    <x v="635"/>
    <x v="627"/>
    <x v="3"/>
    <x v="0"/>
  </r>
  <r>
    <x v="617"/>
    <x v="8"/>
    <x v="3"/>
    <x v="1"/>
    <x v="0"/>
    <x v="1054"/>
    <x v="1061"/>
    <x v="1"/>
    <x v="1"/>
    <x v="1"/>
    <x v="1"/>
    <x v="1063"/>
    <x v="0"/>
    <x v="3"/>
    <x v="0"/>
    <x v="1063"/>
    <x v="996"/>
    <x v="957"/>
    <x v="617"/>
    <x v="230"/>
    <x v="2"/>
    <x v="3"/>
  </r>
  <r>
    <x v="636"/>
    <x v="4"/>
    <x v="2"/>
    <x v="6"/>
    <x v="6"/>
    <x v="1055"/>
    <x v="1062"/>
    <x v="1"/>
    <x v="0"/>
    <x v="0"/>
    <x v="1"/>
    <x v="1064"/>
    <x v="0"/>
    <x v="3"/>
    <x v="1"/>
    <x v="1064"/>
    <x v="997"/>
    <x v="611"/>
    <x v="636"/>
    <x v="604"/>
    <x v="1"/>
    <x v="2"/>
  </r>
  <r>
    <x v="573"/>
    <x v="7"/>
    <x v="3"/>
    <x v="5"/>
    <x v="1"/>
    <x v="1056"/>
    <x v="1063"/>
    <x v="1"/>
    <x v="1"/>
    <x v="0"/>
    <x v="5"/>
    <x v="1065"/>
    <x v="1"/>
    <x v="0"/>
    <x v="0"/>
    <x v="1065"/>
    <x v="998"/>
    <x v="958"/>
    <x v="573"/>
    <x v="628"/>
    <x v="4"/>
    <x v="3"/>
  </r>
  <r>
    <x v="599"/>
    <x v="0"/>
    <x v="0"/>
    <x v="1"/>
    <x v="17"/>
    <x v="1057"/>
    <x v="1064"/>
    <x v="1"/>
    <x v="1"/>
    <x v="2"/>
    <x v="2"/>
    <x v="1066"/>
    <x v="2"/>
    <x v="1"/>
    <x v="1"/>
    <x v="1066"/>
    <x v="999"/>
    <x v="959"/>
    <x v="599"/>
    <x v="519"/>
    <x v="2"/>
    <x v="0"/>
  </r>
  <r>
    <x v="225"/>
    <x v="10"/>
    <x v="3"/>
    <x v="0"/>
    <x v="13"/>
    <x v="1058"/>
    <x v="1065"/>
    <x v="3"/>
    <x v="0"/>
    <x v="2"/>
    <x v="4"/>
    <x v="1067"/>
    <x v="1"/>
    <x v="0"/>
    <x v="0"/>
    <x v="1067"/>
    <x v="1000"/>
    <x v="960"/>
    <x v="225"/>
    <x v="599"/>
    <x v="1"/>
    <x v="3"/>
  </r>
  <r>
    <x v="286"/>
    <x v="10"/>
    <x v="0"/>
    <x v="1"/>
    <x v="1"/>
    <x v="1059"/>
    <x v="1066"/>
    <x v="1"/>
    <x v="0"/>
    <x v="3"/>
    <x v="2"/>
    <x v="1068"/>
    <x v="0"/>
    <x v="1"/>
    <x v="0"/>
    <x v="1068"/>
    <x v="791"/>
    <x v="961"/>
    <x v="286"/>
    <x v="372"/>
    <x v="7"/>
    <x v="0"/>
  </r>
  <r>
    <x v="476"/>
    <x v="11"/>
    <x v="4"/>
    <x v="3"/>
    <x v="5"/>
    <x v="1060"/>
    <x v="1067"/>
    <x v="2"/>
    <x v="1"/>
    <x v="3"/>
    <x v="0"/>
    <x v="1069"/>
    <x v="2"/>
    <x v="3"/>
    <x v="1"/>
    <x v="1069"/>
    <x v="1001"/>
    <x v="962"/>
    <x v="476"/>
    <x v="438"/>
    <x v="7"/>
    <x v="4"/>
  </r>
  <r>
    <x v="92"/>
    <x v="2"/>
    <x v="1"/>
    <x v="0"/>
    <x v="16"/>
    <x v="1061"/>
    <x v="1068"/>
    <x v="3"/>
    <x v="0"/>
    <x v="3"/>
    <x v="4"/>
    <x v="1070"/>
    <x v="4"/>
    <x v="0"/>
    <x v="0"/>
    <x v="1070"/>
    <x v="1002"/>
    <x v="220"/>
    <x v="92"/>
    <x v="131"/>
    <x v="5"/>
    <x v="1"/>
  </r>
  <r>
    <x v="637"/>
    <x v="5"/>
    <x v="2"/>
    <x v="1"/>
    <x v="15"/>
    <x v="1062"/>
    <x v="1069"/>
    <x v="3"/>
    <x v="1"/>
    <x v="1"/>
    <x v="2"/>
    <x v="1071"/>
    <x v="0"/>
    <x v="0"/>
    <x v="0"/>
    <x v="1071"/>
    <x v="1003"/>
    <x v="963"/>
    <x v="637"/>
    <x v="629"/>
    <x v="5"/>
    <x v="2"/>
  </r>
  <r>
    <x v="638"/>
    <x v="3"/>
    <x v="0"/>
    <x v="0"/>
    <x v="17"/>
    <x v="1063"/>
    <x v="1070"/>
    <x v="2"/>
    <x v="0"/>
    <x v="0"/>
    <x v="5"/>
    <x v="1072"/>
    <x v="2"/>
    <x v="2"/>
    <x v="0"/>
    <x v="1072"/>
    <x v="1004"/>
    <x v="964"/>
    <x v="638"/>
    <x v="630"/>
    <x v="7"/>
    <x v="0"/>
  </r>
  <r>
    <x v="233"/>
    <x v="0"/>
    <x v="1"/>
    <x v="3"/>
    <x v="1"/>
    <x v="1064"/>
    <x v="1071"/>
    <x v="1"/>
    <x v="0"/>
    <x v="0"/>
    <x v="5"/>
    <x v="1073"/>
    <x v="2"/>
    <x v="0"/>
    <x v="0"/>
    <x v="1073"/>
    <x v="1005"/>
    <x v="965"/>
    <x v="233"/>
    <x v="509"/>
    <x v="2"/>
    <x v="1"/>
  </r>
  <r>
    <x v="639"/>
    <x v="2"/>
    <x v="0"/>
    <x v="1"/>
    <x v="11"/>
    <x v="1065"/>
    <x v="1072"/>
    <x v="0"/>
    <x v="0"/>
    <x v="2"/>
    <x v="1"/>
    <x v="1074"/>
    <x v="2"/>
    <x v="3"/>
    <x v="0"/>
    <x v="1074"/>
    <x v="1006"/>
    <x v="966"/>
    <x v="639"/>
    <x v="631"/>
    <x v="5"/>
    <x v="0"/>
  </r>
  <r>
    <x v="56"/>
    <x v="2"/>
    <x v="4"/>
    <x v="4"/>
    <x v="5"/>
    <x v="1066"/>
    <x v="1073"/>
    <x v="3"/>
    <x v="0"/>
    <x v="0"/>
    <x v="3"/>
    <x v="1075"/>
    <x v="2"/>
    <x v="1"/>
    <x v="0"/>
    <x v="1075"/>
    <x v="1007"/>
    <x v="918"/>
    <x v="56"/>
    <x v="632"/>
    <x v="6"/>
    <x v="4"/>
  </r>
  <r>
    <x v="151"/>
    <x v="0"/>
    <x v="4"/>
    <x v="4"/>
    <x v="8"/>
    <x v="1067"/>
    <x v="1074"/>
    <x v="3"/>
    <x v="1"/>
    <x v="0"/>
    <x v="4"/>
    <x v="1076"/>
    <x v="0"/>
    <x v="3"/>
    <x v="0"/>
    <x v="1076"/>
    <x v="1008"/>
    <x v="660"/>
    <x v="151"/>
    <x v="150"/>
    <x v="3"/>
    <x v="4"/>
  </r>
  <r>
    <x v="486"/>
    <x v="1"/>
    <x v="0"/>
    <x v="3"/>
    <x v="1"/>
    <x v="1068"/>
    <x v="1075"/>
    <x v="3"/>
    <x v="1"/>
    <x v="0"/>
    <x v="5"/>
    <x v="1077"/>
    <x v="2"/>
    <x v="3"/>
    <x v="0"/>
    <x v="1077"/>
    <x v="1009"/>
    <x v="967"/>
    <x v="486"/>
    <x v="465"/>
    <x v="5"/>
    <x v="0"/>
  </r>
  <r>
    <x v="238"/>
    <x v="8"/>
    <x v="0"/>
    <x v="4"/>
    <x v="16"/>
    <x v="1069"/>
    <x v="1076"/>
    <x v="3"/>
    <x v="0"/>
    <x v="1"/>
    <x v="4"/>
    <x v="1078"/>
    <x v="0"/>
    <x v="1"/>
    <x v="1"/>
    <x v="1078"/>
    <x v="1010"/>
    <x v="968"/>
    <x v="238"/>
    <x v="633"/>
    <x v="7"/>
    <x v="0"/>
  </r>
  <r>
    <x v="566"/>
    <x v="3"/>
    <x v="3"/>
    <x v="4"/>
    <x v="13"/>
    <x v="1070"/>
    <x v="1077"/>
    <x v="3"/>
    <x v="1"/>
    <x v="2"/>
    <x v="5"/>
    <x v="1079"/>
    <x v="0"/>
    <x v="1"/>
    <x v="0"/>
    <x v="1079"/>
    <x v="75"/>
    <x v="395"/>
    <x v="566"/>
    <x v="634"/>
    <x v="1"/>
    <x v="3"/>
  </r>
  <r>
    <x v="129"/>
    <x v="5"/>
    <x v="1"/>
    <x v="6"/>
    <x v="2"/>
    <x v="1071"/>
    <x v="1078"/>
    <x v="0"/>
    <x v="0"/>
    <x v="3"/>
    <x v="0"/>
    <x v="1080"/>
    <x v="3"/>
    <x v="3"/>
    <x v="0"/>
    <x v="1080"/>
    <x v="1011"/>
    <x v="969"/>
    <x v="129"/>
    <x v="8"/>
    <x v="8"/>
    <x v="1"/>
  </r>
  <r>
    <x v="640"/>
    <x v="9"/>
    <x v="2"/>
    <x v="6"/>
    <x v="9"/>
    <x v="1072"/>
    <x v="1079"/>
    <x v="2"/>
    <x v="0"/>
    <x v="0"/>
    <x v="4"/>
    <x v="1081"/>
    <x v="0"/>
    <x v="0"/>
    <x v="1"/>
    <x v="1081"/>
    <x v="370"/>
    <x v="970"/>
    <x v="640"/>
    <x v="158"/>
    <x v="3"/>
    <x v="2"/>
  </r>
  <r>
    <x v="490"/>
    <x v="0"/>
    <x v="2"/>
    <x v="6"/>
    <x v="0"/>
    <x v="1073"/>
    <x v="1080"/>
    <x v="2"/>
    <x v="0"/>
    <x v="1"/>
    <x v="2"/>
    <x v="1082"/>
    <x v="2"/>
    <x v="3"/>
    <x v="0"/>
    <x v="1082"/>
    <x v="1012"/>
    <x v="971"/>
    <x v="490"/>
    <x v="276"/>
    <x v="5"/>
    <x v="2"/>
  </r>
  <r>
    <x v="579"/>
    <x v="4"/>
    <x v="0"/>
    <x v="3"/>
    <x v="16"/>
    <x v="1074"/>
    <x v="1081"/>
    <x v="3"/>
    <x v="0"/>
    <x v="2"/>
    <x v="1"/>
    <x v="1083"/>
    <x v="0"/>
    <x v="0"/>
    <x v="0"/>
    <x v="1083"/>
    <x v="1013"/>
    <x v="656"/>
    <x v="579"/>
    <x v="462"/>
    <x v="2"/>
    <x v="0"/>
  </r>
  <r>
    <x v="641"/>
    <x v="5"/>
    <x v="0"/>
    <x v="5"/>
    <x v="16"/>
    <x v="1075"/>
    <x v="1082"/>
    <x v="3"/>
    <x v="0"/>
    <x v="3"/>
    <x v="0"/>
    <x v="1084"/>
    <x v="1"/>
    <x v="0"/>
    <x v="0"/>
    <x v="1084"/>
    <x v="1014"/>
    <x v="972"/>
    <x v="641"/>
    <x v="439"/>
    <x v="7"/>
    <x v="0"/>
  </r>
  <r>
    <x v="302"/>
    <x v="6"/>
    <x v="3"/>
    <x v="0"/>
    <x v="19"/>
    <x v="1076"/>
    <x v="1083"/>
    <x v="0"/>
    <x v="1"/>
    <x v="1"/>
    <x v="5"/>
    <x v="1085"/>
    <x v="1"/>
    <x v="2"/>
    <x v="0"/>
    <x v="1085"/>
    <x v="1015"/>
    <x v="973"/>
    <x v="302"/>
    <x v="211"/>
    <x v="8"/>
    <x v="3"/>
  </r>
  <r>
    <x v="284"/>
    <x v="1"/>
    <x v="4"/>
    <x v="2"/>
    <x v="17"/>
    <x v="1077"/>
    <x v="1084"/>
    <x v="2"/>
    <x v="0"/>
    <x v="1"/>
    <x v="1"/>
    <x v="1086"/>
    <x v="2"/>
    <x v="2"/>
    <x v="0"/>
    <x v="1086"/>
    <x v="1016"/>
    <x v="974"/>
    <x v="284"/>
    <x v="559"/>
    <x v="2"/>
    <x v="4"/>
  </r>
  <r>
    <x v="484"/>
    <x v="10"/>
    <x v="4"/>
    <x v="0"/>
    <x v="2"/>
    <x v="1078"/>
    <x v="1085"/>
    <x v="0"/>
    <x v="0"/>
    <x v="3"/>
    <x v="4"/>
    <x v="1087"/>
    <x v="2"/>
    <x v="2"/>
    <x v="0"/>
    <x v="1087"/>
    <x v="1017"/>
    <x v="975"/>
    <x v="484"/>
    <x v="374"/>
    <x v="0"/>
    <x v="4"/>
  </r>
  <r>
    <x v="579"/>
    <x v="4"/>
    <x v="0"/>
    <x v="2"/>
    <x v="14"/>
    <x v="1079"/>
    <x v="1086"/>
    <x v="0"/>
    <x v="0"/>
    <x v="3"/>
    <x v="4"/>
    <x v="1088"/>
    <x v="1"/>
    <x v="0"/>
    <x v="1"/>
    <x v="1088"/>
    <x v="1018"/>
    <x v="976"/>
    <x v="579"/>
    <x v="245"/>
    <x v="3"/>
    <x v="0"/>
  </r>
  <r>
    <x v="589"/>
    <x v="2"/>
    <x v="3"/>
    <x v="3"/>
    <x v="5"/>
    <x v="1080"/>
    <x v="1087"/>
    <x v="2"/>
    <x v="0"/>
    <x v="1"/>
    <x v="0"/>
    <x v="1089"/>
    <x v="1"/>
    <x v="1"/>
    <x v="0"/>
    <x v="1089"/>
    <x v="1019"/>
    <x v="550"/>
    <x v="589"/>
    <x v="609"/>
    <x v="1"/>
    <x v="3"/>
  </r>
  <r>
    <x v="413"/>
    <x v="7"/>
    <x v="0"/>
    <x v="6"/>
    <x v="13"/>
    <x v="1081"/>
    <x v="1088"/>
    <x v="1"/>
    <x v="0"/>
    <x v="2"/>
    <x v="5"/>
    <x v="1090"/>
    <x v="4"/>
    <x v="0"/>
    <x v="0"/>
    <x v="1090"/>
    <x v="261"/>
    <x v="977"/>
    <x v="413"/>
    <x v="175"/>
    <x v="5"/>
    <x v="0"/>
  </r>
  <r>
    <x v="276"/>
    <x v="2"/>
    <x v="0"/>
    <x v="4"/>
    <x v="18"/>
    <x v="1082"/>
    <x v="1089"/>
    <x v="1"/>
    <x v="1"/>
    <x v="1"/>
    <x v="4"/>
    <x v="1091"/>
    <x v="1"/>
    <x v="3"/>
    <x v="0"/>
    <x v="1091"/>
    <x v="1020"/>
    <x v="400"/>
    <x v="276"/>
    <x v="114"/>
    <x v="1"/>
    <x v="0"/>
  </r>
  <r>
    <x v="642"/>
    <x v="2"/>
    <x v="4"/>
    <x v="2"/>
    <x v="16"/>
    <x v="1083"/>
    <x v="1090"/>
    <x v="1"/>
    <x v="0"/>
    <x v="3"/>
    <x v="5"/>
    <x v="1092"/>
    <x v="2"/>
    <x v="2"/>
    <x v="0"/>
    <x v="1092"/>
    <x v="1021"/>
    <x v="978"/>
    <x v="642"/>
    <x v="275"/>
    <x v="5"/>
    <x v="4"/>
  </r>
  <r>
    <x v="488"/>
    <x v="9"/>
    <x v="3"/>
    <x v="1"/>
    <x v="13"/>
    <x v="1084"/>
    <x v="1091"/>
    <x v="3"/>
    <x v="1"/>
    <x v="2"/>
    <x v="1"/>
    <x v="1093"/>
    <x v="3"/>
    <x v="1"/>
    <x v="0"/>
    <x v="1093"/>
    <x v="1022"/>
    <x v="979"/>
    <x v="488"/>
    <x v="580"/>
    <x v="6"/>
    <x v="3"/>
  </r>
  <r>
    <x v="643"/>
    <x v="6"/>
    <x v="2"/>
    <x v="4"/>
    <x v="2"/>
    <x v="1085"/>
    <x v="1092"/>
    <x v="2"/>
    <x v="1"/>
    <x v="2"/>
    <x v="0"/>
    <x v="1094"/>
    <x v="4"/>
    <x v="0"/>
    <x v="1"/>
    <x v="1094"/>
    <x v="1023"/>
    <x v="980"/>
    <x v="643"/>
    <x v="635"/>
    <x v="3"/>
    <x v="2"/>
  </r>
  <r>
    <x v="644"/>
    <x v="11"/>
    <x v="1"/>
    <x v="2"/>
    <x v="13"/>
    <x v="1086"/>
    <x v="1093"/>
    <x v="3"/>
    <x v="1"/>
    <x v="1"/>
    <x v="5"/>
    <x v="1095"/>
    <x v="2"/>
    <x v="3"/>
    <x v="0"/>
    <x v="1095"/>
    <x v="1024"/>
    <x v="981"/>
    <x v="644"/>
    <x v="636"/>
    <x v="6"/>
    <x v="1"/>
  </r>
  <r>
    <x v="645"/>
    <x v="7"/>
    <x v="0"/>
    <x v="3"/>
    <x v="6"/>
    <x v="1087"/>
    <x v="1094"/>
    <x v="1"/>
    <x v="0"/>
    <x v="2"/>
    <x v="5"/>
    <x v="1096"/>
    <x v="4"/>
    <x v="2"/>
    <x v="1"/>
    <x v="1096"/>
    <x v="1025"/>
    <x v="982"/>
    <x v="645"/>
    <x v="637"/>
    <x v="0"/>
    <x v="0"/>
  </r>
  <r>
    <x v="503"/>
    <x v="3"/>
    <x v="2"/>
    <x v="3"/>
    <x v="18"/>
    <x v="1088"/>
    <x v="1095"/>
    <x v="3"/>
    <x v="1"/>
    <x v="3"/>
    <x v="5"/>
    <x v="1097"/>
    <x v="4"/>
    <x v="3"/>
    <x v="1"/>
    <x v="1097"/>
    <x v="1026"/>
    <x v="629"/>
    <x v="503"/>
    <x v="508"/>
    <x v="4"/>
    <x v="2"/>
  </r>
  <r>
    <x v="646"/>
    <x v="1"/>
    <x v="1"/>
    <x v="0"/>
    <x v="9"/>
    <x v="1089"/>
    <x v="1096"/>
    <x v="0"/>
    <x v="0"/>
    <x v="0"/>
    <x v="3"/>
    <x v="1098"/>
    <x v="4"/>
    <x v="2"/>
    <x v="1"/>
    <x v="1098"/>
    <x v="1027"/>
    <x v="983"/>
    <x v="646"/>
    <x v="638"/>
    <x v="5"/>
    <x v="1"/>
  </r>
  <r>
    <x v="449"/>
    <x v="5"/>
    <x v="2"/>
    <x v="2"/>
    <x v="8"/>
    <x v="1090"/>
    <x v="1097"/>
    <x v="0"/>
    <x v="1"/>
    <x v="0"/>
    <x v="5"/>
    <x v="1099"/>
    <x v="1"/>
    <x v="3"/>
    <x v="0"/>
    <x v="1099"/>
    <x v="497"/>
    <x v="984"/>
    <x v="449"/>
    <x v="553"/>
    <x v="5"/>
    <x v="2"/>
  </r>
  <r>
    <x v="34"/>
    <x v="11"/>
    <x v="1"/>
    <x v="2"/>
    <x v="15"/>
    <x v="1091"/>
    <x v="1098"/>
    <x v="2"/>
    <x v="0"/>
    <x v="3"/>
    <x v="2"/>
    <x v="1100"/>
    <x v="1"/>
    <x v="2"/>
    <x v="0"/>
    <x v="1100"/>
    <x v="1028"/>
    <x v="985"/>
    <x v="34"/>
    <x v="540"/>
    <x v="3"/>
    <x v="1"/>
  </r>
  <r>
    <x v="603"/>
    <x v="4"/>
    <x v="2"/>
    <x v="6"/>
    <x v="12"/>
    <x v="1092"/>
    <x v="1099"/>
    <x v="0"/>
    <x v="1"/>
    <x v="2"/>
    <x v="3"/>
    <x v="1101"/>
    <x v="0"/>
    <x v="0"/>
    <x v="0"/>
    <x v="1101"/>
    <x v="702"/>
    <x v="307"/>
    <x v="603"/>
    <x v="509"/>
    <x v="6"/>
    <x v="2"/>
  </r>
  <r>
    <x v="638"/>
    <x v="3"/>
    <x v="2"/>
    <x v="1"/>
    <x v="19"/>
    <x v="1093"/>
    <x v="1100"/>
    <x v="3"/>
    <x v="0"/>
    <x v="0"/>
    <x v="2"/>
    <x v="1102"/>
    <x v="0"/>
    <x v="2"/>
    <x v="1"/>
    <x v="1102"/>
    <x v="1029"/>
    <x v="986"/>
    <x v="638"/>
    <x v="203"/>
    <x v="5"/>
    <x v="2"/>
  </r>
  <r>
    <x v="224"/>
    <x v="9"/>
    <x v="2"/>
    <x v="4"/>
    <x v="17"/>
    <x v="1094"/>
    <x v="1101"/>
    <x v="1"/>
    <x v="1"/>
    <x v="2"/>
    <x v="1"/>
    <x v="1103"/>
    <x v="1"/>
    <x v="3"/>
    <x v="0"/>
    <x v="1103"/>
    <x v="1030"/>
    <x v="987"/>
    <x v="224"/>
    <x v="639"/>
    <x v="1"/>
    <x v="2"/>
  </r>
  <r>
    <x v="374"/>
    <x v="10"/>
    <x v="4"/>
    <x v="4"/>
    <x v="2"/>
    <x v="1095"/>
    <x v="1102"/>
    <x v="1"/>
    <x v="0"/>
    <x v="0"/>
    <x v="4"/>
    <x v="1104"/>
    <x v="2"/>
    <x v="1"/>
    <x v="1"/>
    <x v="1104"/>
    <x v="1031"/>
    <x v="888"/>
    <x v="374"/>
    <x v="374"/>
    <x v="8"/>
    <x v="4"/>
  </r>
  <r>
    <x v="647"/>
    <x v="10"/>
    <x v="3"/>
    <x v="5"/>
    <x v="10"/>
    <x v="1096"/>
    <x v="1103"/>
    <x v="1"/>
    <x v="0"/>
    <x v="1"/>
    <x v="0"/>
    <x v="1105"/>
    <x v="3"/>
    <x v="0"/>
    <x v="0"/>
    <x v="1105"/>
    <x v="1032"/>
    <x v="988"/>
    <x v="647"/>
    <x v="640"/>
    <x v="1"/>
    <x v="3"/>
  </r>
  <r>
    <x v="56"/>
    <x v="2"/>
    <x v="4"/>
    <x v="4"/>
    <x v="15"/>
    <x v="1097"/>
    <x v="1104"/>
    <x v="2"/>
    <x v="1"/>
    <x v="1"/>
    <x v="3"/>
    <x v="1106"/>
    <x v="2"/>
    <x v="0"/>
    <x v="0"/>
    <x v="1106"/>
    <x v="1033"/>
    <x v="989"/>
    <x v="56"/>
    <x v="227"/>
    <x v="5"/>
    <x v="4"/>
  </r>
  <r>
    <x v="178"/>
    <x v="7"/>
    <x v="4"/>
    <x v="4"/>
    <x v="18"/>
    <x v="1098"/>
    <x v="1105"/>
    <x v="1"/>
    <x v="0"/>
    <x v="3"/>
    <x v="5"/>
    <x v="1107"/>
    <x v="2"/>
    <x v="0"/>
    <x v="0"/>
    <x v="1107"/>
    <x v="1034"/>
    <x v="990"/>
    <x v="178"/>
    <x v="317"/>
    <x v="0"/>
    <x v="4"/>
  </r>
  <r>
    <x v="642"/>
    <x v="2"/>
    <x v="0"/>
    <x v="5"/>
    <x v="1"/>
    <x v="1099"/>
    <x v="1106"/>
    <x v="0"/>
    <x v="1"/>
    <x v="1"/>
    <x v="3"/>
    <x v="1108"/>
    <x v="1"/>
    <x v="0"/>
    <x v="0"/>
    <x v="1108"/>
    <x v="1035"/>
    <x v="991"/>
    <x v="642"/>
    <x v="54"/>
    <x v="8"/>
    <x v="0"/>
  </r>
  <r>
    <x v="586"/>
    <x v="0"/>
    <x v="0"/>
    <x v="4"/>
    <x v="13"/>
    <x v="1100"/>
    <x v="1107"/>
    <x v="1"/>
    <x v="0"/>
    <x v="0"/>
    <x v="4"/>
    <x v="1109"/>
    <x v="0"/>
    <x v="0"/>
    <x v="0"/>
    <x v="1109"/>
    <x v="1036"/>
    <x v="992"/>
    <x v="586"/>
    <x v="126"/>
    <x v="1"/>
    <x v="0"/>
  </r>
  <r>
    <x v="648"/>
    <x v="10"/>
    <x v="0"/>
    <x v="5"/>
    <x v="6"/>
    <x v="1101"/>
    <x v="1108"/>
    <x v="0"/>
    <x v="1"/>
    <x v="0"/>
    <x v="1"/>
    <x v="1110"/>
    <x v="1"/>
    <x v="0"/>
    <x v="0"/>
    <x v="1110"/>
    <x v="1037"/>
    <x v="993"/>
    <x v="648"/>
    <x v="217"/>
    <x v="8"/>
    <x v="0"/>
  </r>
  <r>
    <x v="47"/>
    <x v="6"/>
    <x v="0"/>
    <x v="2"/>
    <x v="18"/>
    <x v="1102"/>
    <x v="1109"/>
    <x v="0"/>
    <x v="1"/>
    <x v="1"/>
    <x v="2"/>
    <x v="1111"/>
    <x v="2"/>
    <x v="0"/>
    <x v="0"/>
    <x v="1111"/>
    <x v="1038"/>
    <x v="994"/>
    <x v="47"/>
    <x v="137"/>
    <x v="6"/>
    <x v="0"/>
  </r>
  <r>
    <x v="282"/>
    <x v="4"/>
    <x v="2"/>
    <x v="2"/>
    <x v="8"/>
    <x v="1103"/>
    <x v="1110"/>
    <x v="1"/>
    <x v="1"/>
    <x v="0"/>
    <x v="0"/>
    <x v="1112"/>
    <x v="3"/>
    <x v="2"/>
    <x v="0"/>
    <x v="1112"/>
    <x v="1039"/>
    <x v="995"/>
    <x v="282"/>
    <x v="279"/>
    <x v="1"/>
    <x v="2"/>
  </r>
  <r>
    <x v="649"/>
    <x v="10"/>
    <x v="1"/>
    <x v="1"/>
    <x v="12"/>
    <x v="1104"/>
    <x v="1111"/>
    <x v="2"/>
    <x v="1"/>
    <x v="1"/>
    <x v="5"/>
    <x v="1113"/>
    <x v="2"/>
    <x v="3"/>
    <x v="0"/>
    <x v="1113"/>
    <x v="1040"/>
    <x v="962"/>
    <x v="649"/>
    <x v="239"/>
    <x v="7"/>
    <x v="1"/>
  </r>
  <r>
    <x v="172"/>
    <x v="8"/>
    <x v="2"/>
    <x v="5"/>
    <x v="2"/>
    <x v="1105"/>
    <x v="1112"/>
    <x v="0"/>
    <x v="1"/>
    <x v="2"/>
    <x v="2"/>
    <x v="1114"/>
    <x v="4"/>
    <x v="2"/>
    <x v="1"/>
    <x v="1114"/>
    <x v="1041"/>
    <x v="996"/>
    <x v="172"/>
    <x v="94"/>
    <x v="1"/>
    <x v="2"/>
  </r>
  <r>
    <x v="650"/>
    <x v="10"/>
    <x v="2"/>
    <x v="4"/>
    <x v="7"/>
    <x v="1106"/>
    <x v="1113"/>
    <x v="1"/>
    <x v="1"/>
    <x v="3"/>
    <x v="3"/>
    <x v="1115"/>
    <x v="1"/>
    <x v="3"/>
    <x v="0"/>
    <x v="1115"/>
    <x v="1042"/>
    <x v="997"/>
    <x v="650"/>
    <x v="554"/>
    <x v="1"/>
    <x v="2"/>
  </r>
  <r>
    <x v="651"/>
    <x v="3"/>
    <x v="3"/>
    <x v="0"/>
    <x v="14"/>
    <x v="1107"/>
    <x v="1114"/>
    <x v="2"/>
    <x v="1"/>
    <x v="1"/>
    <x v="1"/>
    <x v="1116"/>
    <x v="3"/>
    <x v="3"/>
    <x v="1"/>
    <x v="1116"/>
    <x v="1043"/>
    <x v="998"/>
    <x v="651"/>
    <x v="184"/>
    <x v="4"/>
    <x v="3"/>
  </r>
  <r>
    <x v="467"/>
    <x v="1"/>
    <x v="0"/>
    <x v="3"/>
    <x v="6"/>
    <x v="1108"/>
    <x v="1115"/>
    <x v="3"/>
    <x v="0"/>
    <x v="2"/>
    <x v="1"/>
    <x v="1117"/>
    <x v="3"/>
    <x v="2"/>
    <x v="0"/>
    <x v="1117"/>
    <x v="1044"/>
    <x v="999"/>
    <x v="467"/>
    <x v="641"/>
    <x v="4"/>
    <x v="0"/>
  </r>
  <r>
    <x v="652"/>
    <x v="10"/>
    <x v="3"/>
    <x v="2"/>
    <x v="1"/>
    <x v="1109"/>
    <x v="1116"/>
    <x v="1"/>
    <x v="1"/>
    <x v="1"/>
    <x v="3"/>
    <x v="1118"/>
    <x v="2"/>
    <x v="2"/>
    <x v="0"/>
    <x v="1118"/>
    <x v="1045"/>
    <x v="1000"/>
    <x v="652"/>
    <x v="291"/>
    <x v="6"/>
    <x v="3"/>
  </r>
  <r>
    <x v="653"/>
    <x v="5"/>
    <x v="4"/>
    <x v="2"/>
    <x v="4"/>
    <x v="1110"/>
    <x v="1117"/>
    <x v="3"/>
    <x v="0"/>
    <x v="3"/>
    <x v="5"/>
    <x v="1119"/>
    <x v="0"/>
    <x v="1"/>
    <x v="1"/>
    <x v="1119"/>
    <x v="1046"/>
    <x v="1001"/>
    <x v="653"/>
    <x v="479"/>
    <x v="1"/>
    <x v="4"/>
  </r>
  <r>
    <x v="207"/>
    <x v="9"/>
    <x v="0"/>
    <x v="6"/>
    <x v="7"/>
    <x v="1111"/>
    <x v="1118"/>
    <x v="1"/>
    <x v="0"/>
    <x v="1"/>
    <x v="0"/>
    <x v="1120"/>
    <x v="2"/>
    <x v="1"/>
    <x v="0"/>
    <x v="1120"/>
    <x v="1047"/>
    <x v="604"/>
    <x v="207"/>
    <x v="27"/>
    <x v="3"/>
    <x v="0"/>
  </r>
  <r>
    <x v="654"/>
    <x v="1"/>
    <x v="4"/>
    <x v="2"/>
    <x v="9"/>
    <x v="1112"/>
    <x v="1119"/>
    <x v="1"/>
    <x v="1"/>
    <x v="2"/>
    <x v="4"/>
    <x v="1121"/>
    <x v="0"/>
    <x v="2"/>
    <x v="0"/>
    <x v="1121"/>
    <x v="1048"/>
    <x v="654"/>
    <x v="654"/>
    <x v="642"/>
    <x v="5"/>
    <x v="4"/>
  </r>
  <r>
    <x v="105"/>
    <x v="6"/>
    <x v="4"/>
    <x v="0"/>
    <x v="6"/>
    <x v="1113"/>
    <x v="1120"/>
    <x v="0"/>
    <x v="1"/>
    <x v="0"/>
    <x v="5"/>
    <x v="1122"/>
    <x v="3"/>
    <x v="2"/>
    <x v="0"/>
    <x v="1122"/>
    <x v="1049"/>
    <x v="390"/>
    <x v="105"/>
    <x v="100"/>
    <x v="3"/>
    <x v="4"/>
  </r>
  <r>
    <x v="525"/>
    <x v="5"/>
    <x v="4"/>
    <x v="5"/>
    <x v="13"/>
    <x v="1114"/>
    <x v="1121"/>
    <x v="3"/>
    <x v="1"/>
    <x v="3"/>
    <x v="5"/>
    <x v="1123"/>
    <x v="0"/>
    <x v="2"/>
    <x v="0"/>
    <x v="1123"/>
    <x v="1050"/>
    <x v="1002"/>
    <x v="525"/>
    <x v="613"/>
    <x v="0"/>
    <x v="4"/>
  </r>
  <r>
    <x v="655"/>
    <x v="3"/>
    <x v="0"/>
    <x v="0"/>
    <x v="17"/>
    <x v="1115"/>
    <x v="1122"/>
    <x v="0"/>
    <x v="1"/>
    <x v="1"/>
    <x v="4"/>
    <x v="1124"/>
    <x v="4"/>
    <x v="1"/>
    <x v="0"/>
    <x v="1124"/>
    <x v="1051"/>
    <x v="162"/>
    <x v="655"/>
    <x v="602"/>
    <x v="8"/>
    <x v="0"/>
  </r>
  <r>
    <x v="132"/>
    <x v="6"/>
    <x v="2"/>
    <x v="3"/>
    <x v="10"/>
    <x v="1116"/>
    <x v="1123"/>
    <x v="2"/>
    <x v="1"/>
    <x v="0"/>
    <x v="2"/>
    <x v="1125"/>
    <x v="1"/>
    <x v="0"/>
    <x v="0"/>
    <x v="1125"/>
    <x v="1052"/>
    <x v="1003"/>
    <x v="132"/>
    <x v="250"/>
    <x v="5"/>
    <x v="2"/>
  </r>
  <r>
    <x v="656"/>
    <x v="4"/>
    <x v="0"/>
    <x v="1"/>
    <x v="19"/>
    <x v="1117"/>
    <x v="1124"/>
    <x v="3"/>
    <x v="0"/>
    <x v="0"/>
    <x v="3"/>
    <x v="1126"/>
    <x v="0"/>
    <x v="1"/>
    <x v="0"/>
    <x v="1126"/>
    <x v="1053"/>
    <x v="1004"/>
    <x v="656"/>
    <x v="643"/>
    <x v="0"/>
    <x v="0"/>
  </r>
  <r>
    <x v="657"/>
    <x v="8"/>
    <x v="4"/>
    <x v="2"/>
    <x v="16"/>
    <x v="1118"/>
    <x v="1125"/>
    <x v="1"/>
    <x v="1"/>
    <x v="3"/>
    <x v="5"/>
    <x v="1127"/>
    <x v="3"/>
    <x v="2"/>
    <x v="0"/>
    <x v="1127"/>
    <x v="1054"/>
    <x v="1005"/>
    <x v="657"/>
    <x v="644"/>
    <x v="8"/>
    <x v="4"/>
  </r>
  <r>
    <x v="527"/>
    <x v="6"/>
    <x v="0"/>
    <x v="0"/>
    <x v="0"/>
    <x v="1119"/>
    <x v="1126"/>
    <x v="0"/>
    <x v="1"/>
    <x v="3"/>
    <x v="2"/>
    <x v="1128"/>
    <x v="0"/>
    <x v="3"/>
    <x v="1"/>
    <x v="1128"/>
    <x v="1055"/>
    <x v="1006"/>
    <x v="527"/>
    <x v="59"/>
    <x v="3"/>
    <x v="0"/>
  </r>
  <r>
    <x v="658"/>
    <x v="0"/>
    <x v="2"/>
    <x v="5"/>
    <x v="12"/>
    <x v="1120"/>
    <x v="1127"/>
    <x v="0"/>
    <x v="1"/>
    <x v="1"/>
    <x v="0"/>
    <x v="1129"/>
    <x v="0"/>
    <x v="0"/>
    <x v="0"/>
    <x v="1129"/>
    <x v="1056"/>
    <x v="1007"/>
    <x v="658"/>
    <x v="430"/>
    <x v="8"/>
    <x v="2"/>
  </r>
  <r>
    <x v="528"/>
    <x v="7"/>
    <x v="1"/>
    <x v="6"/>
    <x v="11"/>
    <x v="1121"/>
    <x v="1128"/>
    <x v="0"/>
    <x v="1"/>
    <x v="0"/>
    <x v="5"/>
    <x v="1130"/>
    <x v="0"/>
    <x v="0"/>
    <x v="0"/>
    <x v="1130"/>
    <x v="118"/>
    <x v="1008"/>
    <x v="528"/>
    <x v="164"/>
    <x v="4"/>
    <x v="1"/>
  </r>
  <r>
    <x v="20"/>
    <x v="3"/>
    <x v="0"/>
    <x v="0"/>
    <x v="1"/>
    <x v="1122"/>
    <x v="1129"/>
    <x v="1"/>
    <x v="1"/>
    <x v="1"/>
    <x v="4"/>
    <x v="1131"/>
    <x v="4"/>
    <x v="1"/>
    <x v="0"/>
    <x v="1131"/>
    <x v="1057"/>
    <x v="1009"/>
    <x v="20"/>
    <x v="492"/>
    <x v="4"/>
    <x v="0"/>
  </r>
  <r>
    <x v="659"/>
    <x v="7"/>
    <x v="1"/>
    <x v="3"/>
    <x v="13"/>
    <x v="1123"/>
    <x v="1130"/>
    <x v="0"/>
    <x v="1"/>
    <x v="0"/>
    <x v="1"/>
    <x v="1132"/>
    <x v="3"/>
    <x v="1"/>
    <x v="0"/>
    <x v="1132"/>
    <x v="1058"/>
    <x v="583"/>
    <x v="659"/>
    <x v="235"/>
    <x v="5"/>
    <x v="1"/>
  </r>
  <r>
    <x v="476"/>
    <x v="11"/>
    <x v="3"/>
    <x v="1"/>
    <x v="9"/>
    <x v="1124"/>
    <x v="1131"/>
    <x v="3"/>
    <x v="0"/>
    <x v="3"/>
    <x v="4"/>
    <x v="1133"/>
    <x v="3"/>
    <x v="1"/>
    <x v="1"/>
    <x v="1133"/>
    <x v="1059"/>
    <x v="1010"/>
    <x v="476"/>
    <x v="540"/>
    <x v="6"/>
    <x v="3"/>
  </r>
  <r>
    <x v="100"/>
    <x v="11"/>
    <x v="0"/>
    <x v="0"/>
    <x v="10"/>
    <x v="1125"/>
    <x v="1132"/>
    <x v="2"/>
    <x v="1"/>
    <x v="1"/>
    <x v="0"/>
    <x v="1134"/>
    <x v="0"/>
    <x v="0"/>
    <x v="0"/>
    <x v="1134"/>
    <x v="1060"/>
    <x v="1011"/>
    <x v="100"/>
    <x v="624"/>
    <x v="2"/>
    <x v="0"/>
  </r>
  <r>
    <x v="660"/>
    <x v="2"/>
    <x v="3"/>
    <x v="4"/>
    <x v="2"/>
    <x v="1126"/>
    <x v="1133"/>
    <x v="1"/>
    <x v="0"/>
    <x v="0"/>
    <x v="3"/>
    <x v="1135"/>
    <x v="0"/>
    <x v="0"/>
    <x v="1"/>
    <x v="1135"/>
    <x v="1061"/>
    <x v="1012"/>
    <x v="660"/>
    <x v="645"/>
    <x v="4"/>
    <x v="3"/>
  </r>
  <r>
    <x v="91"/>
    <x v="7"/>
    <x v="4"/>
    <x v="4"/>
    <x v="3"/>
    <x v="1127"/>
    <x v="1134"/>
    <x v="1"/>
    <x v="0"/>
    <x v="0"/>
    <x v="5"/>
    <x v="1136"/>
    <x v="0"/>
    <x v="3"/>
    <x v="0"/>
    <x v="1136"/>
    <x v="1062"/>
    <x v="1013"/>
    <x v="91"/>
    <x v="318"/>
    <x v="7"/>
    <x v="4"/>
  </r>
  <r>
    <x v="85"/>
    <x v="9"/>
    <x v="0"/>
    <x v="3"/>
    <x v="5"/>
    <x v="1128"/>
    <x v="1135"/>
    <x v="1"/>
    <x v="0"/>
    <x v="0"/>
    <x v="4"/>
    <x v="1137"/>
    <x v="2"/>
    <x v="2"/>
    <x v="0"/>
    <x v="1137"/>
    <x v="1063"/>
    <x v="1014"/>
    <x v="85"/>
    <x v="646"/>
    <x v="0"/>
    <x v="0"/>
  </r>
  <r>
    <x v="555"/>
    <x v="8"/>
    <x v="2"/>
    <x v="2"/>
    <x v="6"/>
    <x v="1129"/>
    <x v="1136"/>
    <x v="1"/>
    <x v="1"/>
    <x v="1"/>
    <x v="4"/>
    <x v="1138"/>
    <x v="0"/>
    <x v="0"/>
    <x v="1"/>
    <x v="1138"/>
    <x v="1042"/>
    <x v="1015"/>
    <x v="555"/>
    <x v="647"/>
    <x v="5"/>
    <x v="2"/>
  </r>
  <r>
    <x v="42"/>
    <x v="2"/>
    <x v="2"/>
    <x v="2"/>
    <x v="15"/>
    <x v="1130"/>
    <x v="1137"/>
    <x v="2"/>
    <x v="1"/>
    <x v="2"/>
    <x v="3"/>
    <x v="1139"/>
    <x v="1"/>
    <x v="3"/>
    <x v="0"/>
    <x v="1139"/>
    <x v="1064"/>
    <x v="609"/>
    <x v="42"/>
    <x v="41"/>
    <x v="6"/>
    <x v="2"/>
  </r>
  <r>
    <x v="661"/>
    <x v="5"/>
    <x v="4"/>
    <x v="1"/>
    <x v="18"/>
    <x v="1131"/>
    <x v="1138"/>
    <x v="0"/>
    <x v="0"/>
    <x v="2"/>
    <x v="3"/>
    <x v="1140"/>
    <x v="0"/>
    <x v="0"/>
    <x v="1"/>
    <x v="1140"/>
    <x v="1065"/>
    <x v="1016"/>
    <x v="661"/>
    <x v="528"/>
    <x v="0"/>
    <x v="4"/>
  </r>
  <r>
    <x v="662"/>
    <x v="2"/>
    <x v="2"/>
    <x v="4"/>
    <x v="3"/>
    <x v="1132"/>
    <x v="1139"/>
    <x v="3"/>
    <x v="0"/>
    <x v="2"/>
    <x v="5"/>
    <x v="1141"/>
    <x v="2"/>
    <x v="1"/>
    <x v="0"/>
    <x v="1141"/>
    <x v="1066"/>
    <x v="1017"/>
    <x v="662"/>
    <x v="131"/>
    <x v="2"/>
    <x v="2"/>
  </r>
  <r>
    <x v="69"/>
    <x v="6"/>
    <x v="1"/>
    <x v="0"/>
    <x v="5"/>
    <x v="1133"/>
    <x v="1140"/>
    <x v="0"/>
    <x v="0"/>
    <x v="2"/>
    <x v="2"/>
    <x v="1142"/>
    <x v="0"/>
    <x v="2"/>
    <x v="0"/>
    <x v="1142"/>
    <x v="1067"/>
    <x v="1018"/>
    <x v="69"/>
    <x v="576"/>
    <x v="2"/>
    <x v="1"/>
  </r>
  <r>
    <x v="41"/>
    <x v="8"/>
    <x v="0"/>
    <x v="2"/>
    <x v="16"/>
    <x v="1134"/>
    <x v="1141"/>
    <x v="0"/>
    <x v="1"/>
    <x v="1"/>
    <x v="2"/>
    <x v="1143"/>
    <x v="1"/>
    <x v="3"/>
    <x v="0"/>
    <x v="1143"/>
    <x v="1005"/>
    <x v="1019"/>
    <x v="41"/>
    <x v="625"/>
    <x v="3"/>
    <x v="0"/>
  </r>
  <r>
    <x v="663"/>
    <x v="0"/>
    <x v="2"/>
    <x v="2"/>
    <x v="14"/>
    <x v="1135"/>
    <x v="1142"/>
    <x v="0"/>
    <x v="1"/>
    <x v="1"/>
    <x v="2"/>
    <x v="1144"/>
    <x v="1"/>
    <x v="0"/>
    <x v="0"/>
    <x v="1144"/>
    <x v="1068"/>
    <x v="1020"/>
    <x v="663"/>
    <x v="541"/>
    <x v="8"/>
    <x v="2"/>
  </r>
  <r>
    <x v="585"/>
    <x v="4"/>
    <x v="1"/>
    <x v="3"/>
    <x v="5"/>
    <x v="1136"/>
    <x v="1143"/>
    <x v="0"/>
    <x v="0"/>
    <x v="0"/>
    <x v="3"/>
    <x v="1145"/>
    <x v="1"/>
    <x v="0"/>
    <x v="0"/>
    <x v="1145"/>
    <x v="1069"/>
    <x v="1021"/>
    <x v="585"/>
    <x v="643"/>
    <x v="7"/>
    <x v="1"/>
  </r>
  <r>
    <x v="121"/>
    <x v="11"/>
    <x v="2"/>
    <x v="1"/>
    <x v="16"/>
    <x v="1137"/>
    <x v="1144"/>
    <x v="3"/>
    <x v="0"/>
    <x v="3"/>
    <x v="4"/>
    <x v="1146"/>
    <x v="1"/>
    <x v="2"/>
    <x v="1"/>
    <x v="1146"/>
    <x v="1070"/>
    <x v="522"/>
    <x v="121"/>
    <x v="119"/>
    <x v="1"/>
    <x v="2"/>
  </r>
  <r>
    <x v="664"/>
    <x v="0"/>
    <x v="2"/>
    <x v="6"/>
    <x v="8"/>
    <x v="1138"/>
    <x v="1145"/>
    <x v="3"/>
    <x v="0"/>
    <x v="1"/>
    <x v="1"/>
    <x v="1147"/>
    <x v="0"/>
    <x v="1"/>
    <x v="0"/>
    <x v="1147"/>
    <x v="1071"/>
    <x v="524"/>
    <x v="664"/>
    <x v="236"/>
    <x v="5"/>
    <x v="2"/>
  </r>
  <r>
    <x v="444"/>
    <x v="5"/>
    <x v="4"/>
    <x v="5"/>
    <x v="7"/>
    <x v="1139"/>
    <x v="1146"/>
    <x v="2"/>
    <x v="0"/>
    <x v="3"/>
    <x v="5"/>
    <x v="1148"/>
    <x v="2"/>
    <x v="0"/>
    <x v="1"/>
    <x v="1148"/>
    <x v="1072"/>
    <x v="280"/>
    <x v="444"/>
    <x v="648"/>
    <x v="4"/>
    <x v="4"/>
  </r>
  <r>
    <x v="665"/>
    <x v="10"/>
    <x v="4"/>
    <x v="1"/>
    <x v="19"/>
    <x v="1140"/>
    <x v="1147"/>
    <x v="1"/>
    <x v="0"/>
    <x v="0"/>
    <x v="4"/>
    <x v="1149"/>
    <x v="1"/>
    <x v="1"/>
    <x v="1"/>
    <x v="1149"/>
    <x v="1073"/>
    <x v="1022"/>
    <x v="665"/>
    <x v="167"/>
    <x v="4"/>
    <x v="4"/>
  </r>
  <r>
    <x v="666"/>
    <x v="10"/>
    <x v="0"/>
    <x v="0"/>
    <x v="5"/>
    <x v="571"/>
    <x v="1148"/>
    <x v="2"/>
    <x v="0"/>
    <x v="2"/>
    <x v="2"/>
    <x v="1150"/>
    <x v="1"/>
    <x v="2"/>
    <x v="0"/>
    <x v="1150"/>
    <x v="368"/>
    <x v="777"/>
    <x v="666"/>
    <x v="291"/>
    <x v="7"/>
    <x v="0"/>
  </r>
  <r>
    <x v="99"/>
    <x v="8"/>
    <x v="2"/>
    <x v="5"/>
    <x v="7"/>
    <x v="1141"/>
    <x v="1149"/>
    <x v="3"/>
    <x v="1"/>
    <x v="1"/>
    <x v="1"/>
    <x v="1151"/>
    <x v="0"/>
    <x v="2"/>
    <x v="0"/>
    <x v="1151"/>
    <x v="1074"/>
    <x v="395"/>
    <x v="99"/>
    <x v="649"/>
    <x v="0"/>
    <x v="2"/>
  </r>
  <r>
    <x v="50"/>
    <x v="4"/>
    <x v="1"/>
    <x v="2"/>
    <x v="17"/>
    <x v="1142"/>
    <x v="1150"/>
    <x v="3"/>
    <x v="1"/>
    <x v="2"/>
    <x v="5"/>
    <x v="1152"/>
    <x v="2"/>
    <x v="2"/>
    <x v="1"/>
    <x v="1152"/>
    <x v="1075"/>
    <x v="1023"/>
    <x v="50"/>
    <x v="49"/>
    <x v="6"/>
    <x v="1"/>
  </r>
  <r>
    <x v="667"/>
    <x v="1"/>
    <x v="2"/>
    <x v="5"/>
    <x v="9"/>
    <x v="1143"/>
    <x v="1151"/>
    <x v="3"/>
    <x v="0"/>
    <x v="2"/>
    <x v="5"/>
    <x v="1153"/>
    <x v="4"/>
    <x v="3"/>
    <x v="0"/>
    <x v="1153"/>
    <x v="1076"/>
    <x v="1024"/>
    <x v="667"/>
    <x v="650"/>
    <x v="3"/>
    <x v="2"/>
  </r>
  <r>
    <x v="565"/>
    <x v="6"/>
    <x v="1"/>
    <x v="2"/>
    <x v="3"/>
    <x v="1144"/>
    <x v="1152"/>
    <x v="2"/>
    <x v="0"/>
    <x v="3"/>
    <x v="3"/>
    <x v="1154"/>
    <x v="4"/>
    <x v="3"/>
    <x v="0"/>
    <x v="1154"/>
    <x v="1077"/>
    <x v="1025"/>
    <x v="565"/>
    <x v="16"/>
    <x v="2"/>
    <x v="1"/>
  </r>
  <r>
    <x v="668"/>
    <x v="0"/>
    <x v="2"/>
    <x v="6"/>
    <x v="19"/>
    <x v="1145"/>
    <x v="1153"/>
    <x v="0"/>
    <x v="0"/>
    <x v="1"/>
    <x v="4"/>
    <x v="1155"/>
    <x v="1"/>
    <x v="2"/>
    <x v="0"/>
    <x v="1155"/>
    <x v="1078"/>
    <x v="1026"/>
    <x v="668"/>
    <x v="651"/>
    <x v="0"/>
    <x v="2"/>
  </r>
  <r>
    <x v="300"/>
    <x v="3"/>
    <x v="3"/>
    <x v="6"/>
    <x v="14"/>
    <x v="1146"/>
    <x v="1154"/>
    <x v="0"/>
    <x v="0"/>
    <x v="3"/>
    <x v="3"/>
    <x v="1156"/>
    <x v="1"/>
    <x v="3"/>
    <x v="0"/>
    <x v="1156"/>
    <x v="1079"/>
    <x v="1027"/>
    <x v="300"/>
    <x v="295"/>
    <x v="8"/>
    <x v="3"/>
  </r>
  <r>
    <x v="459"/>
    <x v="0"/>
    <x v="4"/>
    <x v="6"/>
    <x v="4"/>
    <x v="1147"/>
    <x v="1155"/>
    <x v="2"/>
    <x v="0"/>
    <x v="3"/>
    <x v="2"/>
    <x v="1157"/>
    <x v="0"/>
    <x v="1"/>
    <x v="0"/>
    <x v="1157"/>
    <x v="1080"/>
    <x v="1028"/>
    <x v="459"/>
    <x v="485"/>
    <x v="2"/>
    <x v="4"/>
  </r>
  <r>
    <x v="148"/>
    <x v="3"/>
    <x v="2"/>
    <x v="3"/>
    <x v="3"/>
    <x v="1148"/>
    <x v="1156"/>
    <x v="2"/>
    <x v="0"/>
    <x v="1"/>
    <x v="0"/>
    <x v="1158"/>
    <x v="1"/>
    <x v="2"/>
    <x v="0"/>
    <x v="1158"/>
    <x v="1081"/>
    <x v="1029"/>
    <x v="148"/>
    <x v="652"/>
    <x v="8"/>
    <x v="2"/>
  </r>
  <r>
    <x v="363"/>
    <x v="10"/>
    <x v="2"/>
    <x v="4"/>
    <x v="5"/>
    <x v="1149"/>
    <x v="1157"/>
    <x v="0"/>
    <x v="1"/>
    <x v="1"/>
    <x v="0"/>
    <x v="1159"/>
    <x v="4"/>
    <x v="2"/>
    <x v="1"/>
    <x v="1159"/>
    <x v="1082"/>
    <x v="465"/>
    <x v="363"/>
    <x v="653"/>
    <x v="7"/>
    <x v="2"/>
  </r>
  <r>
    <x v="481"/>
    <x v="4"/>
    <x v="3"/>
    <x v="6"/>
    <x v="11"/>
    <x v="1150"/>
    <x v="1158"/>
    <x v="3"/>
    <x v="1"/>
    <x v="1"/>
    <x v="1"/>
    <x v="1160"/>
    <x v="0"/>
    <x v="0"/>
    <x v="0"/>
    <x v="1160"/>
    <x v="1083"/>
    <x v="1030"/>
    <x v="481"/>
    <x v="654"/>
    <x v="0"/>
    <x v="3"/>
  </r>
  <r>
    <x v="669"/>
    <x v="10"/>
    <x v="3"/>
    <x v="2"/>
    <x v="0"/>
    <x v="1151"/>
    <x v="1159"/>
    <x v="0"/>
    <x v="0"/>
    <x v="2"/>
    <x v="2"/>
    <x v="1161"/>
    <x v="2"/>
    <x v="1"/>
    <x v="1"/>
    <x v="1161"/>
    <x v="1084"/>
    <x v="1031"/>
    <x v="669"/>
    <x v="655"/>
    <x v="2"/>
    <x v="3"/>
  </r>
  <r>
    <x v="198"/>
    <x v="5"/>
    <x v="4"/>
    <x v="1"/>
    <x v="13"/>
    <x v="1152"/>
    <x v="1160"/>
    <x v="2"/>
    <x v="1"/>
    <x v="1"/>
    <x v="2"/>
    <x v="1162"/>
    <x v="1"/>
    <x v="3"/>
    <x v="0"/>
    <x v="1162"/>
    <x v="1085"/>
    <x v="1032"/>
    <x v="198"/>
    <x v="440"/>
    <x v="4"/>
    <x v="4"/>
  </r>
  <r>
    <x v="576"/>
    <x v="4"/>
    <x v="1"/>
    <x v="2"/>
    <x v="13"/>
    <x v="1153"/>
    <x v="1161"/>
    <x v="1"/>
    <x v="1"/>
    <x v="1"/>
    <x v="2"/>
    <x v="1163"/>
    <x v="3"/>
    <x v="0"/>
    <x v="0"/>
    <x v="1163"/>
    <x v="1086"/>
    <x v="1033"/>
    <x v="576"/>
    <x v="656"/>
    <x v="5"/>
    <x v="1"/>
  </r>
  <r>
    <x v="88"/>
    <x v="6"/>
    <x v="4"/>
    <x v="0"/>
    <x v="2"/>
    <x v="1154"/>
    <x v="1162"/>
    <x v="0"/>
    <x v="0"/>
    <x v="3"/>
    <x v="4"/>
    <x v="1164"/>
    <x v="3"/>
    <x v="3"/>
    <x v="0"/>
    <x v="1164"/>
    <x v="1087"/>
    <x v="509"/>
    <x v="88"/>
    <x v="300"/>
    <x v="7"/>
    <x v="4"/>
  </r>
  <r>
    <x v="544"/>
    <x v="5"/>
    <x v="2"/>
    <x v="6"/>
    <x v="6"/>
    <x v="1155"/>
    <x v="1163"/>
    <x v="3"/>
    <x v="1"/>
    <x v="1"/>
    <x v="5"/>
    <x v="1165"/>
    <x v="2"/>
    <x v="3"/>
    <x v="1"/>
    <x v="1165"/>
    <x v="152"/>
    <x v="236"/>
    <x v="544"/>
    <x v="657"/>
    <x v="0"/>
    <x v="2"/>
  </r>
  <r>
    <x v="25"/>
    <x v="5"/>
    <x v="4"/>
    <x v="3"/>
    <x v="11"/>
    <x v="1156"/>
    <x v="1164"/>
    <x v="2"/>
    <x v="0"/>
    <x v="0"/>
    <x v="5"/>
    <x v="1166"/>
    <x v="3"/>
    <x v="1"/>
    <x v="0"/>
    <x v="1166"/>
    <x v="1088"/>
    <x v="1034"/>
    <x v="25"/>
    <x v="658"/>
    <x v="1"/>
    <x v="4"/>
  </r>
  <r>
    <x v="601"/>
    <x v="6"/>
    <x v="1"/>
    <x v="1"/>
    <x v="17"/>
    <x v="1157"/>
    <x v="1165"/>
    <x v="0"/>
    <x v="1"/>
    <x v="3"/>
    <x v="0"/>
    <x v="1167"/>
    <x v="3"/>
    <x v="2"/>
    <x v="0"/>
    <x v="1167"/>
    <x v="1089"/>
    <x v="1035"/>
    <x v="601"/>
    <x v="195"/>
    <x v="0"/>
    <x v="1"/>
  </r>
  <r>
    <x v="649"/>
    <x v="10"/>
    <x v="4"/>
    <x v="6"/>
    <x v="9"/>
    <x v="1158"/>
    <x v="1166"/>
    <x v="2"/>
    <x v="0"/>
    <x v="2"/>
    <x v="0"/>
    <x v="1168"/>
    <x v="1"/>
    <x v="2"/>
    <x v="1"/>
    <x v="1168"/>
    <x v="1090"/>
    <x v="1036"/>
    <x v="649"/>
    <x v="266"/>
    <x v="8"/>
    <x v="4"/>
  </r>
  <r>
    <x v="394"/>
    <x v="7"/>
    <x v="1"/>
    <x v="0"/>
    <x v="9"/>
    <x v="1159"/>
    <x v="1167"/>
    <x v="1"/>
    <x v="0"/>
    <x v="1"/>
    <x v="3"/>
    <x v="1169"/>
    <x v="0"/>
    <x v="2"/>
    <x v="1"/>
    <x v="1169"/>
    <x v="1091"/>
    <x v="251"/>
    <x v="394"/>
    <x v="289"/>
    <x v="3"/>
    <x v="1"/>
  </r>
  <r>
    <x v="615"/>
    <x v="6"/>
    <x v="4"/>
    <x v="5"/>
    <x v="10"/>
    <x v="1160"/>
    <x v="1168"/>
    <x v="0"/>
    <x v="1"/>
    <x v="3"/>
    <x v="1"/>
    <x v="1170"/>
    <x v="3"/>
    <x v="1"/>
    <x v="1"/>
    <x v="1170"/>
    <x v="1092"/>
    <x v="1037"/>
    <x v="615"/>
    <x v="67"/>
    <x v="5"/>
    <x v="4"/>
  </r>
  <r>
    <x v="169"/>
    <x v="0"/>
    <x v="0"/>
    <x v="5"/>
    <x v="4"/>
    <x v="1161"/>
    <x v="1169"/>
    <x v="1"/>
    <x v="1"/>
    <x v="2"/>
    <x v="5"/>
    <x v="1171"/>
    <x v="4"/>
    <x v="1"/>
    <x v="0"/>
    <x v="1171"/>
    <x v="1093"/>
    <x v="341"/>
    <x v="169"/>
    <x v="659"/>
    <x v="2"/>
    <x v="0"/>
  </r>
  <r>
    <x v="266"/>
    <x v="7"/>
    <x v="4"/>
    <x v="5"/>
    <x v="11"/>
    <x v="1162"/>
    <x v="1170"/>
    <x v="0"/>
    <x v="0"/>
    <x v="3"/>
    <x v="5"/>
    <x v="1172"/>
    <x v="0"/>
    <x v="2"/>
    <x v="0"/>
    <x v="1172"/>
    <x v="1094"/>
    <x v="400"/>
    <x v="266"/>
    <x v="660"/>
    <x v="8"/>
    <x v="4"/>
  </r>
  <r>
    <x v="69"/>
    <x v="6"/>
    <x v="2"/>
    <x v="1"/>
    <x v="3"/>
    <x v="1163"/>
    <x v="1171"/>
    <x v="1"/>
    <x v="0"/>
    <x v="2"/>
    <x v="2"/>
    <x v="1173"/>
    <x v="4"/>
    <x v="0"/>
    <x v="0"/>
    <x v="1173"/>
    <x v="1095"/>
    <x v="1038"/>
    <x v="69"/>
    <x v="474"/>
    <x v="5"/>
    <x v="2"/>
  </r>
  <r>
    <x v="670"/>
    <x v="11"/>
    <x v="4"/>
    <x v="5"/>
    <x v="17"/>
    <x v="1164"/>
    <x v="1172"/>
    <x v="3"/>
    <x v="1"/>
    <x v="2"/>
    <x v="2"/>
    <x v="1174"/>
    <x v="0"/>
    <x v="2"/>
    <x v="0"/>
    <x v="1174"/>
    <x v="1096"/>
    <x v="1039"/>
    <x v="670"/>
    <x v="661"/>
    <x v="0"/>
    <x v="4"/>
  </r>
  <r>
    <x v="671"/>
    <x v="1"/>
    <x v="0"/>
    <x v="5"/>
    <x v="8"/>
    <x v="1165"/>
    <x v="1173"/>
    <x v="0"/>
    <x v="0"/>
    <x v="0"/>
    <x v="1"/>
    <x v="1175"/>
    <x v="0"/>
    <x v="2"/>
    <x v="0"/>
    <x v="1175"/>
    <x v="1097"/>
    <x v="1040"/>
    <x v="671"/>
    <x v="662"/>
    <x v="5"/>
    <x v="0"/>
  </r>
  <r>
    <x v="672"/>
    <x v="0"/>
    <x v="0"/>
    <x v="6"/>
    <x v="2"/>
    <x v="808"/>
    <x v="1174"/>
    <x v="1"/>
    <x v="0"/>
    <x v="0"/>
    <x v="5"/>
    <x v="1176"/>
    <x v="2"/>
    <x v="2"/>
    <x v="0"/>
    <x v="1176"/>
    <x v="1098"/>
    <x v="1041"/>
    <x v="672"/>
    <x v="663"/>
    <x v="7"/>
    <x v="0"/>
  </r>
  <r>
    <x v="288"/>
    <x v="11"/>
    <x v="3"/>
    <x v="6"/>
    <x v="1"/>
    <x v="1166"/>
    <x v="1175"/>
    <x v="2"/>
    <x v="0"/>
    <x v="2"/>
    <x v="1"/>
    <x v="1177"/>
    <x v="4"/>
    <x v="1"/>
    <x v="0"/>
    <x v="1177"/>
    <x v="1099"/>
    <x v="1042"/>
    <x v="288"/>
    <x v="242"/>
    <x v="5"/>
    <x v="3"/>
  </r>
  <r>
    <x v="673"/>
    <x v="10"/>
    <x v="0"/>
    <x v="0"/>
    <x v="2"/>
    <x v="1167"/>
    <x v="1176"/>
    <x v="1"/>
    <x v="0"/>
    <x v="0"/>
    <x v="3"/>
    <x v="1178"/>
    <x v="1"/>
    <x v="1"/>
    <x v="0"/>
    <x v="1178"/>
    <x v="1100"/>
    <x v="218"/>
    <x v="673"/>
    <x v="183"/>
    <x v="0"/>
    <x v="0"/>
  </r>
  <r>
    <x v="504"/>
    <x v="6"/>
    <x v="4"/>
    <x v="1"/>
    <x v="15"/>
    <x v="1168"/>
    <x v="1177"/>
    <x v="1"/>
    <x v="0"/>
    <x v="1"/>
    <x v="4"/>
    <x v="1179"/>
    <x v="3"/>
    <x v="0"/>
    <x v="0"/>
    <x v="1179"/>
    <x v="1101"/>
    <x v="1043"/>
    <x v="504"/>
    <x v="664"/>
    <x v="0"/>
    <x v="4"/>
  </r>
  <r>
    <x v="88"/>
    <x v="6"/>
    <x v="3"/>
    <x v="2"/>
    <x v="2"/>
    <x v="1169"/>
    <x v="1178"/>
    <x v="2"/>
    <x v="0"/>
    <x v="1"/>
    <x v="0"/>
    <x v="1180"/>
    <x v="4"/>
    <x v="1"/>
    <x v="0"/>
    <x v="1180"/>
    <x v="1102"/>
    <x v="1044"/>
    <x v="88"/>
    <x v="616"/>
    <x v="4"/>
    <x v="3"/>
  </r>
  <r>
    <x v="130"/>
    <x v="0"/>
    <x v="1"/>
    <x v="3"/>
    <x v="10"/>
    <x v="1170"/>
    <x v="1179"/>
    <x v="0"/>
    <x v="1"/>
    <x v="3"/>
    <x v="2"/>
    <x v="1181"/>
    <x v="1"/>
    <x v="0"/>
    <x v="0"/>
    <x v="1181"/>
    <x v="1103"/>
    <x v="958"/>
    <x v="130"/>
    <x v="665"/>
    <x v="3"/>
    <x v="1"/>
  </r>
  <r>
    <x v="674"/>
    <x v="4"/>
    <x v="2"/>
    <x v="3"/>
    <x v="6"/>
    <x v="1171"/>
    <x v="1180"/>
    <x v="2"/>
    <x v="0"/>
    <x v="3"/>
    <x v="4"/>
    <x v="1182"/>
    <x v="1"/>
    <x v="3"/>
    <x v="0"/>
    <x v="1182"/>
    <x v="1104"/>
    <x v="1045"/>
    <x v="674"/>
    <x v="51"/>
    <x v="5"/>
    <x v="2"/>
  </r>
  <r>
    <x v="675"/>
    <x v="4"/>
    <x v="0"/>
    <x v="1"/>
    <x v="9"/>
    <x v="1172"/>
    <x v="1181"/>
    <x v="1"/>
    <x v="0"/>
    <x v="1"/>
    <x v="4"/>
    <x v="1183"/>
    <x v="1"/>
    <x v="2"/>
    <x v="1"/>
    <x v="1183"/>
    <x v="1105"/>
    <x v="1046"/>
    <x v="675"/>
    <x v="245"/>
    <x v="7"/>
    <x v="0"/>
  </r>
  <r>
    <x v="150"/>
    <x v="4"/>
    <x v="4"/>
    <x v="0"/>
    <x v="3"/>
    <x v="1173"/>
    <x v="1182"/>
    <x v="1"/>
    <x v="0"/>
    <x v="0"/>
    <x v="5"/>
    <x v="1184"/>
    <x v="3"/>
    <x v="2"/>
    <x v="0"/>
    <x v="1184"/>
    <x v="1106"/>
    <x v="667"/>
    <x v="150"/>
    <x v="448"/>
    <x v="1"/>
    <x v="4"/>
  </r>
  <r>
    <x v="294"/>
    <x v="10"/>
    <x v="1"/>
    <x v="2"/>
    <x v="3"/>
    <x v="1174"/>
    <x v="1183"/>
    <x v="2"/>
    <x v="1"/>
    <x v="0"/>
    <x v="0"/>
    <x v="1185"/>
    <x v="3"/>
    <x v="0"/>
    <x v="0"/>
    <x v="1185"/>
    <x v="1107"/>
    <x v="1047"/>
    <x v="294"/>
    <x v="666"/>
    <x v="2"/>
    <x v="1"/>
  </r>
  <r>
    <x v="120"/>
    <x v="2"/>
    <x v="2"/>
    <x v="2"/>
    <x v="16"/>
    <x v="1175"/>
    <x v="1184"/>
    <x v="1"/>
    <x v="0"/>
    <x v="2"/>
    <x v="0"/>
    <x v="1186"/>
    <x v="4"/>
    <x v="2"/>
    <x v="1"/>
    <x v="1186"/>
    <x v="1108"/>
    <x v="1048"/>
    <x v="120"/>
    <x v="667"/>
    <x v="1"/>
    <x v="2"/>
  </r>
  <r>
    <x v="479"/>
    <x v="1"/>
    <x v="1"/>
    <x v="0"/>
    <x v="4"/>
    <x v="1176"/>
    <x v="1185"/>
    <x v="3"/>
    <x v="0"/>
    <x v="3"/>
    <x v="4"/>
    <x v="1187"/>
    <x v="2"/>
    <x v="2"/>
    <x v="1"/>
    <x v="1187"/>
    <x v="1109"/>
    <x v="760"/>
    <x v="479"/>
    <x v="364"/>
    <x v="0"/>
    <x v="1"/>
  </r>
  <r>
    <x v="676"/>
    <x v="5"/>
    <x v="1"/>
    <x v="1"/>
    <x v="14"/>
    <x v="1177"/>
    <x v="1186"/>
    <x v="1"/>
    <x v="1"/>
    <x v="3"/>
    <x v="5"/>
    <x v="1188"/>
    <x v="2"/>
    <x v="0"/>
    <x v="1"/>
    <x v="1188"/>
    <x v="1110"/>
    <x v="1049"/>
    <x v="676"/>
    <x v="197"/>
    <x v="2"/>
    <x v="1"/>
  </r>
  <r>
    <x v="504"/>
    <x v="6"/>
    <x v="3"/>
    <x v="5"/>
    <x v="9"/>
    <x v="1178"/>
    <x v="1187"/>
    <x v="3"/>
    <x v="0"/>
    <x v="2"/>
    <x v="5"/>
    <x v="1189"/>
    <x v="2"/>
    <x v="1"/>
    <x v="1"/>
    <x v="1189"/>
    <x v="87"/>
    <x v="1050"/>
    <x v="504"/>
    <x v="124"/>
    <x v="3"/>
    <x v="3"/>
  </r>
  <r>
    <x v="419"/>
    <x v="7"/>
    <x v="2"/>
    <x v="1"/>
    <x v="1"/>
    <x v="1179"/>
    <x v="1188"/>
    <x v="3"/>
    <x v="0"/>
    <x v="0"/>
    <x v="3"/>
    <x v="1190"/>
    <x v="1"/>
    <x v="0"/>
    <x v="0"/>
    <x v="1190"/>
    <x v="1111"/>
    <x v="532"/>
    <x v="419"/>
    <x v="198"/>
    <x v="4"/>
    <x v="2"/>
  </r>
  <r>
    <x v="411"/>
    <x v="4"/>
    <x v="2"/>
    <x v="5"/>
    <x v="15"/>
    <x v="1180"/>
    <x v="1189"/>
    <x v="0"/>
    <x v="1"/>
    <x v="3"/>
    <x v="2"/>
    <x v="1191"/>
    <x v="0"/>
    <x v="0"/>
    <x v="0"/>
    <x v="1191"/>
    <x v="1112"/>
    <x v="1051"/>
    <x v="411"/>
    <x v="408"/>
    <x v="8"/>
    <x v="2"/>
  </r>
  <r>
    <x v="172"/>
    <x v="8"/>
    <x v="4"/>
    <x v="0"/>
    <x v="7"/>
    <x v="1181"/>
    <x v="1190"/>
    <x v="0"/>
    <x v="0"/>
    <x v="3"/>
    <x v="4"/>
    <x v="1192"/>
    <x v="2"/>
    <x v="3"/>
    <x v="0"/>
    <x v="1192"/>
    <x v="1113"/>
    <x v="1052"/>
    <x v="172"/>
    <x v="611"/>
    <x v="0"/>
    <x v="4"/>
  </r>
  <r>
    <x v="677"/>
    <x v="5"/>
    <x v="2"/>
    <x v="1"/>
    <x v="13"/>
    <x v="1182"/>
    <x v="1191"/>
    <x v="1"/>
    <x v="1"/>
    <x v="3"/>
    <x v="3"/>
    <x v="1193"/>
    <x v="0"/>
    <x v="3"/>
    <x v="0"/>
    <x v="1193"/>
    <x v="1114"/>
    <x v="1053"/>
    <x v="677"/>
    <x v="436"/>
    <x v="3"/>
    <x v="2"/>
  </r>
  <r>
    <x v="471"/>
    <x v="11"/>
    <x v="0"/>
    <x v="2"/>
    <x v="4"/>
    <x v="1183"/>
    <x v="1192"/>
    <x v="3"/>
    <x v="0"/>
    <x v="1"/>
    <x v="3"/>
    <x v="1194"/>
    <x v="4"/>
    <x v="0"/>
    <x v="0"/>
    <x v="1194"/>
    <x v="107"/>
    <x v="1054"/>
    <x v="471"/>
    <x v="353"/>
    <x v="6"/>
    <x v="0"/>
  </r>
  <r>
    <x v="242"/>
    <x v="11"/>
    <x v="2"/>
    <x v="1"/>
    <x v="8"/>
    <x v="1184"/>
    <x v="1193"/>
    <x v="2"/>
    <x v="1"/>
    <x v="2"/>
    <x v="2"/>
    <x v="1195"/>
    <x v="4"/>
    <x v="1"/>
    <x v="0"/>
    <x v="1195"/>
    <x v="1115"/>
    <x v="1055"/>
    <x v="242"/>
    <x v="237"/>
    <x v="8"/>
    <x v="2"/>
  </r>
  <r>
    <x v="265"/>
    <x v="9"/>
    <x v="2"/>
    <x v="6"/>
    <x v="18"/>
    <x v="1185"/>
    <x v="1194"/>
    <x v="0"/>
    <x v="0"/>
    <x v="2"/>
    <x v="3"/>
    <x v="1196"/>
    <x v="0"/>
    <x v="3"/>
    <x v="0"/>
    <x v="1196"/>
    <x v="209"/>
    <x v="1056"/>
    <x v="265"/>
    <x v="252"/>
    <x v="8"/>
    <x v="2"/>
  </r>
  <r>
    <x v="678"/>
    <x v="3"/>
    <x v="2"/>
    <x v="4"/>
    <x v="17"/>
    <x v="1186"/>
    <x v="1195"/>
    <x v="2"/>
    <x v="0"/>
    <x v="2"/>
    <x v="5"/>
    <x v="1197"/>
    <x v="2"/>
    <x v="0"/>
    <x v="0"/>
    <x v="1197"/>
    <x v="1116"/>
    <x v="1057"/>
    <x v="678"/>
    <x v="278"/>
    <x v="6"/>
    <x v="2"/>
  </r>
  <r>
    <x v="306"/>
    <x v="6"/>
    <x v="4"/>
    <x v="6"/>
    <x v="12"/>
    <x v="1187"/>
    <x v="1196"/>
    <x v="0"/>
    <x v="0"/>
    <x v="1"/>
    <x v="0"/>
    <x v="1198"/>
    <x v="4"/>
    <x v="2"/>
    <x v="0"/>
    <x v="1198"/>
    <x v="1117"/>
    <x v="1058"/>
    <x v="306"/>
    <x v="668"/>
    <x v="3"/>
    <x v="4"/>
  </r>
  <r>
    <x v="198"/>
    <x v="5"/>
    <x v="0"/>
    <x v="1"/>
    <x v="16"/>
    <x v="1188"/>
    <x v="1197"/>
    <x v="1"/>
    <x v="1"/>
    <x v="1"/>
    <x v="3"/>
    <x v="1199"/>
    <x v="3"/>
    <x v="1"/>
    <x v="0"/>
    <x v="1199"/>
    <x v="1118"/>
    <x v="206"/>
    <x v="198"/>
    <x v="504"/>
    <x v="3"/>
    <x v="0"/>
  </r>
  <r>
    <x v="127"/>
    <x v="6"/>
    <x v="3"/>
    <x v="3"/>
    <x v="12"/>
    <x v="1189"/>
    <x v="1198"/>
    <x v="3"/>
    <x v="1"/>
    <x v="2"/>
    <x v="0"/>
    <x v="1200"/>
    <x v="1"/>
    <x v="2"/>
    <x v="1"/>
    <x v="1200"/>
    <x v="1119"/>
    <x v="1059"/>
    <x v="127"/>
    <x v="337"/>
    <x v="3"/>
    <x v="3"/>
  </r>
  <r>
    <x v="253"/>
    <x v="6"/>
    <x v="2"/>
    <x v="1"/>
    <x v="17"/>
    <x v="1190"/>
    <x v="1199"/>
    <x v="2"/>
    <x v="1"/>
    <x v="3"/>
    <x v="0"/>
    <x v="1201"/>
    <x v="1"/>
    <x v="1"/>
    <x v="0"/>
    <x v="1201"/>
    <x v="1120"/>
    <x v="1035"/>
    <x v="253"/>
    <x v="249"/>
    <x v="0"/>
    <x v="2"/>
  </r>
  <r>
    <x v="227"/>
    <x v="1"/>
    <x v="3"/>
    <x v="0"/>
    <x v="11"/>
    <x v="1191"/>
    <x v="1200"/>
    <x v="1"/>
    <x v="0"/>
    <x v="2"/>
    <x v="2"/>
    <x v="1202"/>
    <x v="3"/>
    <x v="0"/>
    <x v="0"/>
    <x v="1202"/>
    <x v="1121"/>
    <x v="1060"/>
    <x v="227"/>
    <x v="1"/>
    <x v="3"/>
    <x v="3"/>
  </r>
  <r>
    <x v="428"/>
    <x v="4"/>
    <x v="4"/>
    <x v="5"/>
    <x v="9"/>
    <x v="1192"/>
    <x v="1201"/>
    <x v="3"/>
    <x v="1"/>
    <x v="2"/>
    <x v="0"/>
    <x v="1203"/>
    <x v="0"/>
    <x v="0"/>
    <x v="0"/>
    <x v="1203"/>
    <x v="1122"/>
    <x v="1061"/>
    <x v="428"/>
    <x v="669"/>
    <x v="4"/>
    <x v="4"/>
  </r>
  <r>
    <x v="679"/>
    <x v="4"/>
    <x v="3"/>
    <x v="4"/>
    <x v="16"/>
    <x v="1193"/>
    <x v="1202"/>
    <x v="0"/>
    <x v="0"/>
    <x v="3"/>
    <x v="0"/>
    <x v="1204"/>
    <x v="2"/>
    <x v="1"/>
    <x v="1"/>
    <x v="1204"/>
    <x v="1123"/>
    <x v="677"/>
    <x v="679"/>
    <x v="207"/>
    <x v="7"/>
    <x v="3"/>
  </r>
  <r>
    <x v="592"/>
    <x v="4"/>
    <x v="1"/>
    <x v="6"/>
    <x v="0"/>
    <x v="1194"/>
    <x v="1203"/>
    <x v="0"/>
    <x v="0"/>
    <x v="0"/>
    <x v="0"/>
    <x v="1205"/>
    <x v="4"/>
    <x v="1"/>
    <x v="0"/>
    <x v="1205"/>
    <x v="1124"/>
    <x v="1062"/>
    <x v="592"/>
    <x v="569"/>
    <x v="0"/>
    <x v="1"/>
  </r>
  <r>
    <x v="270"/>
    <x v="10"/>
    <x v="2"/>
    <x v="0"/>
    <x v="18"/>
    <x v="1195"/>
    <x v="1204"/>
    <x v="3"/>
    <x v="0"/>
    <x v="3"/>
    <x v="4"/>
    <x v="1206"/>
    <x v="1"/>
    <x v="1"/>
    <x v="0"/>
    <x v="1206"/>
    <x v="1125"/>
    <x v="1063"/>
    <x v="270"/>
    <x v="266"/>
    <x v="3"/>
    <x v="2"/>
  </r>
  <r>
    <x v="30"/>
    <x v="0"/>
    <x v="2"/>
    <x v="1"/>
    <x v="10"/>
    <x v="1196"/>
    <x v="1205"/>
    <x v="3"/>
    <x v="0"/>
    <x v="2"/>
    <x v="4"/>
    <x v="1207"/>
    <x v="2"/>
    <x v="2"/>
    <x v="0"/>
    <x v="1207"/>
    <x v="1126"/>
    <x v="1064"/>
    <x v="30"/>
    <x v="663"/>
    <x v="2"/>
    <x v="2"/>
  </r>
  <r>
    <x v="70"/>
    <x v="0"/>
    <x v="3"/>
    <x v="2"/>
    <x v="2"/>
    <x v="1197"/>
    <x v="1206"/>
    <x v="3"/>
    <x v="0"/>
    <x v="2"/>
    <x v="1"/>
    <x v="1208"/>
    <x v="4"/>
    <x v="0"/>
    <x v="0"/>
    <x v="1208"/>
    <x v="1127"/>
    <x v="569"/>
    <x v="70"/>
    <x v="68"/>
    <x v="2"/>
    <x v="3"/>
  </r>
  <r>
    <x v="545"/>
    <x v="3"/>
    <x v="0"/>
    <x v="6"/>
    <x v="2"/>
    <x v="1198"/>
    <x v="1207"/>
    <x v="2"/>
    <x v="0"/>
    <x v="1"/>
    <x v="3"/>
    <x v="1209"/>
    <x v="4"/>
    <x v="0"/>
    <x v="0"/>
    <x v="1209"/>
    <x v="1128"/>
    <x v="603"/>
    <x v="545"/>
    <x v="350"/>
    <x v="8"/>
    <x v="0"/>
  </r>
  <r>
    <x v="566"/>
    <x v="3"/>
    <x v="1"/>
    <x v="0"/>
    <x v="1"/>
    <x v="1199"/>
    <x v="1208"/>
    <x v="1"/>
    <x v="0"/>
    <x v="2"/>
    <x v="3"/>
    <x v="1210"/>
    <x v="0"/>
    <x v="3"/>
    <x v="0"/>
    <x v="1210"/>
    <x v="1129"/>
    <x v="1065"/>
    <x v="566"/>
    <x v="190"/>
    <x v="7"/>
    <x v="1"/>
  </r>
  <r>
    <x v="168"/>
    <x v="9"/>
    <x v="1"/>
    <x v="3"/>
    <x v="2"/>
    <x v="1200"/>
    <x v="1209"/>
    <x v="2"/>
    <x v="0"/>
    <x v="3"/>
    <x v="5"/>
    <x v="1211"/>
    <x v="1"/>
    <x v="3"/>
    <x v="0"/>
    <x v="1211"/>
    <x v="1130"/>
    <x v="1066"/>
    <x v="168"/>
    <x v="170"/>
    <x v="7"/>
    <x v="1"/>
  </r>
  <r>
    <x v="680"/>
    <x v="7"/>
    <x v="4"/>
    <x v="6"/>
    <x v="2"/>
    <x v="1201"/>
    <x v="1210"/>
    <x v="2"/>
    <x v="0"/>
    <x v="2"/>
    <x v="3"/>
    <x v="1212"/>
    <x v="0"/>
    <x v="3"/>
    <x v="0"/>
    <x v="1212"/>
    <x v="1131"/>
    <x v="1067"/>
    <x v="680"/>
    <x v="202"/>
    <x v="4"/>
    <x v="4"/>
  </r>
  <r>
    <x v="151"/>
    <x v="0"/>
    <x v="4"/>
    <x v="2"/>
    <x v="3"/>
    <x v="1202"/>
    <x v="1211"/>
    <x v="0"/>
    <x v="1"/>
    <x v="0"/>
    <x v="2"/>
    <x v="1213"/>
    <x v="0"/>
    <x v="0"/>
    <x v="1"/>
    <x v="1213"/>
    <x v="1132"/>
    <x v="1068"/>
    <x v="151"/>
    <x v="301"/>
    <x v="7"/>
    <x v="4"/>
  </r>
  <r>
    <x v="681"/>
    <x v="9"/>
    <x v="0"/>
    <x v="3"/>
    <x v="0"/>
    <x v="1203"/>
    <x v="1212"/>
    <x v="2"/>
    <x v="0"/>
    <x v="2"/>
    <x v="3"/>
    <x v="1214"/>
    <x v="0"/>
    <x v="0"/>
    <x v="1"/>
    <x v="1214"/>
    <x v="1133"/>
    <x v="1069"/>
    <x v="681"/>
    <x v="219"/>
    <x v="8"/>
    <x v="0"/>
  </r>
  <r>
    <x v="261"/>
    <x v="3"/>
    <x v="2"/>
    <x v="0"/>
    <x v="3"/>
    <x v="1204"/>
    <x v="1213"/>
    <x v="3"/>
    <x v="0"/>
    <x v="0"/>
    <x v="3"/>
    <x v="1215"/>
    <x v="0"/>
    <x v="0"/>
    <x v="1"/>
    <x v="1215"/>
    <x v="1134"/>
    <x v="1070"/>
    <x v="261"/>
    <x v="670"/>
    <x v="2"/>
    <x v="2"/>
  </r>
  <r>
    <x v="562"/>
    <x v="10"/>
    <x v="1"/>
    <x v="0"/>
    <x v="10"/>
    <x v="1205"/>
    <x v="1214"/>
    <x v="1"/>
    <x v="1"/>
    <x v="2"/>
    <x v="5"/>
    <x v="1216"/>
    <x v="1"/>
    <x v="0"/>
    <x v="1"/>
    <x v="1216"/>
    <x v="1135"/>
    <x v="12"/>
    <x v="562"/>
    <x v="109"/>
    <x v="1"/>
    <x v="1"/>
  </r>
  <r>
    <x v="193"/>
    <x v="0"/>
    <x v="1"/>
    <x v="3"/>
    <x v="16"/>
    <x v="1206"/>
    <x v="1215"/>
    <x v="1"/>
    <x v="0"/>
    <x v="0"/>
    <x v="1"/>
    <x v="1217"/>
    <x v="4"/>
    <x v="0"/>
    <x v="0"/>
    <x v="1217"/>
    <x v="1136"/>
    <x v="188"/>
    <x v="193"/>
    <x v="60"/>
    <x v="8"/>
    <x v="1"/>
  </r>
  <r>
    <x v="682"/>
    <x v="9"/>
    <x v="2"/>
    <x v="4"/>
    <x v="7"/>
    <x v="1207"/>
    <x v="1216"/>
    <x v="3"/>
    <x v="0"/>
    <x v="3"/>
    <x v="2"/>
    <x v="1218"/>
    <x v="1"/>
    <x v="3"/>
    <x v="0"/>
    <x v="1218"/>
    <x v="1137"/>
    <x v="1071"/>
    <x v="682"/>
    <x v="280"/>
    <x v="3"/>
    <x v="2"/>
  </r>
  <r>
    <x v="12"/>
    <x v="8"/>
    <x v="2"/>
    <x v="4"/>
    <x v="17"/>
    <x v="1208"/>
    <x v="1217"/>
    <x v="3"/>
    <x v="0"/>
    <x v="2"/>
    <x v="5"/>
    <x v="1219"/>
    <x v="0"/>
    <x v="3"/>
    <x v="0"/>
    <x v="1219"/>
    <x v="1138"/>
    <x v="1072"/>
    <x v="12"/>
    <x v="12"/>
    <x v="3"/>
    <x v="2"/>
  </r>
  <r>
    <x v="271"/>
    <x v="7"/>
    <x v="3"/>
    <x v="1"/>
    <x v="16"/>
    <x v="1209"/>
    <x v="1218"/>
    <x v="2"/>
    <x v="1"/>
    <x v="1"/>
    <x v="3"/>
    <x v="1220"/>
    <x v="0"/>
    <x v="2"/>
    <x v="0"/>
    <x v="1220"/>
    <x v="1139"/>
    <x v="1073"/>
    <x v="271"/>
    <x v="671"/>
    <x v="2"/>
    <x v="3"/>
  </r>
  <r>
    <x v="307"/>
    <x v="0"/>
    <x v="2"/>
    <x v="1"/>
    <x v="19"/>
    <x v="1210"/>
    <x v="1219"/>
    <x v="0"/>
    <x v="0"/>
    <x v="3"/>
    <x v="5"/>
    <x v="1221"/>
    <x v="3"/>
    <x v="1"/>
    <x v="0"/>
    <x v="1221"/>
    <x v="1140"/>
    <x v="1074"/>
    <x v="307"/>
    <x v="509"/>
    <x v="0"/>
    <x v="2"/>
  </r>
  <r>
    <x v="261"/>
    <x v="3"/>
    <x v="0"/>
    <x v="4"/>
    <x v="0"/>
    <x v="1211"/>
    <x v="1220"/>
    <x v="1"/>
    <x v="1"/>
    <x v="1"/>
    <x v="0"/>
    <x v="1222"/>
    <x v="4"/>
    <x v="1"/>
    <x v="0"/>
    <x v="1222"/>
    <x v="1141"/>
    <x v="1075"/>
    <x v="261"/>
    <x v="395"/>
    <x v="8"/>
    <x v="0"/>
  </r>
  <r>
    <x v="90"/>
    <x v="5"/>
    <x v="3"/>
    <x v="1"/>
    <x v="14"/>
    <x v="1212"/>
    <x v="1221"/>
    <x v="3"/>
    <x v="0"/>
    <x v="0"/>
    <x v="1"/>
    <x v="1223"/>
    <x v="2"/>
    <x v="2"/>
    <x v="0"/>
    <x v="1223"/>
    <x v="1142"/>
    <x v="255"/>
    <x v="90"/>
    <x v="561"/>
    <x v="2"/>
    <x v="3"/>
  </r>
  <r>
    <x v="532"/>
    <x v="8"/>
    <x v="0"/>
    <x v="4"/>
    <x v="16"/>
    <x v="1213"/>
    <x v="1222"/>
    <x v="0"/>
    <x v="0"/>
    <x v="3"/>
    <x v="5"/>
    <x v="1224"/>
    <x v="4"/>
    <x v="2"/>
    <x v="0"/>
    <x v="1224"/>
    <x v="1143"/>
    <x v="578"/>
    <x v="532"/>
    <x v="174"/>
    <x v="1"/>
    <x v="0"/>
  </r>
  <r>
    <x v="532"/>
    <x v="8"/>
    <x v="0"/>
    <x v="5"/>
    <x v="6"/>
    <x v="1214"/>
    <x v="1223"/>
    <x v="1"/>
    <x v="0"/>
    <x v="2"/>
    <x v="3"/>
    <x v="1225"/>
    <x v="1"/>
    <x v="2"/>
    <x v="0"/>
    <x v="1225"/>
    <x v="1144"/>
    <x v="1076"/>
    <x v="532"/>
    <x v="611"/>
    <x v="5"/>
    <x v="0"/>
  </r>
  <r>
    <x v="74"/>
    <x v="8"/>
    <x v="2"/>
    <x v="4"/>
    <x v="12"/>
    <x v="723"/>
    <x v="1224"/>
    <x v="1"/>
    <x v="1"/>
    <x v="2"/>
    <x v="4"/>
    <x v="1226"/>
    <x v="3"/>
    <x v="2"/>
    <x v="0"/>
    <x v="1226"/>
    <x v="1145"/>
    <x v="1077"/>
    <x v="74"/>
    <x v="625"/>
    <x v="7"/>
    <x v="2"/>
  </r>
  <r>
    <x v="89"/>
    <x v="6"/>
    <x v="4"/>
    <x v="2"/>
    <x v="15"/>
    <x v="1215"/>
    <x v="1225"/>
    <x v="0"/>
    <x v="1"/>
    <x v="3"/>
    <x v="1"/>
    <x v="1227"/>
    <x v="1"/>
    <x v="3"/>
    <x v="0"/>
    <x v="1227"/>
    <x v="1146"/>
    <x v="1078"/>
    <x v="89"/>
    <x v="292"/>
    <x v="8"/>
    <x v="4"/>
  </r>
  <r>
    <x v="0"/>
    <x v="0"/>
    <x v="3"/>
    <x v="2"/>
    <x v="18"/>
    <x v="1216"/>
    <x v="1226"/>
    <x v="2"/>
    <x v="0"/>
    <x v="1"/>
    <x v="2"/>
    <x v="1228"/>
    <x v="2"/>
    <x v="3"/>
    <x v="0"/>
    <x v="1228"/>
    <x v="1147"/>
    <x v="1079"/>
    <x v="0"/>
    <x v="672"/>
    <x v="4"/>
    <x v="3"/>
  </r>
  <r>
    <x v="6"/>
    <x v="4"/>
    <x v="0"/>
    <x v="4"/>
    <x v="14"/>
    <x v="1217"/>
    <x v="1227"/>
    <x v="3"/>
    <x v="1"/>
    <x v="0"/>
    <x v="5"/>
    <x v="1229"/>
    <x v="0"/>
    <x v="0"/>
    <x v="0"/>
    <x v="1229"/>
    <x v="1148"/>
    <x v="1080"/>
    <x v="6"/>
    <x v="245"/>
    <x v="1"/>
    <x v="0"/>
  </r>
  <r>
    <x v="683"/>
    <x v="7"/>
    <x v="4"/>
    <x v="5"/>
    <x v="4"/>
    <x v="1218"/>
    <x v="1228"/>
    <x v="1"/>
    <x v="0"/>
    <x v="0"/>
    <x v="3"/>
    <x v="1230"/>
    <x v="1"/>
    <x v="2"/>
    <x v="0"/>
    <x v="1230"/>
    <x v="1149"/>
    <x v="1081"/>
    <x v="683"/>
    <x v="589"/>
    <x v="0"/>
    <x v="4"/>
  </r>
  <r>
    <x v="542"/>
    <x v="6"/>
    <x v="3"/>
    <x v="4"/>
    <x v="9"/>
    <x v="1219"/>
    <x v="1229"/>
    <x v="2"/>
    <x v="1"/>
    <x v="3"/>
    <x v="4"/>
    <x v="1231"/>
    <x v="1"/>
    <x v="2"/>
    <x v="1"/>
    <x v="1231"/>
    <x v="1150"/>
    <x v="1082"/>
    <x v="542"/>
    <x v="67"/>
    <x v="2"/>
    <x v="3"/>
  </r>
  <r>
    <x v="263"/>
    <x v="5"/>
    <x v="1"/>
    <x v="3"/>
    <x v="19"/>
    <x v="1220"/>
    <x v="1230"/>
    <x v="1"/>
    <x v="0"/>
    <x v="0"/>
    <x v="5"/>
    <x v="1232"/>
    <x v="4"/>
    <x v="1"/>
    <x v="0"/>
    <x v="1232"/>
    <x v="1151"/>
    <x v="1083"/>
    <x v="263"/>
    <x v="553"/>
    <x v="0"/>
    <x v="1"/>
  </r>
  <r>
    <x v="677"/>
    <x v="5"/>
    <x v="4"/>
    <x v="6"/>
    <x v="3"/>
    <x v="1221"/>
    <x v="1231"/>
    <x v="3"/>
    <x v="0"/>
    <x v="0"/>
    <x v="3"/>
    <x v="1233"/>
    <x v="1"/>
    <x v="0"/>
    <x v="1"/>
    <x v="1233"/>
    <x v="1152"/>
    <x v="76"/>
    <x v="677"/>
    <x v="584"/>
    <x v="1"/>
    <x v="4"/>
  </r>
  <r>
    <x v="684"/>
    <x v="7"/>
    <x v="4"/>
    <x v="4"/>
    <x v="7"/>
    <x v="1222"/>
    <x v="1232"/>
    <x v="0"/>
    <x v="0"/>
    <x v="3"/>
    <x v="1"/>
    <x v="1234"/>
    <x v="0"/>
    <x v="3"/>
    <x v="0"/>
    <x v="1234"/>
    <x v="1153"/>
    <x v="559"/>
    <x v="684"/>
    <x v="673"/>
    <x v="8"/>
    <x v="4"/>
  </r>
  <r>
    <x v="5"/>
    <x v="0"/>
    <x v="1"/>
    <x v="1"/>
    <x v="1"/>
    <x v="1223"/>
    <x v="1233"/>
    <x v="3"/>
    <x v="1"/>
    <x v="2"/>
    <x v="1"/>
    <x v="1235"/>
    <x v="2"/>
    <x v="2"/>
    <x v="0"/>
    <x v="1235"/>
    <x v="1154"/>
    <x v="1084"/>
    <x v="5"/>
    <x v="60"/>
    <x v="6"/>
    <x v="1"/>
  </r>
  <r>
    <x v="685"/>
    <x v="4"/>
    <x v="4"/>
    <x v="3"/>
    <x v="7"/>
    <x v="1224"/>
    <x v="1234"/>
    <x v="0"/>
    <x v="1"/>
    <x v="2"/>
    <x v="2"/>
    <x v="1236"/>
    <x v="2"/>
    <x v="3"/>
    <x v="0"/>
    <x v="1236"/>
    <x v="1155"/>
    <x v="1085"/>
    <x v="685"/>
    <x v="579"/>
    <x v="1"/>
    <x v="4"/>
  </r>
  <r>
    <x v="551"/>
    <x v="2"/>
    <x v="1"/>
    <x v="4"/>
    <x v="3"/>
    <x v="1225"/>
    <x v="1235"/>
    <x v="0"/>
    <x v="0"/>
    <x v="0"/>
    <x v="1"/>
    <x v="1237"/>
    <x v="3"/>
    <x v="3"/>
    <x v="0"/>
    <x v="1237"/>
    <x v="1156"/>
    <x v="1086"/>
    <x v="551"/>
    <x v="560"/>
    <x v="5"/>
    <x v="1"/>
  </r>
  <r>
    <x v="590"/>
    <x v="4"/>
    <x v="1"/>
    <x v="3"/>
    <x v="4"/>
    <x v="1226"/>
    <x v="1236"/>
    <x v="1"/>
    <x v="1"/>
    <x v="2"/>
    <x v="0"/>
    <x v="1238"/>
    <x v="0"/>
    <x v="2"/>
    <x v="0"/>
    <x v="1238"/>
    <x v="1157"/>
    <x v="1087"/>
    <x v="590"/>
    <x v="448"/>
    <x v="0"/>
    <x v="1"/>
  </r>
  <r>
    <x v="410"/>
    <x v="3"/>
    <x v="2"/>
    <x v="4"/>
    <x v="4"/>
    <x v="1227"/>
    <x v="1237"/>
    <x v="3"/>
    <x v="1"/>
    <x v="3"/>
    <x v="1"/>
    <x v="1239"/>
    <x v="3"/>
    <x v="2"/>
    <x v="0"/>
    <x v="1239"/>
    <x v="47"/>
    <x v="1088"/>
    <x v="410"/>
    <x v="398"/>
    <x v="2"/>
    <x v="2"/>
  </r>
  <r>
    <x v="83"/>
    <x v="2"/>
    <x v="0"/>
    <x v="1"/>
    <x v="10"/>
    <x v="1228"/>
    <x v="1238"/>
    <x v="0"/>
    <x v="0"/>
    <x v="1"/>
    <x v="4"/>
    <x v="1240"/>
    <x v="1"/>
    <x v="0"/>
    <x v="0"/>
    <x v="1240"/>
    <x v="1158"/>
    <x v="621"/>
    <x v="83"/>
    <x v="77"/>
    <x v="4"/>
    <x v="0"/>
  </r>
  <r>
    <x v="83"/>
    <x v="2"/>
    <x v="0"/>
    <x v="3"/>
    <x v="4"/>
    <x v="1229"/>
    <x v="1239"/>
    <x v="1"/>
    <x v="1"/>
    <x v="0"/>
    <x v="1"/>
    <x v="1241"/>
    <x v="4"/>
    <x v="3"/>
    <x v="1"/>
    <x v="1241"/>
    <x v="1159"/>
    <x v="1089"/>
    <x v="83"/>
    <x v="674"/>
    <x v="8"/>
    <x v="0"/>
  </r>
  <r>
    <x v="509"/>
    <x v="6"/>
    <x v="0"/>
    <x v="6"/>
    <x v="10"/>
    <x v="1230"/>
    <x v="1240"/>
    <x v="0"/>
    <x v="0"/>
    <x v="3"/>
    <x v="5"/>
    <x v="1242"/>
    <x v="4"/>
    <x v="2"/>
    <x v="1"/>
    <x v="1242"/>
    <x v="1160"/>
    <x v="1090"/>
    <x v="509"/>
    <x v="675"/>
    <x v="7"/>
    <x v="0"/>
  </r>
  <r>
    <x v="686"/>
    <x v="5"/>
    <x v="1"/>
    <x v="5"/>
    <x v="12"/>
    <x v="1231"/>
    <x v="1241"/>
    <x v="0"/>
    <x v="1"/>
    <x v="3"/>
    <x v="1"/>
    <x v="1243"/>
    <x v="2"/>
    <x v="1"/>
    <x v="0"/>
    <x v="1243"/>
    <x v="883"/>
    <x v="1091"/>
    <x v="686"/>
    <x v="613"/>
    <x v="7"/>
    <x v="1"/>
  </r>
  <r>
    <x v="687"/>
    <x v="6"/>
    <x v="2"/>
    <x v="5"/>
    <x v="6"/>
    <x v="1232"/>
    <x v="1242"/>
    <x v="2"/>
    <x v="1"/>
    <x v="1"/>
    <x v="0"/>
    <x v="1244"/>
    <x v="1"/>
    <x v="1"/>
    <x v="0"/>
    <x v="1244"/>
    <x v="1161"/>
    <x v="1092"/>
    <x v="687"/>
    <x v="166"/>
    <x v="8"/>
    <x v="2"/>
  </r>
  <r>
    <x v="367"/>
    <x v="11"/>
    <x v="4"/>
    <x v="1"/>
    <x v="7"/>
    <x v="1233"/>
    <x v="1243"/>
    <x v="1"/>
    <x v="1"/>
    <x v="3"/>
    <x v="1"/>
    <x v="1245"/>
    <x v="4"/>
    <x v="1"/>
    <x v="1"/>
    <x v="1245"/>
    <x v="1162"/>
    <x v="1093"/>
    <x v="367"/>
    <x v="304"/>
    <x v="7"/>
    <x v="4"/>
  </r>
  <r>
    <x v="662"/>
    <x v="2"/>
    <x v="2"/>
    <x v="2"/>
    <x v="19"/>
    <x v="1234"/>
    <x v="1244"/>
    <x v="0"/>
    <x v="1"/>
    <x v="3"/>
    <x v="5"/>
    <x v="1246"/>
    <x v="3"/>
    <x v="3"/>
    <x v="0"/>
    <x v="1246"/>
    <x v="1163"/>
    <x v="1094"/>
    <x v="662"/>
    <x v="346"/>
    <x v="1"/>
    <x v="2"/>
  </r>
  <r>
    <x v="156"/>
    <x v="8"/>
    <x v="0"/>
    <x v="4"/>
    <x v="16"/>
    <x v="1235"/>
    <x v="1245"/>
    <x v="1"/>
    <x v="0"/>
    <x v="1"/>
    <x v="2"/>
    <x v="1247"/>
    <x v="2"/>
    <x v="0"/>
    <x v="0"/>
    <x v="1247"/>
    <x v="1164"/>
    <x v="1095"/>
    <x v="156"/>
    <x v="586"/>
    <x v="2"/>
    <x v="0"/>
  </r>
  <r>
    <x v="614"/>
    <x v="4"/>
    <x v="2"/>
    <x v="5"/>
    <x v="19"/>
    <x v="1236"/>
    <x v="1246"/>
    <x v="2"/>
    <x v="1"/>
    <x v="3"/>
    <x v="3"/>
    <x v="1248"/>
    <x v="4"/>
    <x v="3"/>
    <x v="0"/>
    <x v="1248"/>
    <x v="1165"/>
    <x v="1096"/>
    <x v="614"/>
    <x v="676"/>
    <x v="5"/>
    <x v="2"/>
  </r>
  <r>
    <x v="168"/>
    <x v="9"/>
    <x v="0"/>
    <x v="0"/>
    <x v="17"/>
    <x v="1237"/>
    <x v="1247"/>
    <x v="0"/>
    <x v="1"/>
    <x v="0"/>
    <x v="5"/>
    <x v="1249"/>
    <x v="4"/>
    <x v="0"/>
    <x v="0"/>
    <x v="1249"/>
    <x v="664"/>
    <x v="1097"/>
    <x v="168"/>
    <x v="165"/>
    <x v="3"/>
    <x v="0"/>
  </r>
  <r>
    <x v="403"/>
    <x v="3"/>
    <x v="3"/>
    <x v="6"/>
    <x v="2"/>
    <x v="1238"/>
    <x v="1248"/>
    <x v="2"/>
    <x v="1"/>
    <x v="2"/>
    <x v="0"/>
    <x v="1250"/>
    <x v="4"/>
    <x v="2"/>
    <x v="0"/>
    <x v="1250"/>
    <x v="1166"/>
    <x v="288"/>
    <x v="403"/>
    <x v="277"/>
    <x v="4"/>
    <x v="3"/>
  </r>
  <r>
    <x v="585"/>
    <x v="4"/>
    <x v="2"/>
    <x v="3"/>
    <x v="2"/>
    <x v="1239"/>
    <x v="1249"/>
    <x v="3"/>
    <x v="0"/>
    <x v="3"/>
    <x v="2"/>
    <x v="1251"/>
    <x v="0"/>
    <x v="1"/>
    <x v="0"/>
    <x v="1251"/>
    <x v="1167"/>
    <x v="1098"/>
    <x v="585"/>
    <x v="367"/>
    <x v="6"/>
    <x v="2"/>
  </r>
  <r>
    <x v="688"/>
    <x v="2"/>
    <x v="2"/>
    <x v="2"/>
    <x v="14"/>
    <x v="1240"/>
    <x v="1250"/>
    <x v="3"/>
    <x v="0"/>
    <x v="3"/>
    <x v="2"/>
    <x v="1252"/>
    <x v="0"/>
    <x v="3"/>
    <x v="0"/>
    <x v="1252"/>
    <x v="1168"/>
    <x v="176"/>
    <x v="688"/>
    <x v="677"/>
    <x v="5"/>
    <x v="2"/>
  </r>
  <r>
    <x v="689"/>
    <x v="4"/>
    <x v="2"/>
    <x v="6"/>
    <x v="9"/>
    <x v="1241"/>
    <x v="1251"/>
    <x v="1"/>
    <x v="0"/>
    <x v="2"/>
    <x v="0"/>
    <x v="1253"/>
    <x v="0"/>
    <x v="1"/>
    <x v="0"/>
    <x v="1253"/>
    <x v="1169"/>
    <x v="1099"/>
    <x v="689"/>
    <x v="458"/>
    <x v="5"/>
    <x v="2"/>
  </r>
  <r>
    <x v="5"/>
    <x v="0"/>
    <x v="0"/>
    <x v="1"/>
    <x v="15"/>
    <x v="1242"/>
    <x v="1252"/>
    <x v="0"/>
    <x v="1"/>
    <x v="0"/>
    <x v="4"/>
    <x v="1254"/>
    <x v="3"/>
    <x v="1"/>
    <x v="0"/>
    <x v="1254"/>
    <x v="1170"/>
    <x v="1100"/>
    <x v="5"/>
    <x v="5"/>
    <x v="3"/>
    <x v="0"/>
  </r>
  <r>
    <x v="442"/>
    <x v="1"/>
    <x v="2"/>
    <x v="4"/>
    <x v="4"/>
    <x v="1243"/>
    <x v="1253"/>
    <x v="1"/>
    <x v="0"/>
    <x v="2"/>
    <x v="1"/>
    <x v="1255"/>
    <x v="0"/>
    <x v="1"/>
    <x v="1"/>
    <x v="1255"/>
    <x v="401"/>
    <x v="1101"/>
    <x v="442"/>
    <x v="678"/>
    <x v="1"/>
    <x v="2"/>
  </r>
  <r>
    <x v="334"/>
    <x v="6"/>
    <x v="2"/>
    <x v="6"/>
    <x v="10"/>
    <x v="1244"/>
    <x v="1254"/>
    <x v="2"/>
    <x v="1"/>
    <x v="1"/>
    <x v="5"/>
    <x v="1256"/>
    <x v="0"/>
    <x v="0"/>
    <x v="0"/>
    <x v="1256"/>
    <x v="1171"/>
    <x v="1102"/>
    <x v="334"/>
    <x v="520"/>
    <x v="8"/>
    <x v="2"/>
  </r>
  <r>
    <x v="277"/>
    <x v="11"/>
    <x v="2"/>
    <x v="3"/>
    <x v="6"/>
    <x v="1245"/>
    <x v="1255"/>
    <x v="2"/>
    <x v="0"/>
    <x v="2"/>
    <x v="1"/>
    <x v="1257"/>
    <x v="4"/>
    <x v="1"/>
    <x v="0"/>
    <x v="1257"/>
    <x v="1172"/>
    <x v="1103"/>
    <x v="277"/>
    <x v="679"/>
    <x v="1"/>
    <x v="2"/>
  </r>
  <r>
    <x v="78"/>
    <x v="4"/>
    <x v="0"/>
    <x v="5"/>
    <x v="18"/>
    <x v="1246"/>
    <x v="1256"/>
    <x v="0"/>
    <x v="0"/>
    <x v="0"/>
    <x v="0"/>
    <x v="1258"/>
    <x v="2"/>
    <x v="0"/>
    <x v="1"/>
    <x v="1258"/>
    <x v="1173"/>
    <x v="747"/>
    <x v="78"/>
    <x v="448"/>
    <x v="3"/>
    <x v="0"/>
  </r>
  <r>
    <x v="658"/>
    <x v="0"/>
    <x v="1"/>
    <x v="6"/>
    <x v="12"/>
    <x v="1223"/>
    <x v="1257"/>
    <x v="2"/>
    <x v="1"/>
    <x v="1"/>
    <x v="4"/>
    <x v="1259"/>
    <x v="1"/>
    <x v="0"/>
    <x v="1"/>
    <x v="1259"/>
    <x v="40"/>
    <x v="1104"/>
    <x v="658"/>
    <x v="680"/>
    <x v="3"/>
    <x v="1"/>
  </r>
  <r>
    <x v="155"/>
    <x v="6"/>
    <x v="1"/>
    <x v="6"/>
    <x v="7"/>
    <x v="1247"/>
    <x v="1258"/>
    <x v="3"/>
    <x v="0"/>
    <x v="0"/>
    <x v="3"/>
    <x v="1260"/>
    <x v="4"/>
    <x v="1"/>
    <x v="0"/>
    <x v="1260"/>
    <x v="1174"/>
    <x v="1105"/>
    <x v="155"/>
    <x v="681"/>
    <x v="5"/>
    <x v="1"/>
  </r>
  <r>
    <x v="690"/>
    <x v="6"/>
    <x v="3"/>
    <x v="5"/>
    <x v="1"/>
    <x v="1248"/>
    <x v="1259"/>
    <x v="3"/>
    <x v="1"/>
    <x v="3"/>
    <x v="2"/>
    <x v="1261"/>
    <x v="0"/>
    <x v="1"/>
    <x v="0"/>
    <x v="1261"/>
    <x v="1175"/>
    <x v="1106"/>
    <x v="690"/>
    <x v="137"/>
    <x v="1"/>
    <x v="3"/>
  </r>
  <r>
    <x v="691"/>
    <x v="8"/>
    <x v="0"/>
    <x v="1"/>
    <x v="17"/>
    <x v="1249"/>
    <x v="1260"/>
    <x v="3"/>
    <x v="1"/>
    <x v="3"/>
    <x v="3"/>
    <x v="1262"/>
    <x v="1"/>
    <x v="2"/>
    <x v="0"/>
    <x v="1262"/>
    <x v="1176"/>
    <x v="1107"/>
    <x v="691"/>
    <x v="163"/>
    <x v="0"/>
    <x v="0"/>
  </r>
  <r>
    <x v="689"/>
    <x v="4"/>
    <x v="2"/>
    <x v="0"/>
    <x v="19"/>
    <x v="1250"/>
    <x v="1261"/>
    <x v="3"/>
    <x v="1"/>
    <x v="1"/>
    <x v="4"/>
    <x v="1263"/>
    <x v="4"/>
    <x v="1"/>
    <x v="0"/>
    <x v="1263"/>
    <x v="1177"/>
    <x v="1108"/>
    <x v="689"/>
    <x v="458"/>
    <x v="5"/>
    <x v="2"/>
  </r>
  <r>
    <x v="58"/>
    <x v="6"/>
    <x v="0"/>
    <x v="1"/>
    <x v="5"/>
    <x v="1251"/>
    <x v="1262"/>
    <x v="3"/>
    <x v="1"/>
    <x v="3"/>
    <x v="5"/>
    <x v="1264"/>
    <x v="3"/>
    <x v="0"/>
    <x v="1"/>
    <x v="1264"/>
    <x v="1178"/>
    <x v="1109"/>
    <x v="58"/>
    <x v="682"/>
    <x v="6"/>
    <x v="0"/>
  </r>
  <r>
    <x v="136"/>
    <x v="6"/>
    <x v="3"/>
    <x v="4"/>
    <x v="7"/>
    <x v="1252"/>
    <x v="1263"/>
    <x v="3"/>
    <x v="1"/>
    <x v="1"/>
    <x v="2"/>
    <x v="1265"/>
    <x v="1"/>
    <x v="3"/>
    <x v="0"/>
    <x v="1265"/>
    <x v="1179"/>
    <x v="1110"/>
    <x v="136"/>
    <x v="401"/>
    <x v="7"/>
    <x v="3"/>
  </r>
  <r>
    <x v="91"/>
    <x v="7"/>
    <x v="3"/>
    <x v="0"/>
    <x v="11"/>
    <x v="1253"/>
    <x v="1264"/>
    <x v="0"/>
    <x v="1"/>
    <x v="1"/>
    <x v="5"/>
    <x v="1266"/>
    <x v="1"/>
    <x v="1"/>
    <x v="0"/>
    <x v="1266"/>
    <x v="1180"/>
    <x v="141"/>
    <x v="91"/>
    <x v="622"/>
    <x v="8"/>
    <x v="3"/>
  </r>
  <r>
    <x v="401"/>
    <x v="7"/>
    <x v="4"/>
    <x v="3"/>
    <x v="8"/>
    <x v="1254"/>
    <x v="1265"/>
    <x v="2"/>
    <x v="1"/>
    <x v="3"/>
    <x v="5"/>
    <x v="1267"/>
    <x v="0"/>
    <x v="2"/>
    <x v="0"/>
    <x v="1267"/>
    <x v="1181"/>
    <x v="713"/>
    <x v="401"/>
    <x v="365"/>
    <x v="1"/>
    <x v="4"/>
  </r>
  <r>
    <x v="664"/>
    <x v="0"/>
    <x v="1"/>
    <x v="1"/>
    <x v="1"/>
    <x v="1255"/>
    <x v="1266"/>
    <x v="2"/>
    <x v="0"/>
    <x v="2"/>
    <x v="0"/>
    <x v="1268"/>
    <x v="3"/>
    <x v="2"/>
    <x v="0"/>
    <x v="1268"/>
    <x v="1182"/>
    <x v="1111"/>
    <x v="664"/>
    <x v="148"/>
    <x v="0"/>
    <x v="1"/>
  </r>
  <r>
    <x v="616"/>
    <x v="0"/>
    <x v="4"/>
    <x v="0"/>
    <x v="1"/>
    <x v="1256"/>
    <x v="1267"/>
    <x v="3"/>
    <x v="0"/>
    <x v="1"/>
    <x v="0"/>
    <x v="1269"/>
    <x v="2"/>
    <x v="1"/>
    <x v="0"/>
    <x v="1269"/>
    <x v="1183"/>
    <x v="1112"/>
    <x v="616"/>
    <x v="236"/>
    <x v="8"/>
    <x v="4"/>
  </r>
  <r>
    <x v="247"/>
    <x v="11"/>
    <x v="4"/>
    <x v="1"/>
    <x v="10"/>
    <x v="1257"/>
    <x v="1268"/>
    <x v="0"/>
    <x v="0"/>
    <x v="0"/>
    <x v="2"/>
    <x v="1270"/>
    <x v="2"/>
    <x v="3"/>
    <x v="0"/>
    <x v="1270"/>
    <x v="1184"/>
    <x v="1113"/>
    <x v="247"/>
    <x v="552"/>
    <x v="4"/>
    <x v="4"/>
  </r>
  <r>
    <x v="692"/>
    <x v="0"/>
    <x v="3"/>
    <x v="5"/>
    <x v="2"/>
    <x v="1258"/>
    <x v="1269"/>
    <x v="0"/>
    <x v="1"/>
    <x v="0"/>
    <x v="2"/>
    <x v="1271"/>
    <x v="4"/>
    <x v="2"/>
    <x v="0"/>
    <x v="1271"/>
    <x v="1185"/>
    <x v="1114"/>
    <x v="692"/>
    <x v="143"/>
    <x v="4"/>
    <x v="3"/>
  </r>
  <r>
    <x v="681"/>
    <x v="9"/>
    <x v="2"/>
    <x v="4"/>
    <x v="0"/>
    <x v="1259"/>
    <x v="1270"/>
    <x v="3"/>
    <x v="0"/>
    <x v="2"/>
    <x v="4"/>
    <x v="1272"/>
    <x v="2"/>
    <x v="1"/>
    <x v="0"/>
    <x v="1272"/>
    <x v="1186"/>
    <x v="1115"/>
    <x v="681"/>
    <x v="402"/>
    <x v="3"/>
    <x v="2"/>
  </r>
  <r>
    <x v="671"/>
    <x v="1"/>
    <x v="2"/>
    <x v="0"/>
    <x v="2"/>
    <x v="1260"/>
    <x v="1271"/>
    <x v="3"/>
    <x v="1"/>
    <x v="0"/>
    <x v="2"/>
    <x v="1273"/>
    <x v="4"/>
    <x v="1"/>
    <x v="0"/>
    <x v="1273"/>
    <x v="1187"/>
    <x v="1116"/>
    <x v="671"/>
    <x v="501"/>
    <x v="2"/>
    <x v="2"/>
  </r>
  <r>
    <x v="569"/>
    <x v="11"/>
    <x v="4"/>
    <x v="5"/>
    <x v="8"/>
    <x v="1261"/>
    <x v="1272"/>
    <x v="1"/>
    <x v="1"/>
    <x v="1"/>
    <x v="0"/>
    <x v="1274"/>
    <x v="1"/>
    <x v="2"/>
    <x v="0"/>
    <x v="1274"/>
    <x v="1188"/>
    <x v="1117"/>
    <x v="569"/>
    <x v="552"/>
    <x v="8"/>
    <x v="4"/>
  </r>
  <r>
    <x v="588"/>
    <x v="10"/>
    <x v="4"/>
    <x v="6"/>
    <x v="8"/>
    <x v="1262"/>
    <x v="1273"/>
    <x v="2"/>
    <x v="1"/>
    <x v="0"/>
    <x v="2"/>
    <x v="1275"/>
    <x v="3"/>
    <x v="1"/>
    <x v="0"/>
    <x v="1275"/>
    <x v="1189"/>
    <x v="479"/>
    <x v="588"/>
    <x v="109"/>
    <x v="3"/>
    <x v="4"/>
  </r>
  <r>
    <x v="463"/>
    <x v="4"/>
    <x v="3"/>
    <x v="5"/>
    <x v="10"/>
    <x v="1263"/>
    <x v="1274"/>
    <x v="2"/>
    <x v="1"/>
    <x v="2"/>
    <x v="3"/>
    <x v="1276"/>
    <x v="2"/>
    <x v="1"/>
    <x v="0"/>
    <x v="1276"/>
    <x v="1190"/>
    <x v="722"/>
    <x v="463"/>
    <x v="145"/>
    <x v="4"/>
    <x v="3"/>
  </r>
  <r>
    <x v="693"/>
    <x v="2"/>
    <x v="3"/>
    <x v="1"/>
    <x v="15"/>
    <x v="1264"/>
    <x v="1275"/>
    <x v="3"/>
    <x v="0"/>
    <x v="0"/>
    <x v="4"/>
    <x v="1277"/>
    <x v="1"/>
    <x v="2"/>
    <x v="0"/>
    <x v="1277"/>
    <x v="1191"/>
    <x v="1118"/>
    <x v="693"/>
    <x v="683"/>
    <x v="0"/>
    <x v="3"/>
  </r>
  <r>
    <x v="146"/>
    <x v="1"/>
    <x v="4"/>
    <x v="4"/>
    <x v="4"/>
    <x v="1265"/>
    <x v="1276"/>
    <x v="3"/>
    <x v="1"/>
    <x v="3"/>
    <x v="0"/>
    <x v="1278"/>
    <x v="2"/>
    <x v="3"/>
    <x v="0"/>
    <x v="1278"/>
    <x v="1192"/>
    <x v="1119"/>
    <x v="146"/>
    <x v="457"/>
    <x v="6"/>
    <x v="4"/>
  </r>
  <r>
    <x v="328"/>
    <x v="11"/>
    <x v="0"/>
    <x v="0"/>
    <x v="0"/>
    <x v="1266"/>
    <x v="1277"/>
    <x v="0"/>
    <x v="0"/>
    <x v="0"/>
    <x v="2"/>
    <x v="1279"/>
    <x v="1"/>
    <x v="0"/>
    <x v="0"/>
    <x v="1279"/>
    <x v="1193"/>
    <x v="987"/>
    <x v="328"/>
    <x v="684"/>
    <x v="0"/>
    <x v="0"/>
  </r>
  <r>
    <x v="393"/>
    <x v="7"/>
    <x v="3"/>
    <x v="3"/>
    <x v="17"/>
    <x v="1267"/>
    <x v="1278"/>
    <x v="3"/>
    <x v="1"/>
    <x v="2"/>
    <x v="0"/>
    <x v="1280"/>
    <x v="2"/>
    <x v="0"/>
    <x v="0"/>
    <x v="1280"/>
    <x v="1194"/>
    <x v="1120"/>
    <x v="393"/>
    <x v="385"/>
    <x v="8"/>
    <x v="3"/>
  </r>
  <r>
    <x v="238"/>
    <x v="8"/>
    <x v="0"/>
    <x v="2"/>
    <x v="7"/>
    <x v="1268"/>
    <x v="1279"/>
    <x v="3"/>
    <x v="0"/>
    <x v="2"/>
    <x v="4"/>
    <x v="1281"/>
    <x v="0"/>
    <x v="1"/>
    <x v="0"/>
    <x v="1281"/>
    <x v="1195"/>
    <x v="1121"/>
    <x v="238"/>
    <x v="12"/>
    <x v="8"/>
    <x v="0"/>
  </r>
  <r>
    <x v="694"/>
    <x v="9"/>
    <x v="0"/>
    <x v="6"/>
    <x v="10"/>
    <x v="1269"/>
    <x v="1280"/>
    <x v="1"/>
    <x v="1"/>
    <x v="3"/>
    <x v="5"/>
    <x v="1282"/>
    <x v="3"/>
    <x v="1"/>
    <x v="0"/>
    <x v="1282"/>
    <x v="1174"/>
    <x v="1122"/>
    <x v="694"/>
    <x v="685"/>
    <x v="4"/>
    <x v="0"/>
  </r>
  <r>
    <x v="308"/>
    <x v="7"/>
    <x v="3"/>
    <x v="1"/>
    <x v="6"/>
    <x v="1270"/>
    <x v="1281"/>
    <x v="2"/>
    <x v="1"/>
    <x v="3"/>
    <x v="4"/>
    <x v="1283"/>
    <x v="1"/>
    <x v="0"/>
    <x v="0"/>
    <x v="1283"/>
    <x v="1196"/>
    <x v="1123"/>
    <x v="308"/>
    <x v="107"/>
    <x v="4"/>
    <x v="3"/>
  </r>
  <r>
    <x v="181"/>
    <x v="10"/>
    <x v="1"/>
    <x v="3"/>
    <x v="19"/>
    <x v="1271"/>
    <x v="1282"/>
    <x v="2"/>
    <x v="0"/>
    <x v="3"/>
    <x v="1"/>
    <x v="1284"/>
    <x v="4"/>
    <x v="3"/>
    <x v="1"/>
    <x v="1284"/>
    <x v="1197"/>
    <x v="1124"/>
    <x v="181"/>
    <x v="371"/>
    <x v="6"/>
    <x v="1"/>
  </r>
  <r>
    <x v="621"/>
    <x v="1"/>
    <x v="4"/>
    <x v="6"/>
    <x v="9"/>
    <x v="1272"/>
    <x v="1283"/>
    <x v="3"/>
    <x v="0"/>
    <x v="1"/>
    <x v="1"/>
    <x v="1285"/>
    <x v="0"/>
    <x v="0"/>
    <x v="1"/>
    <x v="1285"/>
    <x v="1198"/>
    <x v="1125"/>
    <x v="621"/>
    <x v="686"/>
    <x v="1"/>
    <x v="4"/>
  </r>
  <r>
    <x v="695"/>
    <x v="2"/>
    <x v="4"/>
    <x v="1"/>
    <x v="0"/>
    <x v="1273"/>
    <x v="1284"/>
    <x v="3"/>
    <x v="1"/>
    <x v="3"/>
    <x v="2"/>
    <x v="1286"/>
    <x v="1"/>
    <x v="1"/>
    <x v="0"/>
    <x v="1286"/>
    <x v="1199"/>
    <x v="1126"/>
    <x v="695"/>
    <x v="567"/>
    <x v="7"/>
    <x v="4"/>
  </r>
  <r>
    <x v="506"/>
    <x v="6"/>
    <x v="0"/>
    <x v="3"/>
    <x v="18"/>
    <x v="1274"/>
    <x v="1285"/>
    <x v="3"/>
    <x v="0"/>
    <x v="0"/>
    <x v="5"/>
    <x v="1287"/>
    <x v="3"/>
    <x v="3"/>
    <x v="1"/>
    <x v="1287"/>
    <x v="250"/>
    <x v="1127"/>
    <x v="506"/>
    <x v="9"/>
    <x v="2"/>
    <x v="0"/>
  </r>
  <r>
    <x v="216"/>
    <x v="3"/>
    <x v="0"/>
    <x v="2"/>
    <x v="4"/>
    <x v="1275"/>
    <x v="1286"/>
    <x v="0"/>
    <x v="1"/>
    <x v="0"/>
    <x v="3"/>
    <x v="1288"/>
    <x v="2"/>
    <x v="3"/>
    <x v="0"/>
    <x v="1288"/>
    <x v="1200"/>
    <x v="1128"/>
    <x v="216"/>
    <x v="213"/>
    <x v="1"/>
    <x v="0"/>
  </r>
  <r>
    <x v="460"/>
    <x v="2"/>
    <x v="4"/>
    <x v="3"/>
    <x v="4"/>
    <x v="1276"/>
    <x v="1287"/>
    <x v="0"/>
    <x v="1"/>
    <x v="2"/>
    <x v="1"/>
    <x v="1289"/>
    <x v="0"/>
    <x v="0"/>
    <x v="0"/>
    <x v="1289"/>
    <x v="1201"/>
    <x v="1129"/>
    <x v="460"/>
    <x v="131"/>
    <x v="4"/>
    <x v="4"/>
  </r>
  <r>
    <x v="162"/>
    <x v="0"/>
    <x v="0"/>
    <x v="5"/>
    <x v="15"/>
    <x v="1277"/>
    <x v="1288"/>
    <x v="3"/>
    <x v="0"/>
    <x v="0"/>
    <x v="2"/>
    <x v="1290"/>
    <x v="3"/>
    <x v="3"/>
    <x v="0"/>
    <x v="1290"/>
    <x v="1202"/>
    <x v="1130"/>
    <x v="162"/>
    <x v="162"/>
    <x v="5"/>
    <x v="0"/>
  </r>
  <r>
    <x v="696"/>
    <x v="7"/>
    <x v="3"/>
    <x v="2"/>
    <x v="18"/>
    <x v="1278"/>
    <x v="1289"/>
    <x v="2"/>
    <x v="0"/>
    <x v="1"/>
    <x v="3"/>
    <x v="1291"/>
    <x v="4"/>
    <x v="3"/>
    <x v="0"/>
    <x v="1291"/>
    <x v="1203"/>
    <x v="1131"/>
    <x v="696"/>
    <x v="235"/>
    <x v="1"/>
    <x v="3"/>
  </r>
  <r>
    <x v="404"/>
    <x v="11"/>
    <x v="2"/>
    <x v="5"/>
    <x v="0"/>
    <x v="1279"/>
    <x v="1290"/>
    <x v="0"/>
    <x v="0"/>
    <x v="1"/>
    <x v="4"/>
    <x v="1292"/>
    <x v="3"/>
    <x v="0"/>
    <x v="0"/>
    <x v="1292"/>
    <x v="1204"/>
    <x v="1132"/>
    <x v="404"/>
    <x v="661"/>
    <x v="6"/>
    <x v="2"/>
  </r>
  <r>
    <x v="697"/>
    <x v="9"/>
    <x v="3"/>
    <x v="6"/>
    <x v="14"/>
    <x v="1280"/>
    <x v="1291"/>
    <x v="2"/>
    <x v="1"/>
    <x v="3"/>
    <x v="4"/>
    <x v="1293"/>
    <x v="0"/>
    <x v="3"/>
    <x v="0"/>
    <x v="1293"/>
    <x v="1205"/>
    <x v="543"/>
    <x v="697"/>
    <x v="158"/>
    <x v="7"/>
    <x v="3"/>
  </r>
  <r>
    <x v="682"/>
    <x v="9"/>
    <x v="0"/>
    <x v="3"/>
    <x v="1"/>
    <x v="1281"/>
    <x v="1292"/>
    <x v="2"/>
    <x v="0"/>
    <x v="0"/>
    <x v="3"/>
    <x v="1294"/>
    <x v="4"/>
    <x v="3"/>
    <x v="1"/>
    <x v="1294"/>
    <x v="1206"/>
    <x v="870"/>
    <x v="682"/>
    <x v="687"/>
    <x v="2"/>
    <x v="0"/>
  </r>
  <r>
    <x v="154"/>
    <x v="7"/>
    <x v="4"/>
    <x v="3"/>
    <x v="16"/>
    <x v="1282"/>
    <x v="1293"/>
    <x v="2"/>
    <x v="1"/>
    <x v="0"/>
    <x v="5"/>
    <x v="1295"/>
    <x v="4"/>
    <x v="3"/>
    <x v="1"/>
    <x v="1295"/>
    <x v="1207"/>
    <x v="1133"/>
    <x v="154"/>
    <x v="173"/>
    <x v="3"/>
    <x v="4"/>
  </r>
  <r>
    <x v="560"/>
    <x v="4"/>
    <x v="2"/>
    <x v="6"/>
    <x v="8"/>
    <x v="1283"/>
    <x v="1294"/>
    <x v="1"/>
    <x v="1"/>
    <x v="0"/>
    <x v="1"/>
    <x v="1296"/>
    <x v="4"/>
    <x v="0"/>
    <x v="0"/>
    <x v="1296"/>
    <x v="1208"/>
    <x v="860"/>
    <x v="560"/>
    <x v="486"/>
    <x v="7"/>
    <x v="2"/>
  </r>
  <r>
    <x v="347"/>
    <x v="2"/>
    <x v="1"/>
    <x v="1"/>
    <x v="16"/>
    <x v="1284"/>
    <x v="1295"/>
    <x v="2"/>
    <x v="1"/>
    <x v="3"/>
    <x v="1"/>
    <x v="1297"/>
    <x v="4"/>
    <x v="2"/>
    <x v="1"/>
    <x v="1297"/>
    <x v="1209"/>
    <x v="1134"/>
    <x v="347"/>
    <x v="77"/>
    <x v="7"/>
    <x v="1"/>
  </r>
  <r>
    <x v="698"/>
    <x v="8"/>
    <x v="3"/>
    <x v="0"/>
    <x v="17"/>
    <x v="1285"/>
    <x v="1296"/>
    <x v="1"/>
    <x v="1"/>
    <x v="2"/>
    <x v="1"/>
    <x v="1298"/>
    <x v="0"/>
    <x v="0"/>
    <x v="0"/>
    <x v="1298"/>
    <x v="1210"/>
    <x v="1135"/>
    <x v="698"/>
    <x v="688"/>
    <x v="0"/>
    <x v="3"/>
  </r>
  <r>
    <x v="215"/>
    <x v="1"/>
    <x v="1"/>
    <x v="2"/>
    <x v="13"/>
    <x v="1286"/>
    <x v="1297"/>
    <x v="3"/>
    <x v="1"/>
    <x v="2"/>
    <x v="2"/>
    <x v="1299"/>
    <x v="4"/>
    <x v="0"/>
    <x v="0"/>
    <x v="1299"/>
    <x v="1211"/>
    <x v="1136"/>
    <x v="215"/>
    <x v="212"/>
    <x v="5"/>
    <x v="1"/>
  </r>
  <r>
    <x v="187"/>
    <x v="4"/>
    <x v="0"/>
    <x v="5"/>
    <x v="4"/>
    <x v="1287"/>
    <x v="1298"/>
    <x v="2"/>
    <x v="1"/>
    <x v="0"/>
    <x v="4"/>
    <x v="1300"/>
    <x v="3"/>
    <x v="1"/>
    <x v="0"/>
    <x v="1300"/>
    <x v="519"/>
    <x v="1137"/>
    <x v="187"/>
    <x v="57"/>
    <x v="5"/>
    <x v="0"/>
  </r>
  <r>
    <x v="699"/>
    <x v="6"/>
    <x v="1"/>
    <x v="1"/>
    <x v="4"/>
    <x v="1288"/>
    <x v="1299"/>
    <x v="0"/>
    <x v="0"/>
    <x v="1"/>
    <x v="1"/>
    <x v="1301"/>
    <x v="3"/>
    <x v="3"/>
    <x v="0"/>
    <x v="1301"/>
    <x v="1212"/>
    <x v="1034"/>
    <x v="699"/>
    <x v="414"/>
    <x v="6"/>
    <x v="1"/>
  </r>
  <r>
    <x v="155"/>
    <x v="6"/>
    <x v="3"/>
    <x v="5"/>
    <x v="10"/>
    <x v="1289"/>
    <x v="1300"/>
    <x v="3"/>
    <x v="0"/>
    <x v="0"/>
    <x v="1"/>
    <x v="1302"/>
    <x v="1"/>
    <x v="1"/>
    <x v="0"/>
    <x v="1302"/>
    <x v="551"/>
    <x v="704"/>
    <x v="155"/>
    <x v="296"/>
    <x v="6"/>
    <x v="3"/>
  </r>
  <r>
    <x v="700"/>
    <x v="5"/>
    <x v="1"/>
    <x v="2"/>
    <x v="0"/>
    <x v="1290"/>
    <x v="1301"/>
    <x v="0"/>
    <x v="1"/>
    <x v="1"/>
    <x v="3"/>
    <x v="1303"/>
    <x v="0"/>
    <x v="3"/>
    <x v="1"/>
    <x v="1303"/>
    <x v="1213"/>
    <x v="289"/>
    <x v="700"/>
    <x v="689"/>
    <x v="0"/>
    <x v="1"/>
  </r>
  <r>
    <x v="701"/>
    <x v="11"/>
    <x v="3"/>
    <x v="2"/>
    <x v="3"/>
    <x v="1291"/>
    <x v="1302"/>
    <x v="0"/>
    <x v="1"/>
    <x v="2"/>
    <x v="2"/>
    <x v="1304"/>
    <x v="2"/>
    <x v="0"/>
    <x v="0"/>
    <x v="1304"/>
    <x v="1214"/>
    <x v="1138"/>
    <x v="701"/>
    <x v="363"/>
    <x v="1"/>
    <x v="3"/>
  </r>
  <r>
    <x v="584"/>
    <x v="11"/>
    <x v="2"/>
    <x v="4"/>
    <x v="9"/>
    <x v="1292"/>
    <x v="1303"/>
    <x v="0"/>
    <x v="1"/>
    <x v="0"/>
    <x v="2"/>
    <x v="1305"/>
    <x v="0"/>
    <x v="0"/>
    <x v="0"/>
    <x v="1305"/>
    <x v="1215"/>
    <x v="50"/>
    <x v="584"/>
    <x v="119"/>
    <x v="2"/>
    <x v="2"/>
  </r>
  <r>
    <x v="702"/>
    <x v="1"/>
    <x v="0"/>
    <x v="6"/>
    <x v="7"/>
    <x v="1293"/>
    <x v="1304"/>
    <x v="2"/>
    <x v="1"/>
    <x v="0"/>
    <x v="1"/>
    <x v="1306"/>
    <x v="1"/>
    <x v="1"/>
    <x v="0"/>
    <x v="1306"/>
    <x v="618"/>
    <x v="1139"/>
    <x v="702"/>
    <x v="501"/>
    <x v="4"/>
    <x v="0"/>
  </r>
  <r>
    <x v="145"/>
    <x v="4"/>
    <x v="2"/>
    <x v="2"/>
    <x v="8"/>
    <x v="1294"/>
    <x v="1305"/>
    <x v="2"/>
    <x v="0"/>
    <x v="3"/>
    <x v="0"/>
    <x v="1307"/>
    <x v="3"/>
    <x v="0"/>
    <x v="0"/>
    <x v="1307"/>
    <x v="880"/>
    <x v="1140"/>
    <x v="145"/>
    <x v="110"/>
    <x v="5"/>
    <x v="2"/>
  </r>
  <r>
    <x v="343"/>
    <x v="3"/>
    <x v="0"/>
    <x v="0"/>
    <x v="4"/>
    <x v="1295"/>
    <x v="1306"/>
    <x v="2"/>
    <x v="1"/>
    <x v="1"/>
    <x v="2"/>
    <x v="1308"/>
    <x v="3"/>
    <x v="3"/>
    <x v="0"/>
    <x v="1308"/>
    <x v="1216"/>
    <x v="1141"/>
    <x v="343"/>
    <x v="383"/>
    <x v="3"/>
    <x v="0"/>
  </r>
  <r>
    <x v="430"/>
    <x v="8"/>
    <x v="0"/>
    <x v="3"/>
    <x v="8"/>
    <x v="1296"/>
    <x v="1307"/>
    <x v="1"/>
    <x v="0"/>
    <x v="0"/>
    <x v="4"/>
    <x v="1309"/>
    <x v="2"/>
    <x v="0"/>
    <x v="0"/>
    <x v="1309"/>
    <x v="1217"/>
    <x v="1142"/>
    <x v="430"/>
    <x v="316"/>
    <x v="8"/>
    <x v="0"/>
  </r>
  <r>
    <x v="61"/>
    <x v="6"/>
    <x v="1"/>
    <x v="0"/>
    <x v="10"/>
    <x v="1297"/>
    <x v="1308"/>
    <x v="3"/>
    <x v="1"/>
    <x v="2"/>
    <x v="3"/>
    <x v="1310"/>
    <x v="4"/>
    <x v="0"/>
    <x v="1"/>
    <x v="1310"/>
    <x v="1218"/>
    <x v="1143"/>
    <x v="61"/>
    <x v="290"/>
    <x v="2"/>
    <x v="1"/>
  </r>
  <r>
    <x v="439"/>
    <x v="0"/>
    <x v="1"/>
    <x v="0"/>
    <x v="18"/>
    <x v="1298"/>
    <x v="1309"/>
    <x v="0"/>
    <x v="0"/>
    <x v="2"/>
    <x v="4"/>
    <x v="1311"/>
    <x v="2"/>
    <x v="0"/>
    <x v="1"/>
    <x v="1311"/>
    <x v="1219"/>
    <x v="517"/>
    <x v="439"/>
    <x v="651"/>
    <x v="5"/>
    <x v="1"/>
  </r>
  <r>
    <x v="90"/>
    <x v="5"/>
    <x v="2"/>
    <x v="1"/>
    <x v="6"/>
    <x v="1299"/>
    <x v="1310"/>
    <x v="1"/>
    <x v="0"/>
    <x v="0"/>
    <x v="1"/>
    <x v="1312"/>
    <x v="1"/>
    <x v="0"/>
    <x v="0"/>
    <x v="1312"/>
    <x v="1220"/>
    <x v="116"/>
    <x v="90"/>
    <x v="528"/>
    <x v="5"/>
    <x v="2"/>
  </r>
  <r>
    <x v="78"/>
    <x v="4"/>
    <x v="3"/>
    <x v="2"/>
    <x v="4"/>
    <x v="1300"/>
    <x v="1311"/>
    <x v="2"/>
    <x v="0"/>
    <x v="1"/>
    <x v="1"/>
    <x v="1313"/>
    <x v="0"/>
    <x v="3"/>
    <x v="0"/>
    <x v="1313"/>
    <x v="1221"/>
    <x v="934"/>
    <x v="78"/>
    <x v="332"/>
    <x v="1"/>
    <x v="3"/>
  </r>
  <r>
    <x v="251"/>
    <x v="6"/>
    <x v="1"/>
    <x v="0"/>
    <x v="15"/>
    <x v="1301"/>
    <x v="1312"/>
    <x v="0"/>
    <x v="0"/>
    <x v="2"/>
    <x v="3"/>
    <x v="1314"/>
    <x v="3"/>
    <x v="2"/>
    <x v="0"/>
    <x v="1314"/>
    <x v="1222"/>
    <x v="1144"/>
    <x v="251"/>
    <x v="484"/>
    <x v="1"/>
    <x v="1"/>
  </r>
  <r>
    <x v="318"/>
    <x v="8"/>
    <x v="4"/>
    <x v="2"/>
    <x v="3"/>
    <x v="1302"/>
    <x v="1313"/>
    <x v="3"/>
    <x v="1"/>
    <x v="0"/>
    <x v="3"/>
    <x v="1315"/>
    <x v="3"/>
    <x v="0"/>
    <x v="0"/>
    <x v="1315"/>
    <x v="1223"/>
    <x v="1145"/>
    <x v="318"/>
    <x v="690"/>
    <x v="8"/>
    <x v="4"/>
  </r>
  <r>
    <x v="703"/>
    <x v="9"/>
    <x v="2"/>
    <x v="5"/>
    <x v="9"/>
    <x v="1303"/>
    <x v="1314"/>
    <x v="0"/>
    <x v="0"/>
    <x v="1"/>
    <x v="5"/>
    <x v="1316"/>
    <x v="1"/>
    <x v="0"/>
    <x v="0"/>
    <x v="1316"/>
    <x v="1224"/>
    <x v="1146"/>
    <x v="703"/>
    <x v="343"/>
    <x v="6"/>
    <x v="2"/>
  </r>
  <r>
    <x v="672"/>
    <x v="0"/>
    <x v="4"/>
    <x v="2"/>
    <x v="17"/>
    <x v="1304"/>
    <x v="1315"/>
    <x v="2"/>
    <x v="0"/>
    <x v="1"/>
    <x v="0"/>
    <x v="1317"/>
    <x v="4"/>
    <x v="2"/>
    <x v="0"/>
    <x v="1317"/>
    <x v="1225"/>
    <x v="1147"/>
    <x v="672"/>
    <x v="691"/>
    <x v="6"/>
    <x v="4"/>
  </r>
  <r>
    <x v="320"/>
    <x v="7"/>
    <x v="4"/>
    <x v="4"/>
    <x v="13"/>
    <x v="1305"/>
    <x v="1316"/>
    <x v="2"/>
    <x v="1"/>
    <x v="0"/>
    <x v="0"/>
    <x v="1318"/>
    <x v="1"/>
    <x v="3"/>
    <x v="0"/>
    <x v="1318"/>
    <x v="468"/>
    <x v="1148"/>
    <x v="320"/>
    <x v="318"/>
    <x v="3"/>
    <x v="4"/>
  </r>
  <r>
    <x v="507"/>
    <x v="11"/>
    <x v="4"/>
    <x v="5"/>
    <x v="2"/>
    <x v="1306"/>
    <x v="1317"/>
    <x v="2"/>
    <x v="0"/>
    <x v="3"/>
    <x v="1"/>
    <x v="1319"/>
    <x v="1"/>
    <x v="1"/>
    <x v="0"/>
    <x v="1319"/>
    <x v="1226"/>
    <x v="577"/>
    <x v="507"/>
    <x v="438"/>
    <x v="2"/>
    <x v="4"/>
  </r>
  <r>
    <x v="127"/>
    <x v="6"/>
    <x v="0"/>
    <x v="1"/>
    <x v="14"/>
    <x v="1307"/>
    <x v="1318"/>
    <x v="3"/>
    <x v="0"/>
    <x v="3"/>
    <x v="4"/>
    <x v="1320"/>
    <x v="3"/>
    <x v="0"/>
    <x v="0"/>
    <x v="1320"/>
    <x v="1227"/>
    <x v="153"/>
    <x v="127"/>
    <x v="250"/>
    <x v="6"/>
    <x v="0"/>
  </r>
  <r>
    <x v="702"/>
    <x v="1"/>
    <x v="3"/>
    <x v="6"/>
    <x v="10"/>
    <x v="1308"/>
    <x v="1319"/>
    <x v="0"/>
    <x v="0"/>
    <x v="1"/>
    <x v="1"/>
    <x v="1321"/>
    <x v="2"/>
    <x v="2"/>
    <x v="0"/>
    <x v="1321"/>
    <x v="903"/>
    <x v="227"/>
    <x v="702"/>
    <x v="501"/>
    <x v="4"/>
    <x v="3"/>
  </r>
  <r>
    <x v="704"/>
    <x v="9"/>
    <x v="3"/>
    <x v="1"/>
    <x v="6"/>
    <x v="1309"/>
    <x v="1320"/>
    <x v="3"/>
    <x v="0"/>
    <x v="0"/>
    <x v="3"/>
    <x v="1322"/>
    <x v="2"/>
    <x v="0"/>
    <x v="1"/>
    <x v="1322"/>
    <x v="1228"/>
    <x v="1149"/>
    <x v="704"/>
    <x v="281"/>
    <x v="4"/>
    <x v="3"/>
  </r>
  <r>
    <x v="705"/>
    <x v="2"/>
    <x v="0"/>
    <x v="3"/>
    <x v="12"/>
    <x v="1310"/>
    <x v="1321"/>
    <x v="1"/>
    <x v="1"/>
    <x v="0"/>
    <x v="1"/>
    <x v="1323"/>
    <x v="1"/>
    <x v="2"/>
    <x v="0"/>
    <x v="1323"/>
    <x v="1229"/>
    <x v="1150"/>
    <x v="705"/>
    <x v="354"/>
    <x v="6"/>
    <x v="0"/>
  </r>
  <r>
    <x v="575"/>
    <x v="7"/>
    <x v="1"/>
    <x v="5"/>
    <x v="17"/>
    <x v="1311"/>
    <x v="1322"/>
    <x v="3"/>
    <x v="1"/>
    <x v="2"/>
    <x v="4"/>
    <x v="1324"/>
    <x v="3"/>
    <x v="1"/>
    <x v="0"/>
    <x v="1324"/>
    <x v="1230"/>
    <x v="1151"/>
    <x v="575"/>
    <x v="692"/>
    <x v="8"/>
    <x v="1"/>
  </r>
  <r>
    <x v="706"/>
    <x v="0"/>
    <x v="1"/>
    <x v="2"/>
    <x v="9"/>
    <x v="1312"/>
    <x v="1323"/>
    <x v="3"/>
    <x v="0"/>
    <x v="1"/>
    <x v="5"/>
    <x v="1325"/>
    <x v="4"/>
    <x v="2"/>
    <x v="1"/>
    <x v="1325"/>
    <x v="1231"/>
    <x v="1152"/>
    <x v="706"/>
    <x v="442"/>
    <x v="5"/>
    <x v="1"/>
  </r>
  <r>
    <x v="707"/>
    <x v="2"/>
    <x v="2"/>
    <x v="0"/>
    <x v="13"/>
    <x v="1313"/>
    <x v="1324"/>
    <x v="3"/>
    <x v="0"/>
    <x v="1"/>
    <x v="1"/>
    <x v="1326"/>
    <x v="2"/>
    <x v="0"/>
    <x v="0"/>
    <x v="1326"/>
    <x v="1232"/>
    <x v="1153"/>
    <x v="707"/>
    <x v="396"/>
    <x v="7"/>
    <x v="2"/>
  </r>
  <r>
    <x v="322"/>
    <x v="4"/>
    <x v="0"/>
    <x v="5"/>
    <x v="12"/>
    <x v="1314"/>
    <x v="1325"/>
    <x v="3"/>
    <x v="0"/>
    <x v="3"/>
    <x v="2"/>
    <x v="1327"/>
    <x v="1"/>
    <x v="2"/>
    <x v="0"/>
    <x v="1327"/>
    <x v="1233"/>
    <x v="1154"/>
    <x v="322"/>
    <x v="606"/>
    <x v="8"/>
    <x v="0"/>
  </r>
  <r>
    <x v="708"/>
    <x v="0"/>
    <x v="2"/>
    <x v="5"/>
    <x v="2"/>
    <x v="1315"/>
    <x v="1326"/>
    <x v="0"/>
    <x v="0"/>
    <x v="0"/>
    <x v="3"/>
    <x v="1328"/>
    <x v="1"/>
    <x v="1"/>
    <x v="1"/>
    <x v="1328"/>
    <x v="1234"/>
    <x v="1155"/>
    <x v="708"/>
    <x v="693"/>
    <x v="1"/>
    <x v="2"/>
  </r>
  <r>
    <x v="444"/>
    <x v="5"/>
    <x v="1"/>
    <x v="1"/>
    <x v="5"/>
    <x v="1316"/>
    <x v="1327"/>
    <x v="0"/>
    <x v="0"/>
    <x v="2"/>
    <x v="1"/>
    <x v="1329"/>
    <x v="1"/>
    <x v="3"/>
    <x v="0"/>
    <x v="1329"/>
    <x v="1235"/>
    <x v="1156"/>
    <x v="444"/>
    <x v="694"/>
    <x v="8"/>
    <x v="1"/>
  </r>
  <r>
    <x v="457"/>
    <x v="11"/>
    <x v="3"/>
    <x v="3"/>
    <x v="3"/>
    <x v="1317"/>
    <x v="1328"/>
    <x v="0"/>
    <x v="1"/>
    <x v="2"/>
    <x v="3"/>
    <x v="1330"/>
    <x v="3"/>
    <x v="2"/>
    <x v="0"/>
    <x v="1330"/>
    <x v="1236"/>
    <x v="1157"/>
    <x v="457"/>
    <x v="298"/>
    <x v="4"/>
    <x v="3"/>
  </r>
  <r>
    <x v="709"/>
    <x v="2"/>
    <x v="2"/>
    <x v="1"/>
    <x v="4"/>
    <x v="1318"/>
    <x v="1329"/>
    <x v="1"/>
    <x v="1"/>
    <x v="3"/>
    <x v="0"/>
    <x v="1331"/>
    <x v="3"/>
    <x v="2"/>
    <x v="1"/>
    <x v="1331"/>
    <x v="1237"/>
    <x v="1158"/>
    <x v="709"/>
    <x v="28"/>
    <x v="3"/>
    <x v="2"/>
  </r>
  <r>
    <x v="289"/>
    <x v="1"/>
    <x v="2"/>
    <x v="1"/>
    <x v="14"/>
    <x v="1319"/>
    <x v="1330"/>
    <x v="0"/>
    <x v="1"/>
    <x v="2"/>
    <x v="1"/>
    <x v="1332"/>
    <x v="4"/>
    <x v="1"/>
    <x v="0"/>
    <x v="1332"/>
    <x v="159"/>
    <x v="1159"/>
    <x v="289"/>
    <x v="263"/>
    <x v="1"/>
    <x v="2"/>
  </r>
  <r>
    <x v="402"/>
    <x v="6"/>
    <x v="3"/>
    <x v="5"/>
    <x v="5"/>
    <x v="1320"/>
    <x v="1331"/>
    <x v="2"/>
    <x v="1"/>
    <x v="3"/>
    <x v="0"/>
    <x v="1333"/>
    <x v="0"/>
    <x v="2"/>
    <x v="0"/>
    <x v="1333"/>
    <x v="1001"/>
    <x v="1160"/>
    <x v="402"/>
    <x v="695"/>
    <x v="2"/>
    <x v="3"/>
  </r>
  <r>
    <x v="604"/>
    <x v="6"/>
    <x v="0"/>
    <x v="3"/>
    <x v="1"/>
    <x v="1321"/>
    <x v="1332"/>
    <x v="1"/>
    <x v="1"/>
    <x v="3"/>
    <x v="0"/>
    <x v="1334"/>
    <x v="4"/>
    <x v="3"/>
    <x v="0"/>
    <x v="1334"/>
    <x v="1229"/>
    <x v="713"/>
    <x v="604"/>
    <x v="538"/>
    <x v="1"/>
    <x v="0"/>
  </r>
  <r>
    <x v="710"/>
    <x v="8"/>
    <x v="4"/>
    <x v="5"/>
    <x v="16"/>
    <x v="1322"/>
    <x v="1333"/>
    <x v="3"/>
    <x v="0"/>
    <x v="0"/>
    <x v="5"/>
    <x v="1335"/>
    <x v="3"/>
    <x v="1"/>
    <x v="1"/>
    <x v="1335"/>
    <x v="1238"/>
    <x v="1161"/>
    <x v="710"/>
    <x v="466"/>
    <x v="5"/>
    <x v="4"/>
  </r>
  <r>
    <x v="156"/>
    <x v="8"/>
    <x v="1"/>
    <x v="5"/>
    <x v="0"/>
    <x v="1323"/>
    <x v="1334"/>
    <x v="1"/>
    <x v="0"/>
    <x v="1"/>
    <x v="1"/>
    <x v="1336"/>
    <x v="3"/>
    <x v="1"/>
    <x v="1"/>
    <x v="1336"/>
    <x v="1239"/>
    <x v="1162"/>
    <x v="156"/>
    <x v="101"/>
    <x v="3"/>
    <x v="1"/>
  </r>
  <r>
    <x v="711"/>
    <x v="8"/>
    <x v="4"/>
    <x v="0"/>
    <x v="18"/>
    <x v="1324"/>
    <x v="1335"/>
    <x v="1"/>
    <x v="0"/>
    <x v="2"/>
    <x v="1"/>
    <x v="1337"/>
    <x v="1"/>
    <x v="3"/>
    <x v="1"/>
    <x v="1337"/>
    <x v="1240"/>
    <x v="1163"/>
    <x v="711"/>
    <x v="586"/>
    <x v="1"/>
    <x v="4"/>
  </r>
  <r>
    <x v="422"/>
    <x v="6"/>
    <x v="0"/>
    <x v="0"/>
    <x v="18"/>
    <x v="1325"/>
    <x v="1336"/>
    <x v="2"/>
    <x v="0"/>
    <x v="3"/>
    <x v="4"/>
    <x v="1338"/>
    <x v="0"/>
    <x v="2"/>
    <x v="0"/>
    <x v="1338"/>
    <x v="1241"/>
    <x v="1164"/>
    <x v="422"/>
    <x v="258"/>
    <x v="8"/>
    <x v="0"/>
  </r>
  <r>
    <x v="486"/>
    <x v="1"/>
    <x v="3"/>
    <x v="5"/>
    <x v="2"/>
    <x v="1326"/>
    <x v="1337"/>
    <x v="2"/>
    <x v="0"/>
    <x v="1"/>
    <x v="0"/>
    <x v="1339"/>
    <x v="1"/>
    <x v="0"/>
    <x v="0"/>
    <x v="1339"/>
    <x v="1242"/>
    <x v="1165"/>
    <x v="486"/>
    <x v="696"/>
    <x v="0"/>
    <x v="3"/>
  </r>
  <r>
    <x v="581"/>
    <x v="1"/>
    <x v="1"/>
    <x v="4"/>
    <x v="13"/>
    <x v="1327"/>
    <x v="1338"/>
    <x v="2"/>
    <x v="1"/>
    <x v="0"/>
    <x v="5"/>
    <x v="1340"/>
    <x v="3"/>
    <x v="0"/>
    <x v="0"/>
    <x v="1340"/>
    <x v="1243"/>
    <x v="44"/>
    <x v="581"/>
    <x v="402"/>
    <x v="4"/>
    <x v="1"/>
  </r>
  <r>
    <x v="247"/>
    <x v="11"/>
    <x v="0"/>
    <x v="5"/>
    <x v="11"/>
    <x v="1328"/>
    <x v="1339"/>
    <x v="0"/>
    <x v="1"/>
    <x v="2"/>
    <x v="1"/>
    <x v="1341"/>
    <x v="2"/>
    <x v="1"/>
    <x v="0"/>
    <x v="1341"/>
    <x v="1244"/>
    <x v="1166"/>
    <x v="247"/>
    <x v="242"/>
    <x v="6"/>
    <x v="0"/>
  </r>
  <r>
    <x v="52"/>
    <x v="4"/>
    <x v="0"/>
    <x v="2"/>
    <x v="3"/>
    <x v="1329"/>
    <x v="1340"/>
    <x v="0"/>
    <x v="0"/>
    <x v="0"/>
    <x v="4"/>
    <x v="1342"/>
    <x v="0"/>
    <x v="2"/>
    <x v="0"/>
    <x v="1342"/>
    <x v="1245"/>
    <x v="1167"/>
    <x v="52"/>
    <x v="149"/>
    <x v="4"/>
    <x v="0"/>
  </r>
  <r>
    <x v="712"/>
    <x v="10"/>
    <x v="1"/>
    <x v="3"/>
    <x v="6"/>
    <x v="1330"/>
    <x v="1341"/>
    <x v="3"/>
    <x v="1"/>
    <x v="3"/>
    <x v="2"/>
    <x v="1343"/>
    <x v="4"/>
    <x v="3"/>
    <x v="0"/>
    <x v="1343"/>
    <x v="1246"/>
    <x v="1168"/>
    <x v="712"/>
    <x v="167"/>
    <x v="6"/>
    <x v="1"/>
  </r>
  <r>
    <x v="668"/>
    <x v="0"/>
    <x v="2"/>
    <x v="4"/>
    <x v="13"/>
    <x v="1076"/>
    <x v="1342"/>
    <x v="0"/>
    <x v="0"/>
    <x v="0"/>
    <x v="2"/>
    <x v="1344"/>
    <x v="2"/>
    <x v="2"/>
    <x v="0"/>
    <x v="1344"/>
    <x v="1247"/>
    <x v="1169"/>
    <x v="668"/>
    <x v="135"/>
    <x v="3"/>
    <x v="2"/>
  </r>
  <r>
    <x v="357"/>
    <x v="3"/>
    <x v="1"/>
    <x v="3"/>
    <x v="16"/>
    <x v="1331"/>
    <x v="1343"/>
    <x v="0"/>
    <x v="0"/>
    <x v="1"/>
    <x v="5"/>
    <x v="1345"/>
    <x v="0"/>
    <x v="2"/>
    <x v="0"/>
    <x v="1345"/>
    <x v="1248"/>
    <x v="1170"/>
    <x v="357"/>
    <x v="58"/>
    <x v="0"/>
    <x v="1"/>
  </r>
  <r>
    <x v="713"/>
    <x v="0"/>
    <x v="3"/>
    <x v="4"/>
    <x v="0"/>
    <x v="1332"/>
    <x v="1344"/>
    <x v="3"/>
    <x v="1"/>
    <x v="2"/>
    <x v="4"/>
    <x v="1346"/>
    <x v="1"/>
    <x v="3"/>
    <x v="0"/>
    <x v="1346"/>
    <x v="1249"/>
    <x v="1113"/>
    <x v="713"/>
    <x v="442"/>
    <x v="1"/>
    <x v="3"/>
  </r>
  <r>
    <x v="138"/>
    <x v="6"/>
    <x v="1"/>
    <x v="2"/>
    <x v="12"/>
    <x v="1333"/>
    <x v="1345"/>
    <x v="1"/>
    <x v="0"/>
    <x v="2"/>
    <x v="4"/>
    <x v="1347"/>
    <x v="2"/>
    <x v="3"/>
    <x v="0"/>
    <x v="1347"/>
    <x v="895"/>
    <x v="1171"/>
    <x v="138"/>
    <x v="56"/>
    <x v="3"/>
    <x v="1"/>
  </r>
  <r>
    <x v="490"/>
    <x v="0"/>
    <x v="3"/>
    <x v="0"/>
    <x v="19"/>
    <x v="1334"/>
    <x v="1346"/>
    <x v="2"/>
    <x v="0"/>
    <x v="3"/>
    <x v="0"/>
    <x v="1348"/>
    <x v="0"/>
    <x v="0"/>
    <x v="1"/>
    <x v="1348"/>
    <x v="1250"/>
    <x v="1172"/>
    <x v="490"/>
    <x v="604"/>
    <x v="7"/>
    <x v="3"/>
  </r>
  <r>
    <x v="714"/>
    <x v="6"/>
    <x v="2"/>
    <x v="5"/>
    <x v="17"/>
    <x v="1335"/>
    <x v="1347"/>
    <x v="3"/>
    <x v="1"/>
    <x v="1"/>
    <x v="1"/>
    <x v="1349"/>
    <x v="0"/>
    <x v="0"/>
    <x v="0"/>
    <x v="1349"/>
    <x v="753"/>
    <x v="1166"/>
    <x v="714"/>
    <x v="637"/>
    <x v="3"/>
    <x v="2"/>
  </r>
  <r>
    <x v="715"/>
    <x v="10"/>
    <x v="4"/>
    <x v="5"/>
    <x v="18"/>
    <x v="1336"/>
    <x v="1348"/>
    <x v="0"/>
    <x v="0"/>
    <x v="2"/>
    <x v="2"/>
    <x v="1350"/>
    <x v="2"/>
    <x v="3"/>
    <x v="0"/>
    <x v="1350"/>
    <x v="1088"/>
    <x v="429"/>
    <x v="715"/>
    <x v="697"/>
    <x v="0"/>
    <x v="4"/>
  </r>
  <r>
    <x v="354"/>
    <x v="11"/>
    <x v="3"/>
    <x v="6"/>
    <x v="15"/>
    <x v="1337"/>
    <x v="1349"/>
    <x v="2"/>
    <x v="0"/>
    <x v="3"/>
    <x v="3"/>
    <x v="1351"/>
    <x v="1"/>
    <x v="1"/>
    <x v="1"/>
    <x v="1351"/>
    <x v="623"/>
    <x v="1173"/>
    <x v="354"/>
    <x v="540"/>
    <x v="2"/>
    <x v="3"/>
  </r>
  <r>
    <x v="282"/>
    <x v="4"/>
    <x v="1"/>
    <x v="5"/>
    <x v="13"/>
    <x v="1338"/>
    <x v="1350"/>
    <x v="2"/>
    <x v="1"/>
    <x v="0"/>
    <x v="5"/>
    <x v="1352"/>
    <x v="2"/>
    <x v="0"/>
    <x v="0"/>
    <x v="1352"/>
    <x v="1241"/>
    <x v="1174"/>
    <x v="282"/>
    <x v="253"/>
    <x v="8"/>
    <x v="1"/>
  </r>
  <r>
    <x v="58"/>
    <x v="6"/>
    <x v="2"/>
    <x v="5"/>
    <x v="11"/>
    <x v="1339"/>
    <x v="1351"/>
    <x v="2"/>
    <x v="1"/>
    <x v="0"/>
    <x v="0"/>
    <x v="1353"/>
    <x v="1"/>
    <x v="0"/>
    <x v="0"/>
    <x v="1353"/>
    <x v="1251"/>
    <x v="1175"/>
    <x v="58"/>
    <x v="91"/>
    <x v="1"/>
    <x v="2"/>
  </r>
  <r>
    <x v="716"/>
    <x v="10"/>
    <x v="4"/>
    <x v="5"/>
    <x v="4"/>
    <x v="1340"/>
    <x v="1352"/>
    <x v="3"/>
    <x v="1"/>
    <x v="1"/>
    <x v="4"/>
    <x v="1354"/>
    <x v="1"/>
    <x v="2"/>
    <x v="0"/>
    <x v="1354"/>
    <x v="1252"/>
    <x v="424"/>
    <x v="716"/>
    <x v="466"/>
    <x v="4"/>
    <x v="4"/>
  </r>
  <r>
    <x v="500"/>
    <x v="2"/>
    <x v="2"/>
    <x v="4"/>
    <x v="1"/>
    <x v="1341"/>
    <x v="1353"/>
    <x v="2"/>
    <x v="1"/>
    <x v="0"/>
    <x v="1"/>
    <x v="1355"/>
    <x v="4"/>
    <x v="0"/>
    <x v="0"/>
    <x v="1355"/>
    <x v="1253"/>
    <x v="1176"/>
    <x v="500"/>
    <x v="487"/>
    <x v="1"/>
    <x v="2"/>
  </r>
  <r>
    <x v="162"/>
    <x v="0"/>
    <x v="4"/>
    <x v="5"/>
    <x v="14"/>
    <x v="1342"/>
    <x v="1354"/>
    <x v="2"/>
    <x v="1"/>
    <x v="1"/>
    <x v="0"/>
    <x v="1356"/>
    <x v="4"/>
    <x v="3"/>
    <x v="1"/>
    <x v="1356"/>
    <x v="562"/>
    <x v="1177"/>
    <x v="162"/>
    <x v="162"/>
    <x v="5"/>
    <x v="4"/>
  </r>
  <r>
    <x v="717"/>
    <x v="2"/>
    <x v="3"/>
    <x v="3"/>
    <x v="4"/>
    <x v="1343"/>
    <x v="1355"/>
    <x v="1"/>
    <x v="0"/>
    <x v="2"/>
    <x v="5"/>
    <x v="1357"/>
    <x v="1"/>
    <x v="0"/>
    <x v="0"/>
    <x v="1357"/>
    <x v="1254"/>
    <x v="1178"/>
    <x v="717"/>
    <x v="698"/>
    <x v="3"/>
    <x v="3"/>
  </r>
  <r>
    <x v="236"/>
    <x v="8"/>
    <x v="0"/>
    <x v="3"/>
    <x v="1"/>
    <x v="1344"/>
    <x v="1356"/>
    <x v="1"/>
    <x v="1"/>
    <x v="1"/>
    <x v="1"/>
    <x v="1358"/>
    <x v="3"/>
    <x v="2"/>
    <x v="0"/>
    <x v="1358"/>
    <x v="1255"/>
    <x v="1179"/>
    <x v="236"/>
    <x v="312"/>
    <x v="6"/>
    <x v="0"/>
  </r>
  <r>
    <x v="227"/>
    <x v="1"/>
    <x v="2"/>
    <x v="4"/>
    <x v="17"/>
    <x v="1345"/>
    <x v="1357"/>
    <x v="2"/>
    <x v="0"/>
    <x v="0"/>
    <x v="5"/>
    <x v="1359"/>
    <x v="0"/>
    <x v="3"/>
    <x v="0"/>
    <x v="1359"/>
    <x v="1256"/>
    <x v="1180"/>
    <x v="227"/>
    <x v="129"/>
    <x v="1"/>
    <x v="2"/>
  </r>
  <r>
    <x v="385"/>
    <x v="11"/>
    <x v="2"/>
    <x v="5"/>
    <x v="2"/>
    <x v="1346"/>
    <x v="1358"/>
    <x v="0"/>
    <x v="0"/>
    <x v="1"/>
    <x v="4"/>
    <x v="1360"/>
    <x v="4"/>
    <x v="2"/>
    <x v="0"/>
    <x v="1360"/>
    <x v="1257"/>
    <x v="1181"/>
    <x v="385"/>
    <x v="699"/>
    <x v="1"/>
    <x v="2"/>
  </r>
  <r>
    <x v="718"/>
    <x v="5"/>
    <x v="1"/>
    <x v="2"/>
    <x v="18"/>
    <x v="1347"/>
    <x v="1359"/>
    <x v="2"/>
    <x v="0"/>
    <x v="1"/>
    <x v="1"/>
    <x v="1361"/>
    <x v="4"/>
    <x v="0"/>
    <x v="0"/>
    <x v="1361"/>
    <x v="1258"/>
    <x v="1182"/>
    <x v="718"/>
    <x v="267"/>
    <x v="6"/>
    <x v="1"/>
  </r>
  <r>
    <x v="428"/>
    <x v="4"/>
    <x v="2"/>
    <x v="4"/>
    <x v="11"/>
    <x v="1348"/>
    <x v="1360"/>
    <x v="2"/>
    <x v="1"/>
    <x v="3"/>
    <x v="1"/>
    <x v="1362"/>
    <x v="3"/>
    <x v="1"/>
    <x v="1"/>
    <x v="1362"/>
    <x v="1259"/>
    <x v="1183"/>
    <x v="428"/>
    <x v="539"/>
    <x v="3"/>
    <x v="2"/>
  </r>
  <r>
    <x v="86"/>
    <x v="9"/>
    <x v="3"/>
    <x v="5"/>
    <x v="5"/>
    <x v="1349"/>
    <x v="1361"/>
    <x v="1"/>
    <x v="0"/>
    <x v="0"/>
    <x v="3"/>
    <x v="1363"/>
    <x v="3"/>
    <x v="3"/>
    <x v="0"/>
    <x v="1363"/>
    <x v="1260"/>
    <x v="1184"/>
    <x v="86"/>
    <x v="700"/>
    <x v="4"/>
    <x v="3"/>
  </r>
  <r>
    <x v="610"/>
    <x v="7"/>
    <x v="1"/>
    <x v="1"/>
    <x v="9"/>
    <x v="1350"/>
    <x v="1362"/>
    <x v="1"/>
    <x v="1"/>
    <x v="3"/>
    <x v="0"/>
    <x v="1364"/>
    <x v="0"/>
    <x v="3"/>
    <x v="1"/>
    <x v="1364"/>
    <x v="1261"/>
    <x v="699"/>
    <x v="610"/>
    <x v="10"/>
    <x v="7"/>
    <x v="1"/>
  </r>
  <r>
    <x v="719"/>
    <x v="6"/>
    <x v="1"/>
    <x v="4"/>
    <x v="3"/>
    <x v="1351"/>
    <x v="1363"/>
    <x v="0"/>
    <x v="1"/>
    <x v="2"/>
    <x v="5"/>
    <x v="1365"/>
    <x v="4"/>
    <x v="3"/>
    <x v="1"/>
    <x v="1365"/>
    <x v="1262"/>
    <x v="1185"/>
    <x v="719"/>
    <x v="582"/>
    <x v="6"/>
    <x v="1"/>
  </r>
  <r>
    <x v="681"/>
    <x v="9"/>
    <x v="2"/>
    <x v="3"/>
    <x v="11"/>
    <x v="1352"/>
    <x v="1364"/>
    <x v="3"/>
    <x v="1"/>
    <x v="1"/>
    <x v="3"/>
    <x v="1366"/>
    <x v="3"/>
    <x v="2"/>
    <x v="0"/>
    <x v="1366"/>
    <x v="218"/>
    <x v="1186"/>
    <x v="681"/>
    <x v="545"/>
    <x v="0"/>
    <x v="2"/>
  </r>
  <r>
    <x v="428"/>
    <x v="4"/>
    <x v="2"/>
    <x v="6"/>
    <x v="14"/>
    <x v="1353"/>
    <x v="1365"/>
    <x v="1"/>
    <x v="1"/>
    <x v="3"/>
    <x v="3"/>
    <x v="1367"/>
    <x v="4"/>
    <x v="0"/>
    <x v="0"/>
    <x v="1367"/>
    <x v="1263"/>
    <x v="1187"/>
    <x v="428"/>
    <x v="701"/>
    <x v="1"/>
    <x v="2"/>
  </r>
  <r>
    <x v="180"/>
    <x v="7"/>
    <x v="4"/>
    <x v="5"/>
    <x v="19"/>
    <x v="1354"/>
    <x v="1366"/>
    <x v="0"/>
    <x v="0"/>
    <x v="3"/>
    <x v="3"/>
    <x v="1368"/>
    <x v="3"/>
    <x v="3"/>
    <x v="0"/>
    <x v="1368"/>
    <x v="1264"/>
    <x v="559"/>
    <x v="180"/>
    <x v="269"/>
    <x v="2"/>
    <x v="4"/>
  </r>
  <r>
    <x v="451"/>
    <x v="0"/>
    <x v="0"/>
    <x v="6"/>
    <x v="12"/>
    <x v="1355"/>
    <x v="1367"/>
    <x v="1"/>
    <x v="1"/>
    <x v="1"/>
    <x v="0"/>
    <x v="1369"/>
    <x v="4"/>
    <x v="2"/>
    <x v="0"/>
    <x v="1369"/>
    <x v="1265"/>
    <x v="1188"/>
    <x v="451"/>
    <x v="691"/>
    <x v="3"/>
    <x v="0"/>
  </r>
  <r>
    <x v="720"/>
    <x v="3"/>
    <x v="0"/>
    <x v="6"/>
    <x v="15"/>
    <x v="1356"/>
    <x v="1368"/>
    <x v="0"/>
    <x v="1"/>
    <x v="1"/>
    <x v="4"/>
    <x v="1370"/>
    <x v="2"/>
    <x v="3"/>
    <x v="1"/>
    <x v="1370"/>
    <x v="1266"/>
    <x v="1189"/>
    <x v="720"/>
    <x v="698"/>
    <x v="2"/>
    <x v="0"/>
  </r>
  <r>
    <x v="648"/>
    <x v="10"/>
    <x v="0"/>
    <x v="0"/>
    <x v="15"/>
    <x v="1357"/>
    <x v="1369"/>
    <x v="1"/>
    <x v="1"/>
    <x v="0"/>
    <x v="0"/>
    <x v="1371"/>
    <x v="2"/>
    <x v="2"/>
    <x v="0"/>
    <x v="1371"/>
    <x v="1267"/>
    <x v="1190"/>
    <x v="648"/>
    <x v="702"/>
    <x v="1"/>
    <x v="0"/>
  </r>
  <r>
    <x v="721"/>
    <x v="1"/>
    <x v="1"/>
    <x v="3"/>
    <x v="10"/>
    <x v="1358"/>
    <x v="1370"/>
    <x v="1"/>
    <x v="1"/>
    <x v="0"/>
    <x v="2"/>
    <x v="1372"/>
    <x v="1"/>
    <x v="1"/>
    <x v="0"/>
    <x v="1372"/>
    <x v="1268"/>
    <x v="1191"/>
    <x v="721"/>
    <x v="703"/>
    <x v="8"/>
    <x v="1"/>
  </r>
  <r>
    <x v="437"/>
    <x v="1"/>
    <x v="0"/>
    <x v="5"/>
    <x v="10"/>
    <x v="1359"/>
    <x v="1371"/>
    <x v="3"/>
    <x v="1"/>
    <x v="1"/>
    <x v="4"/>
    <x v="1373"/>
    <x v="3"/>
    <x v="1"/>
    <x v="1"/>
    <x v="1373"/>
    <x v="1269"/>
    <x v="1192"/>
    <x v="437"/>
    <x v="704"/>
    <x v="7"/>
    <x v="0"/>
  </r>
  <r>
    <x v="551"/>
    <x v="2"/>
    <x v="1"/>
    <x v="5"/>
    <x v="15"/>
    <x v="1360"/>
    <x v="1372"/>
    <x v="1"/>
    <x v="0"/>
    <x v="0"/>
    <x v="2"/>
    <x v="1374"/>
    <x v="4"/>
    <x v="0"/>
    <x v="0"/>
    <x v="1374"/>
    <x v="1270"/>
    <x v="217"/>
    <x v="551"/>
    <x v="560"/>
    <x v="5"/>
    <x v="1"/>
  </r>
  <r>
    <x v="696"/>
    <x v="7"/>
    <x v="4"/>
    <x v="0"/>
    <x v="12"/>
    <x v="1361"/>
    <x v="1373"/>
    <x v="0"/>
    <x v="1"/>
    <x v="3"/>
    <x v="1"/>
    <x v="1375"/>
    <x v="2"/>
    <x v="2"/>
    <x v="0"/>
    <x v="1375"/>
    <x v="1271"/>
    <x v="645"/>
    <x v="696"/>
    <x v="302"/>
    <x v="2"/>
    <x v="4"/>
  </r>
  <r>
    <x v="134"/>
    <x v="7"/>
    <x v="3"/>
    <x v="5"/>
    <x v="17"/>
    <x v="1362"/>
    <x v="1374"/>
    <x v="3"/>
    <x v="1"/>
    <x v="3"/>
    <x v="3"/>
    <x v="1376"/>
    <x v="3"/>
    <x v="0"/>
    <x v="1"/>
    <x v="1376"/>
    <x v="1272"/>
    <x v="1093"/>
    <x v="134"/>
    <x v="660"/>
    <x v="3"/>
    <x v="3"/>
  </r>
  <r>
    <x v="722"/>
    <x v="4"/>
    <x v="2"/>
    <x v="4"/>
    <x v="1"/>
    <x v="1363"/>
    <x v="1375"/>
    <x v="3"/>
    <x v="1"/>
    <x v="3"/>
    <x v="3"/>
    <x v="1377"/>
    <x v="0"/>
    <x v="2"/>
    <x v="0"/>
    <x v="1377"/>
    <x v="1214"/>
    <x v="515"/>
    <x v="722"/>
    <x v="705"/>
    <x v="2"/>
    <x v="2"/>
  </r>
  <r>
    <x v="15"/>
    <x v="2"/>
    <x v="2"/>
    <x v="1"/>
    <x v="14"/>
    <x v="1364"/>
    <x v="1376"/>
    <x v="0"/>
    <x v="0"/>
    <x v="2"/>
    <x v="4"/>
    <x v="1378"/>
    <x v="2"/>
    <x v="3"/>
    <x v="0"/>
    <x v="1378"/>
    <x v="1273"/>
    <x v="1193"/>
    <x v="15"/>
    <x v="131"/>
    <x v="3"/>
    <x v="2"/>
  </r>
  <r>
    <x v="473"/>
    <x v="1"/>
    <x v="4"/>
    <x v="5"/>
    <x v="12"/>
    <x v="1365"/>
    <x v="1377"/>
    <x v="1"/>
    <x v="0"/>
    <x v="3"/>
    <x v="2"/>
    <x v="1379"/>
    <x v="0"/>
    <x v="0"/>
    <x v="0"/>
    <x v="1379"/>
    <x v="1274"/>
    <x v="1194"/>
    <x v="473"/>
    <x v="501"/>
    <x v="3"/>
    <x v="4"/>
  </r>
  <r>
    <x v="652"/>
    <x v="10"/>
    <x v="4"/>
    <x v="2"/>
    <x v="17"/>
    <x v="1366"/>
    <x v="1378"/>
    <x v="1"/>
    <x v="0"/>
    <x v="2"/>
    <x v="3"/>
    <x v="1380"/>
    <x v="3"/>
    <x v="3"/>
    <x v="0"/>
    <x v="1380"/>
    <x v="1275"/>
    <x v="1195"/>
    <x v="652"/>
    <x v="666"/>
    <x v="5"/>
    <x v="4"/>
  </r>
  <r>
    <x v="213"/>
    <x v="6"/>
    <x v="3"/>
    <x v="3"/>
    <x v="15"/>
    <x v="1367"/>
    <x v="1379"/>
    <x v="0"/>
    <x v="0"/>
    <x v="0"/>
    <x v="5"/>
    <x v="1381"/>
    <x v="0"/>
    <x v="0"/>
    <x v="0"/>
    <x v="1381"/>
    <x v="1276"/>
    <x v="1196"/>
    <x v="213"/>
    <x v="706"/>
    <x v="8"/>
    <x v="3"/>
  </r>
  <r>
    <x v="436"/>
    <x v="4"/>
    <x v="3"/>
    <x v="1"/>
    <x v="15"/>
    <x v="1368"/>
    <x v="1380"/>
    <x v="1"/>
    <x v="1"/>
    <x v="0"/>
    <x v="3"/>
    <x v="1382"/>
    <x v="2"/>
    <x v="3"/>
    <x v="0"/>
    <x v="1382"/>
    <x v="1277"/>
    <x v="1197"/>
    <x v="436"/>
    <x v="707"/>
    <x v="5"/>
    <x v="3"/>
  </r>
  <r>
    <x v="723"/>
    <x v="2"/>
    <x v="0"/>
    <x v="5"/>
    <x v="16"/>
    <x v="1369"/>
    <x v="1381"/>
    <x v="2"/>
    <x v="0"/>
    <x v="1"/>
    <x v="0"/>
    <x v="1383"/>
    <x v="3"/>
    <x v="0"/>
    <x v="0"/>
    <x v="1383"/>
    <x v="1278"/>
    <x v="1198"/>
    <x v="723"/>
    <x v="398"/>
    <x v="3"/>
    <x v="0"/>
  </r>
  <r>
    <x v="287"/>
    <x v="6"/>
    <x v="1"/>
    <x v="0"/>
    <x v="17"/>
    <x v="1370"/>
    <x v="1382"/>
    <x v="0"/>
    <x v="0"/>
    <x v="2"/>
    <x v="0"/>
    <x v="1384"/>
    <x v="2"/>
    <x v="3"/>
    <x v="0"/>
    <x v="1384"/>
    <x v="1279"/>
    <x v="1199"/>
    <x v="287"/>
    <x v="283"/>
    <x v="4"/>
    <x v="1"/>
  </r>
  <r>
    <x v="61"/>
    <x v="6"/>
    <x v="3"/>
    <x v="2"/>
    <x v="10"/>
    <x v="1371"/>
    <x v="1383"/>
    <x v="3"/>
    <x v="0"/>
    <x v="3"/>
    <x v="5"/>
    <x v="1385"/>
    <x v="3"/>
    <x v="0"/>
    <x v="1"/>
    <x v="1385"/>
    <x v="1280"/>
    <x v="1200"/>
    <x v="61"/>
    <x v="283"/>
    <x v="8"/>
    <x v="3"/>
  </r>
  <r>
    <x v="157"/>
    <x v="10"/>
    <x v="0"/>
    <x v="1"/>
    <x v="4"/>
    <x v="1372"/>
    <x v="1384"/>
    <x v="2"/>
    <x v="1"/>
    <x v="3"/>
    <x v="4"/>
    <x v="1386"/>
    <x v="4"/>
    <x v="2"/>
    <x v="1"/>
    <x v="1386"/>
    <x v="1281"/>
    <x v="748"/>
    <x v="157"/>
    <x v="708"/>
    <x v="6"/>
    <x v="0"/>
  </r>
  <r>
    <x v="403"/>
    <x v="3"/>
    <x v="1"/>
    <x v="6"/>
    <x v="3"/>
    <x v="1009"/>
    <x v="1385"/>
    <x v="0"/>
    <x v="0"/>
    <x v="1"/>
    <x v="0"/>
    <x v="1387"/>
    <x v="0"/>
    <x v="2"/>
    <x v="0"/>
    <x v="1387"/>
    <x v="1282"/>
    <x v="1201"/>
    <x v="403"/>
    <x v="190"/>
    <x v="3"/>
    <x v="1"/>
  </r>
  <r>
    <x v="714"/>
    <x v="6"/>
    <x v="1"/>
    <x v="4"/>
    <x v="19"/>
    <x v="1373"/>
    <x v="1386"/>
    <x v="2"/>
    <x v="1"/>
    <x v="1"/>
    <x v="4"/>
    <x v="1388"/>
    <x v="2"/>
    <x v="3"/>
    <x v="1"/>
    <x v="1388"/>
    <x v="1283"/>
    <x v="1202"/>
    <x v="714"/>
    <x v="637"/>
    <x v="3"/>
    <x v="1"/>
  </r>
  <r>
    <x v="539"/>
    <x v="2"/>
    <x v="4"/>
    <x v="4"/>
    <x v="2"/>
    <x v="1374"/>
    <x v="1387"/>
    <x v="1"/>
    <x v="0"/>
    <x v="3"/>
    <x v="0"/>
    <x v="1389"/>
    <x v="4"/>
    <x v="0"/>
    <x v="1"/>
    <x v="1389"/>
    <x v="1284"/>
    <x v="840"/>
    <x v="539"/>
    <x v="645"/>
    <x v="0"/>
    <x v="4"/>
  </r>
  <r>
    <x v="724"/>
    <x v="6"/>
    <x v="4"/>
    <x v="2"/>
    <x v="7"/>
    <x v="1375"/>
    <x v="1388"/>
    <x v="3"/>
    <x v="0"/>
    <x v="1"/>
    <x v="4"/>
    <x v="1390"/>
    <x v="3"/>
    <x v="1"/>
    <x v="0"/>
    <x v="1390"/>
    <x v="1285"/>
    <x v="600"/>
    <x v="724"/>
    <x v="550"/>
    <x v="2"/>
    <x v="4"/>
  </r>
  <r>
    <x v="122"/>
    <x v="6"/>
    <x v="2"/>
    <x v="6"/>
    <x v="13"/>
    <x v="1376"/>
    <x v="1389"/>
    <x v="2"/>
    <x v="0"/>
    <x v="2"/>
    <x v="3"/>
    <x v="1391"/>
    <x v="0"/>
    <x v="3"/>
    <x v="0"/>
    <x v="1391"/>
    <x v="1286"/>
    <x v="1182"/>
    <x v="122"/>
    <x v="124"/>
    <x v="1"/>
    <x v="2"/>
  </r>
  <r>
    <x v="454"/>
    <x v="7"/>
    <x v="4"/>
    <x v="0"/>
    <x v="12"/>
    <x v="1377"/>
    <x v="1390"/>
    <x v="3"/>
    <x v="0"/>
    <x v="3"/>
    <x v="4"/>
    <x v="1392"/>
    <x v="2"/>
    <x v="3"/>
    <x v="1"/>
    <x v="1392"/>
    <x v="1287"/>
    <x v="1203"/>
    <x v="454"/>
    <x v="622"/>
    <x v="4"/>
    <x v="4"/>
  </r>
  <r>
    <x v="410"/>
    <x v="3"/>
    <x v="2"/>
    <x v="3"/>
    <x v="6"/>
    <x v="1378"/>
    <x v="1391"/>
    <x v="1"/>
    <x v="1"/>
    <x v="0"/>
    <x v="4"/>
    <x v="1393"/>
    <x v="2"/>
    <x v="1"/>
    <x v="1"/>
    <x v="1393"/>
    <x v="1288"/>
    <x v="1204"/>
    <x v="410"/>
    <x v="634"/>
    <x v="3"/>
    <x v="2"/>
  </r>
  <r>
    <x v="404"/>
    <x v="11"/>
    <x v="2"/>
    <x v="3"/>
    <x v="18"/>
    <x v="1379"/>
    <x v="1392"/>
    <x v="0"/>
    <x v="1"/>
    <x v="0"/>
    <x v="0"/>
    <x v="1394"/>
    <x v="4"/>
    <x v="0"/>
    <x v="0"/>
    <x v="1394"/>
    <x v="613"/>
    <x v="1205"/>
    <x v="404"/>
    <x v="399"/>
    <x v="0"/>
    <x v="2"/>
  </r>
  <r>
    <x v="367"/>
    <x v="11"/>
    <x v="2"/>
    <x v="1"/>
    <x v="12"/>
    <x v="1380"/>
    <x v="1393"/>
    <x v="2"/>
    <x v="1"/>
    <x v="0"/>
    <x v="0"/>
    <x v="1395"/>
    <x v="3"/>
    <x v="1"/>
    <x v="0"/>
    <x v="1395"/>
    <x v="1170"/>
    <x v="1206"/>
    <x v="367"/>
    <x v="424"/>
    <x v="1"/>
    <x v="2"/>
  </r>
  <r>
    <x v="405"/>
    <x v="4"/>
    <x v="2"/>
    <x v="2"/>
    <x v="15"/>
    <x v="1381"/>
    <x v="1394"/>
    <x v="2"/>
    <x v="1"/>
    <x v="3"/>
    <x v="4"/>
    <x v="1396"/>
    <x v="4"/>
    <x v="3"/>
    <x v="0"/>
    <x v="1396"/>
    <x v="1289"/>
    <x v="1207"/>
    <x v="405"/>
    <x v="539"/>
    <x v="8"/>
    <x v="2"/>
  </r>
  <r>
    <x v="725"/>
    <x v="4"/>
    <x v="4"/>
    <x v="4"/>
    <x v="7"/>
    <x v="1382"/>
    <x v="1395"/>
    <x v="3"/>
    <x v="1"/>
    <x v="2"/>
    <x v="4"/>
    <x v="1397"/>
    <x v="0"/>
    <x v="0"/>
    <x v="0"/>
    <x v="1397"/>
    <x v="1290"/>
    <x v="1208"/>
    <x v="725"/>
    <x v="145"/>
    <x v="0"/>
    <x v="4"/>
  </r>
  <r>
    <x v="210"/>
    <x v="2"/>
    <x v="4"/>
    <x v="4"/>
    <x v="18"/>
    <x v="1383"/>
    <x v="1396"/>
    <x v="2"/>
    <x v="0"/>
    <x v="3"/>
    <x v="1"/>
    <x v="1398"/>
    <x v="3"/>
    <x v="3"/>
    <x v="1"/>
    <x v="1398"/>
    <x v="1184"/>
    <x v="528"/>
    <x v="210"/>
    <x v="709"/>
    <x v="2"/>
    <x v="4"/>
  </r>
  <r>
    <x v="657"/>
    <x v="8"/>
    <x v="0"/>
    <x v="1"/>
    <x v="14"/>
    <x v="1384"/>
    <x v="1397"/>
    <x v="0"/>
    <x v="1"/>
    <x v="2"/>
    <x v="2"/>
    <x v="1399"/>
    <x v="4"/>
    <x v="3"/>
    <x v="0"/>
    <x v="1399"/>
    <x v="1291"/>
    <x v="370"/>
    <x v="657"/>
    <x v="644"/>
    <x v="8"/>
    <x v="0"/>
  </r>
  <r>
    <x v="370"/>
    <x v="0"/>
    <x v="0"/>
    <x v="4"/>
    <x v="2"/>
    <x v="1385"/>
    <x v="1398"/>
    <x v="3"/>
    <x v="1"/>
    <x v="3"/>
    <x v="5"/>
    <x v="1400"/>
    <x v="2"/>
    <x v="1"/>
    <x v="1"/>
    <x v="1400"/>
    <x v="12"/>
    <x v="1209"/>
    <x v="370"/>
    <x v="556"/>
    <x v="8"/>
    <x v="0"/>
  </r>
  <r>
    <x v="726"/>
    <x v="11"/>
    <x v="4"/>
    <x v="6"/>
    <x v="5"/>
    <x v="1386"/>
    <x v="1399"/>
    <x v="0"/>
    <x v="0"/>
    <x v="2"/>
    <x v="4"/>
    <x v="1401"/>
    <x v="3"/>
    <x v="2"/>
    <x v="0"/>
    <x v="1401"/>
    <x v="1292"/>
    <x v="1210"/>
    <x v="726"/>
    <x v="407"/>
    <x v="7"/>
    <x v="4"/>
  </r>
  <r>
    <x v="153"/>
    <x v="3"/>
    <x v="0"/>
    <x v="5"/>
    <x v="6"/>
    <x v="476"/>
    <x v="1400"/>
    <x v="0"/>
    <x v="1"/>
    <x v="1"/>
    <x v="4"/>
    <x v="1402"/>
    <x v="1"/>
    <x v="3"/>
    <x v="0"/>
    <x v="1402"/>
    <x v="1293"/>
    <x v="1211"/>
    <x v="153"/>
    <x v="523"/>
    <x v="1"/>
    <x v="0"/>
  </r>
  <r>
    <x v="423"/>
    <x v="4"/>
    <x v="3"/>
    <x v="5"/>
    <x v="15"/>
    <x v="1387"/>
    <x v="1401"/>
    <x v="2"/>
    <x v="0"/>
    <x v="0"/>
    <x v="5"/>
    <x v="1403"/>
    <x v="0"/>
    <x v="0"/>
    <x v="0"/>
    <x v="1403"/>
    <x v="1294"/>
    <x v="167"/>
    <x v="423"/>
    <x v="710"/>
    <x v="1"/>
    <x v="3"/>
  </r>
  <r>
    <x v="45"/>
    <x v="0"/>
    <x v="0"/>
    <x v="1"/>
    <x v="12"/>
    <x v="1388"/>
    <x v="1402"/>
    <x v="2"/>
    <x v="1"/>
    <x v="2"/>
    <x v="0"/>
    <x v="1404"/>
    <x v="4"/>
    <x v="3"/>
    <x v="0"/>
    <x v="1404"/>
    <x v="1295"/>
    <x v="284"/>
    <x v="45"/>
    <x v="88"/>
    <x v="8"/>
    <x v="0"/>
  </r>
  <r>
    <x v="203"/>
    <x v="9"/>
    <x v="0"/>
    <x v="5"/>
    <x v="7"/>
    <x v="1389"/>
    <x v="1403"/>
    <x v="3"/>
    <x v="1"/>
    <x v="0"/>
    <x v="0"/>
    <x v="1405"/>
    <x v="4"/>
    <x v="3"/>
    <x v="1"/>
    <x v="1405"/>
    <x v="1296"/>
    <x v="1212"/>
    <x v="203"/>
    <x v="711"/>
    <x v="7"/>
    <x v="0"/>
  </r>
  <r>
    <x v="336"/>
    <x v="2"/>
    <x v="0"/>
    <x v="2"/>
    <x v="7"/>
    <x v="1390"/>
    <x v="1404"/>
    <x v="2"/>
    <x v="0"/>
    <x v="2"/>
    <x v="0"/>
    <x v="1406"/>
    <x v="4"/>
    <x v="1"/>
    <x v="0"/>
    <x v="1406"/>
    <x v="1297"/>
    <x v="1213"/>
    <x v="336"/>
    <x v="712"/>
    <x v="4"/>
    <x v="0"/>
  </r>
  <r>
    <x v="339"/>
    <x v="11"/>
    <x v="1"/>
    <x v="6"/>
    <x v="0"/>
    <x v="1391"/>
    <x v="1405"/>
    <x v="3"/>
    <x v="1"/>
    <x v="0"/>
    <x v="2"/>
    <x v="1407"/>
    <x v="0"/>
    <x v="2"/>
    <x v="0"/>
    <x v="1407"/>
    <x v="1298"/>
    <x v="1214"/>
    <x v="339"/>
    <x v="456"/>
    <x v="1"/>
    <x v="1"/>
  </r>
  <r>
    <x v="518"/>
    <x v="7"/>
    <x v="3"/>
    <x v="5"/>
    <x v="8"/>
    <x v="157"/>
    <x v="1406"/>
    <x v="3"/>
    <x v="1"/>
    <x v="3"/>
    <x v="1"/>
    <x v="1408"/>
    <x v="2"/>
    <x v="0"/>
    <x v="0"/>
    <x v="1408"/>
    <x v="842"/>
    <x v="1215"/>
    <x v="518"/>
    <x v="524"/>
    <x v="5"/>
    <x v="3"/>
  </r>
  <r>
    <x v="727"/>
    <x v="11"/>
    <x v="3"/>
    <x v="2"/>
    <x v="17"/>
    <x v="1392"/>
    <x v="1407"/>
    <x v="1"/>
    <x v="1"/>
    <x v="3"/>
    <x v="4"/>
    <x v="1409"/>
    <x v="1"/>
    <x v="0"/>
    <x v="0"/>
    <x v="1409"/>
    <x v="1299"/>
    <x v="1216"/>
    <x v="727"/>
    <x v="242"/>
    <x v="4"/>
    <x v="3"/>
  </r>
  <r>
    <x v="163"/>
    <x v="3"/>
    <x v="0"/>
    <x v="4"/>
    <x v="1"/>
    <x v="1393"/>
    <x v="1408"/>
    <x v="2"/>
    <x v="0"/>
    <x v="3"/>
    <x v="2"/>
    <x v="1410"/>
    <x v="0"/>
    <x v="2"/>
    <x v="0"/>
    <x v="1410"/>
    <x v="1300"/>
    <x v="1217"/>
    <x v="163"/>
    <x v="99"/>
    <x v="5"/>
    <x v="0"/>
  </r>
  <r>
    <x v="645"/>
    <x v="7"/>
    <x v="3"/>
    <x v="3"/>
    <x v="16"/>
    <x v="1394"/>
    <x v="1409"/>
    <x v="0"/>
    <x v="0"/>
    <x v="1"/>
    <x v="3"/>
    <x v="1411"/>
    <x v="4"/>
    <x v="3"/>
    <x v="0"/>
    <x v="1411"/>
    <x v="458"/>
    <x v="1218"/>
    <x v="645"/>
    <x v="92"/>
    <x v="4"/>
    <x v="3"/>
  </r>
  <r>
    <x v="194"/>
    <x v="2"/>
    <x v="1"/>
    <x v="0"/>
    <x v="2"/>
    <x v="1395"/>
    <x v="1410"/>
    <x v="3"/>
    <x v="1"/>
    <x v="2"/>
    <x v="1"/>
    <x v="1412"/>
    <x v="4"/>
    <x v="2"/>
    <x v="1"/>
    <x v="1412"/>
    <x v="1011"/>
    <x v="989"/>
    <x v="194"/>
    <x v="713"/>
    <x v="8"/>
    <x v="1"/>
  </r>
  <r>
    <x v="695"/>
    <x v="2"/>
    <x v="0"/>
    <x v="0"/>
    <x v="1"/>
    <x v="1396"/>
    <x v="1411"/>
    <x v="3"/>
    <x v="1"/>
    <x v="1"/>
    <x v="0"/>
    <x v="1413"/>
    <x v="3"/>
    <x v="0"/>
    <x v="0"/>
    <x v="1413"/>
    <x v="1301"/>
    <x v="1219"/>
    <x v="695"/>
    <x v="114"/>
    <x v="5"/>
    <x v="0"/>
  </r>
  <r>
    <x v="61"/>
    <x v="6"/>
    <x v="2"/>
    <x v="5"/>
    <x v="15"/>
    <x v="1397"/>
    <x v="1412"/>
    <x v="0"/>
    <x v="1"/>
    <x v="1"/>
    <x v="4"/>
    <x v="1414"/>
    <x v="4"/>
    <x v="1"/>
    <x v="0"/>
    <x v="1414"/>
    <x v="1302"/>
    <x v="1220"/>
    <x v="61"/>
    <x v="283"/>
    <x v="8"/>
    <x v="2"/>
  </r>
  <r>
    <x v="503"/>
    <x v="3"/>
    <x v="1"/>
    <x v="0"/>
    <x v="8"/>
    <x v="1398"/>
    <x v="1413"/>
    <x v="2"/>
    <x v="0"/>
    <x v="0"/>
    <x v="2"/>
    <x v="1415"/>
    <x v="0"/>
    <x v="1"/>
    <x v="1"/>
    <x v="1415"/>
    <x v="831"/>
    <x v="969"/>
    <x v="503"/>
    <x v="714"/>
    <x v="5"/>
    <x v="1"/>
  </r>
  <r>
    <x v="176"/>
    <x v="3"/>
    <x v="4"/>
    <x v="5"/>
    <x v="17"/>
    <x v="1399"/>
    <x v="1414"/>
    <x v="3"/>
    <x v="1"/>
    <x v="2"/>
    <x v="2"/>
    <x v="1416"/>
    <x v="1"/>
    <x v="3"/>
    <x v="0"/>
    <x v="1416"/>
    <x v="1303"/>
    <x v="1221"/>
    <x v="176"/>
    <x v="715"/>
    <x v="0"/>
    <x v="4"/>
  </r>
  <r>
    <x v="204"/>
    <x v="7"/>
    <x v="4"/>
    <x v="2"/>
    <x v="4"/>
    <x v="1400"/>
    <x v="1415"/>
    <x v="0"/>
    <x v="0"/>
    <x v="1"/>
    <x v="4"/>
    <x v="1417"/>
    <x v="2"/>
    <x v="1"/>
    <x v="0"/>
    <x v="1417"/>
    <x v="1304"/>
    <x v="1222"/>
    <x v="204"/>
    <x v="385"/>
    <x v="1"/>
    <x v="4"/>
  </r>
  <r>
    <x v="44"/>
    <x v="3"/>
    <x v="2"/>
    <x v="5"/>
    <x v="10"/>
    <x v="1401"/>
    <x v="1416"/>
    <x v="0"/>
    <x v="0"/>
    <x v="3"/>
    <x v="3"/>
    <x v="1418"/>
    <x v="4"/>
    <x v="3"/>
    <x v="0"/>
    <x v="1418"/>
    <x v="1305"/>
    <x v="1223"/>
    <x v="44"/>
    <x v="43"/>
    <x v="3"/>
    <x v="2"/>
  </r>
  <r>
    <x v="306"/>
    <x v="6"/>
    <x v="0"/>
    <x v="5"/>
    <x v="1"/>
    <x v="1402"/>
    <x v="1417"/>
    <x v="0"/>
    <x v="0"/>
    <x v="1"/>
    <x v="3"/>
    <x v="1419"/>
    <x v="1"/>
    <x v="1"/>
    <x v="1"/>
    <x v="1419"/>
    <x v="1306"/>
    <x v="1224"/>
    <x v="306"/>
    <x v="592"/>
    <x v="6"/>
    <x v="0"/>
  </r>
  <r>
    <x v="582"/>
    <x v="6"/>
    <x v="0"/>
    <x v="0"/>
    <x v="14"/>
    <x v="1403"/>
    <x v="1418"/>
    <x v="3"/>
    <x v="0"/>
    <x v="2"/>
    <x v="3"/>
    <x v="1420"/>
    <x v="4"/>
    <x v="2"/>
    <x v="1"/>
    <x v="1420"/>
    <x v="1307"/>
    <x v="1225"/>
    <x v="582"/>
    <x v="35"/>
    <x v="4"/>
    <x v="0"/>
  </r>
  <r>
    <x v="530"/>
    <x v="10"/>
    <x v="4"/>
    <x v="4"/>
    <x v="19"/>
    <x v="1404"/>
    <x v="1419"/>
    <x v="0"/>
    <x v="1"/>
    <x v="0"/>
    <x v="1"/>
    <x v="1421"/>
    <x v="0"/>
    <x v="0"/>
    <x v="0"/>
    <x v="1421"/>
    <x v="1308"/>
    <x v="1226"/>
    <x v="530"/>
    <x v="471"/>
    <x v="4"/>
    <x v="4"/>
  </r>
  <r>
    <x v="683"/>
    <x v="7"/>
    <x v="1"/>
    <x v="1"/>
    <x v="16"/>
    <x v="1405"/>
    <x v="1420"/>
    <x v="3"/>
    <x v="1"/>
    <x v="2"/>
    <x v="2"/>
    <x v="1422"/>
    <x v="4"/>
    <x v="2"/>
    <x v="0"/>
    <x v="1422"/>
    <x v="577"/>
    <x v="1227"/>
    <x v="683"/>
    <x v="589"/>
    <x v="0"/>
    <x v="1"/>
  </r>
  <r>
    <x v="15"/>
    <x v="2"/>
    <x v="3"/>
    <x v="3"/>
    <x v="18"/>
    <x v="1406"/>
    <x v="1421"/>
    <x v="1"/>
    <x v="0"/>
    <x v="1"/>
    <x v="1"/>
    <x v="1423"/>
    <x v="3"/>
    <x v="1"/>
    <x v="0"/>
    <x v="1423"/>
    <x v="359"/>
    <x v="1228"/>
    <x v="15"/>
    <x v="716"/>
    <x v="5"/>
    <x v="3"/>
  </r>
  <r>
    <x v="464"/>
    <x v="1"/>
    <x v="2"/>
    <x v="6"/>
    <x v="18"/>
    <x v="1407"/>
    <x v="1422"/>
    <x v="2"/>
    <x v="1"/>
    <x v="0"/>
    <x v="1"/>
    <x v="1424"/>
    <x v="0"/>
    <x v="3"/>
    <x v="0"/>
    <x v="1424"/>
    <x v="1309"/>
    <x v="1229"/>
    <x v="464"/>
    <x v="263"/>
    <x v="3"/>
    <x v="2"/>
  </r>
  <r>
    <x v="375"/>
    <x v="4"/>
    <x v="2"/>
    <x v="6"/>
    <x v="12"/>
    <x v="1408"/>
    <x v="1423"/>
    <x v="3"/>
    <x v="0"/>
    <x v="1"/>
    <x v="1"/>
    <x v="1425"/>
    <x v="1"/>
    <x v="3"/>
    <x v="0"/>
    <x v="1425"/>
    <x v="1310"/>
    <x v="1230"/>
    <x v="375"/>
    <x v="705"/>
    <x v="8"/>
    <x v="2"/>
  </r>
  <r>
    <x v="2"/>
    <x v="2"/>
    <x v="0"/>
    <x v="1"/>
    <x v="2"/>
    <x v="1409"/>
    <x v="1424"/>
    <x v="1"/>
    <x v="0"/>
    <x v="3"/>
    <x v="5"/>
    <x v="1426"/>
    <x v="0"/>
    <x v="1"/>
    <x v="0"/>
    <x v="1426"/>
    <x v="1311"/>
    <x v="997"/>
    <x v="2"/>
    <x v="28"/>
    <x v="6"/>
    <x v="0"/>
  </r>
  <r>
    <x v="728"/>
    <x v="3"/>
    <x v="3"/>
    <x v="4"/>
    <x v="2"/>
    <x v="1410"/>
    <x v="1425"/>
    <x v="2"/>
    <x v="1"/>
    <x v="1"/>
    <x v="1"/>
    <x v="1427"/>
    <x v="3"/>
    <x v="0"/>
    <x v="0"/>
    <x v="1427"/>
    <x v="1312"/>
    <x v="1231"/>
    <x v="728"/>
    <x v="370"/>
    <x v="6"/>
    <x v="3"/>
  </r>
  <r>
    <x v="259"/>
    <x v="6"/>
    <x v="4"/>
    <x v="5"/>
    <x v="14"/>
    <x v="1411"/>
    <x v="1426"/>
    <x v="2"/>
    <x v="0"/>
    <x v="1"/>
    <x v="0"/>
    <x v="1428"/>
    <x v="0"/>
    <x v="0"/>
    <x v="0"/>
    <x v="1428"/>
    <x v="1313"/>
    <x v="1232"/>
    <x v="259"/>
    <x v="717"/>
    <x v="1"/>
    <x v="4"/>
  </r>
  <r>
    <x v="625"/>
    <x v="7"/>
    <x v="2"/>
    <x v="5"/>
    <x v="18"/>
    <x v="1412"/>
    <x v="1427"/>
    <x v="1"/>
    <x v="0"/>
    <x v="0"/>
    <x v="3"/>
    <x v="1429"/>
    <x v="2"/>
    <x v="2"/>
    <x v="0"/>
    <x v="1429"/>
    <x v="1314"/>
    <x v="970"/>
    <x v="625"/>
    <x v="498"/>
    <x v="8"/>
    <x v="2"/>
  </r>
  <r>
    <x v="230"/>
    <x v="0"/>
    <x v="3"/>
    <x v="0"/>
    <x v="0"/>
    <x v="1413"/>
    <x v="1428"/>
    <x v="1"/>
    <x v="1"/>
    <x v="1"/>
    <x v="0"/>
    <x v="1430"/>
    <x v="4"/>
    <x v="2"/>
    <x v="0"/>
    <x v="1430"/>
    <x v="1315"/>
    <x v="1233"/>
    <x v="230"/>
    <x v="301"/>
    <x v="4"/>
    <x v="3"/>
  </r>
  <r>
    <x v="729"/>
    <x v="4"/>
    <x v="0"/>
    <x v="5"/>
    <x v="9"/>
    <x v="1414"/>
    <x v="1429"/>
    <x v="1"/>
    <x v="1"/>
    <x v="3"/>
    <x v="0"/>
    <x v="1431"/>
    <x v="4"/>
    <x v="3"/>
    <x v="0"/>
    <x v="1431"/>
    <x v="1316"/>
    <x v="1234"/>
    <x v="729"/>
    <x v="406"/>
    <x v="2"/>
    <x v="0"/>
  </r>
  <r>
    <x v="250"/>
    <x v="8"/>
    <x v="0"/>
    <x v="1"/>
    <x v="16"/>
    <x v="1415"/>
    <x v="1430"/>
    <x v="2"/>
    <x v="1"/>
    <x v="3"/>
    <x v="0"/>
    <x v="1432"/>
    <x v="1"/>
    <x v="0"/>
    <x v="0"/>
    <x v="1432"/>
    <x v="1317"/>
    <x v="1194"/>
    <x v="250"/>
    <x v="718"/>
    <x v="5"/>
    <x v="0"/>
  </r>
  <r>
    <x v="65"/>
    <x v="8"/>
    <x v="3"/>
    <x v="2"/>
    <x v="0"/>
    <x v="1416"/>
    <x v="1431"/>
    <x v="0"/>
    <x v="0"/>
    <x v="1"/>
    <x v="1"/>
    <x v="1433"/>
    <x v="2"/>
    <x v="2"/>
    <x v="0"/>
    <x v="1433"/>
    <x v="1318"/>
    <x v="1235"/>
    <x v="65"/>
    <x v="719"/>
    <x v="2"/>
    <x v="3"/>
  </r>
  <r>
    <x v="730"/>
    <x v="7"/>
    <x v="2"/>
    <x v="2"/>
    <x v="16"/>
    <x v="1417"/>
    <x v="1432"/>
    <x v="3"/>
    <x v="0"/>
    <x v="0"/>
    <x v="0"/>
    <x v="1434"/>
    <x v="3"/>
    <x v="2"/>
    <x v="0"/>
    <x v="1434"/>
    <x v="1319"/>
    <x v="117"/>
    <x v="730"/>
    <x v="720"/>
    <x v="6"/>
    <x v="2"/>
  </r>
  <r>
    <x v="485"/>
    <x v="5"/>
    <x v="3"/>
    <x v="5"/>
    <x v="10"/>
    <x v="1418"/>
    <x v="1433"/>
    <x v="3"/>
    <x v="0"/>
    <x v="1"/>
    <x v="3"/>
    <x v="1435"/>
    <x v="3"/>
    <x v="1"/>
    <x v="0"/>
    <x v="1435"/>
    <x v="1320"/>
    <x v="1236"/>
    <x v="485"/>
    <x v="553"/>
    <x v="2"/>
    <x v="3"/>
  </r>
  <r>
    <x v="109"/>
    <x v="4"/>
    <x v="0"/>
    <x v="3"/>
    <x v="10"/>
    <x v="1419"/>
    <x v="1434"/>
    <x v="0"/>
    <x v="1"/>
    <x v="1"/>
    <x v="2"/>
    <x v="1436"/>
    <x v="2"/>
    <x v="1"/>
    <x v="0"/>
    <x v="1436"/>
    <x v="1321"/>
    <x v="489"/>
    <x v="109"/>
    <x v="502"/>
    <x v="4"/>
    <x v="0"/>
  </r>
  <r>
    <x v="284"/>
    <x v="1"/>
    <x v="1"/>
    <x v="4"/>
    <x v="15"/>
    <x v="1420"/>
    <x v="1435"/>
    <x v="2"/>
    <x v="0"/>
    <x v="3"/>
    <x v="2"/>
    <x v="1437"/>
    <x v="2"/>
    <x v="3"/>
    <x v="0"/>
    <x v="1437"/>
    <x v="1322"/>
    <x v="1237"/>
    <x v="284"/>
    <x v="721"/>
    <x v="1"/>
    <x v="1"/>
  </r>
  <r>
    <x v="408"/>
    <x v="5"/>
    <x v="3"/>
    <x v="6"/>
    <x v="17"/>
    <x v="1421"/>
    <x v="1436"/>
    <x v="0"/>
    <x v="1"/>
    <x v="1"/>
    <x v="5"/>
    <x v="1438"/>
    <x v="1"/>
    <x v="2"/>
    <x v="1"/>
    <x v="1438"/>
    <x v="10"/>
    <x v="1238"/>
    <x v="408"/>
    <x v="267"/>
    <x v="5"/>
    <x v="3"/>
  </r>
  <r>
    <x v="346"/>
    <x v="9"/>
    <x v="4"/>
    <x v="4"/>
    <x v="19"/>
    <x v="1422"/>
    <x v="1437"/>
    <x v="1"/>
    <x v="1"/>
    <x v="1"/>
    <x v="1"/>
    <x v="1439"/>
    <x v="4"/>
    <x v="0"/>
    <x v="1"/>
    <x v="1439"/>
    <x v="1323"/>
    <x v="1239"/>
    <x v="346"/>
    <x v="591"/>
    <x v="0"/>
    <x v="4"/>
  </r>
  <r>
    <x v="199"/>
    <x v="6"/>
    <x v="1"/>
    <x v="0"/>
    <x v="14"/>
    <x v="1423"/>
    <x v="1438"/>
    <x v="3"/>
    <x v="1"/>
    <x v="0"/>
    <x v="5"/>
    <x v="1440"/>
    <x v="4"/>
    <x v="0"/>
    <x v="0"/>
    <x v="1440"/>
    <x v="1324"/>
    <x v="1240"/>
    <x v="199"/>
    <x v="198"/>
    <x v="5"/>
    <x v="1"/>
  </r>
  <r>
    <x v="278"/>
    <x v="0"/>
    <x v="0"/>
    <x v="0"/>
    <x v="4"/>
    <x v="1424"/>
    <x v="1439"/>
    <x v="2"/>
    <x v="0"/>
    <x v="3"/>
    <x v="0"/>
    <x v="1441"/>
    <x v="3"/>
    <x v="2"/>
    <x v="0"/>
    <x v="1441"/>
    <x v="824"/>
    <x v="1241"/>
    <x v="278"/>
    <x v="171"/>
    <x v="8"/>
    <x v="0"/>
  </r>
  <r>
    <x v="567"/>
    <x v="11"/>
    <x v="1"/>
    <x v="5"/>
    <x v="9"/>
    <x v="1425"/>
    <x v="1440"/>
    <x v="2"/>
    <x v="1"/>
    <x v="3"/>
    <x v="1"/>
    <x v="1442"/>
    <x v="1"/>
    <x v="0"/>
    <x v="0"/>
    <x v="1442"/>
    <x v="1325"/>
    <x v="439"/>
    <x v="567"/>
    <x v="456"/>
    <x v="6"/>
    <x v="1"/>
  </r>
  <r>
    <x v="161"/>
    <x v="3"/>
    <x v="1"/>
    <x v="3"/>
    <x v="5"/>
    <x v="1426"/>
    <x v="1441"/>
    <x v="3"/>
    <x v="1"/>
    <x v="3"/>
    <x v="4"/>
    <x v="1443"/>
    <x v="4"/>
    <x v="2"/>
    <x v="0"/>
    <x v="1443"/>
    <x v="1326"/>
    <x v="8"/>
    <x v="161"/>
    <x v="246"/>
    <x v="3"/>
    <x v="1"/>
  </r>
  <r>
    <x v="177"/>
    <x v="7"/>
    <x v="3"/>
    <x v="0"/>
    <x v="16"/>
    <x v="1427"/>
    <x v="1442"/>
    <x v="1"/>
    <x v="0"/>
    <x v="3"/>
    <x v="1"/>
    <x v="1444"/>
    <x v="4"/>
    <x v="2"/>
    <x v="1"/>
    <x v="1444"/>
    <x v="1327"/>
    <x v="1242"/>
    <x v="177"/>
    <x v="358"/>
    <x v="0"/>
    <x v="3"/>
  </r>
  <r>
    <x v="454"/>
    <x v="7"/>
    <x v="2"/>
    <x v="6"/>
    <x v="7"/>
    <x v="1428"/>
    <x v="1443"/>
    <x v="1"/>
    <x v="0"/>
    <x v="0"/>
    <x v="0"/>
    <x v="1445"/>
    <x v="4"/>
    <x v="0"/>
    <x v="0"/>
    <x v="1445"/>
    <x v="1328"/>
    <x v="1243"/>
    <x v="454"/>
    <x v="547"/>
    <x v="3"/>
    <x v="2"/>
  </r>
  <r>
    <x v="540"/>
    <x v="8"/>
    <x v="3"/>
    <x v="0"/>
    <x v="18"/>
    <x v="1429"/>
    <x v="1444"/>
    <x v="3"/>
    <x v="0"/>
    <x v="2"/>
    <x v="2"/>
    <x v="1446"/>
    <x v="4"/>
    <x v="3"/>
    <x v="1"/>
    <x v="1446"/>
    <x v="1329"/>
    <x v="1244"/>
    <x v="540"/>
    <x v="94"/>
    <x v="5"/>
    <x v="3"/>
  </r>
  <r>
    <x v="731"/>
    <x v="3"/>
    <x v="0"/>
    <x v="1"/>
    <x v="11"/>
    <x v="1430"/>
    <x v="1445"/>
    <x v="1"/>
    <x v="0"/>
    <x v="3"/>
    <x v="1"/>
    <x v="1447"/>
    <x v="1"/>
    <x v="0"/>
    <x v="1"/>
    <x v="1447"/>
    <x v="1196"/>
    <x v="1245"/>
    <x v="731"/>
    <x v="715"/>
    <x v="3"/>
    <x v="0"/>
  </r>
  <r>
    <x v="732"/>
    <x v="3"/>
    <x v="0"/>
    <x v="5"/>
    <x v="10"/>
    <x v="1431"/>
    <x v="1446"/>
    <x v="0"/>
    <x v="1"/>
    <x v="1"/>
    <x v="3"/>
    <x v="1448"/>
    <x v="1"/>
    <x v="3"/>
    <x v="0"/>
    <x v="1448"/>
    <x v="776"/>
    <x v="1246"/>
    <x v="732"/>
    <x v="630"/>
    <x v="1"/>
    <x v="0"/>
  </r>
  <r>
    <x v="112"/>
    <x v="1"/>
    <x v="3"/>
    <x v="2"/>
    <x v="10"/>
    <x v="1432"/>
    <x v="1447"/>
    <x v="2"/>
    <x v="0"/>
    <x v="3"/>
    <x v="0"/>
    <x v="1449"/>
    <x v="2"/>
    <x v="0"/>
    <x v="0"/>
    <x v="1449"/>
    <x v="1330"/>
    <x v="1247"/>
    <x v="112"/>
    <x v="204"/>
    <x v="4"/>
    <x v="3"/>
  </r>
  <r>
    <x v="733"/>
    <x v="8"/>
    <x v="4"/>
    <x v="5"/>
    <x v="7"/>
    <x v="1433"/>
    <x v="1448"/>
    <x v="3"/>
    <x v="1"/>
    <x v="3"/>
    <x v="4"/>
    <x v="1450"/>
    <x v="1"/>
    <x v="2"/>
    <x v="1"/>
    <x v="1450"/>
    <x v="1331"/>
    <x v="1248"/>
    <x v="733"/>
    <x v="688"/>
    <x v="7"/>
    <x v="4"/>
  </r>
  <r>
    <x v="264"/>
    <x v="7"/>
    <x v="4"/>
    <x v="3"/>
    <x v="7"/>
    <x v="1434"/>
    <x v="1449"/>
    <x v="3"/>
    <x v="0"/>
    <x v="2"/>
    <x v="4"/>
    <x v="1451"/>
    <x v="4"/>
    <x v="2"/>
    <x v="1"/>
    <x v="1451"/>
    <x v="957"/>
    <x v="1249"/>
    <x v="264"/>
    <x v="309"/>
    <x v="6"/>
    <x v="4"/>
  </r>
  <r>
    <x v="441"/>
    <x v="1"/>
    <x v="2"/>
    <x v="2"/>
    <x v="5"/>
    <x v="1435"/>
    <x v="1450"/>
    <x v="0"/>
    <x v="1"/>
    <x v="2"/>
    <x v="0"/>
    <x v="1452"/>
    <x v="1"/>
    <x v="2"/>
    <x v="1"/>
    <x v="1452"/>
    <x v="1332"/>
    <x v="942"/>
    <x v="441"/>
    <x v="221"/>
    <x v="1"/>
    <x v="2"/>
  </r>
  <r>
    <x v="669"/>
    <x v="10"/>
    <x v="1"/>
    <x v="4"/>
    <x v="12"/>
    <x v="1436"/>
    <x v="1451"/>
    <x v="3"/>
    <x v="0"/>
    <x v="2"/>
    <x v="0"/>
    <x v="1453"/>
    <x v="4"/>
    <x v="2"/>
    <x v="1"/>
    <x v="1453"/>
    <x v="1333"/>
    <x v="1250"/>
    <x v="669"/>
    <x v="266"/>
    <x v="7"/>
    <x v="1"/>
  </r>
  <r>
    <x v="564"/>
    <x v="11"/>
    <x v="0"/>
    <x v="0"/>
    <x v="9"/>
    <x v="1437"/>
    <x v="1452"/>
    <x v="2"/>
    <x v="0"/>
    <x v="1"/>
    <x v="0"/>
    <x v="1454"/>
    <x v="2"/>
    <x v="0"/>
    <x v="0"/>
    <x v="1454"/>
    <x v="1168"/>
    <x v="1251"/>
    <x v="564"/>
    <x v="679"/>
    <x v="6"/>
    <x v="0"/>
  </r>
  <r>
    <x v="734"/>
    <x v="5"/>
    <x v="1"/>
    <x v="5"/>
    <x v="0"/>
    <x v="1438"/>
    <x v="1453"/>
    <x v="3"/>
    <x v="0"/>
    <x v="1"/>
    <x v="4"/>
    <x v="1455"/>
    <x v="3"/>
    <x v="2"/>
    <x v="0"/>
    <x v="1455"/>
    <x v="1266"/>
    <x v="1252"/>
    <x v="734"/>
    <x v="381"/>
    <x v="4"/>
    <x v="1"/>
  </r>
  <r>
    <x v="549"/>
    <x v="2"/>
    <x v="1"/>
    <x v="1"/>
    <x v="18"/>
    <x v="1439"/>
    <x v="1454"/>
    <x v="0"/>
    <x v="1"/>
    <x v="2"/>
    <x v="5"/>
    <x v="1456"/>
    <x v="0"/>
    <x v="2"/>
    <x v="1"/>
    <x v="1456"/>
    <x v="1334"/>
    <x v="1253"/>
    <x v="549"/>
    <x v="346"/>
    <x v="0"/>
    <x v="1"/>
  </r>
  <r>
    <x v="735"/>
    <x v="4"/>
    <x v="1"/>
    <x v="0"/>
    <x v="4"/>
    <x v="1440"/>
    <x v="1455"/>
    <x v="2"/>
    <x v="1"/>
    <x v="2"/>
    <x v="0"/>
    <x v="1457"/>
    <x v="0"/>
    <x v="0"/>
    <x v="0"/>
    <x v="1457"/>
    <x v="1335"/>
    <x v="1254"/>
    <x v="735"/>
    <x v="722"/>
    <x v="3"/>
    <x v="1"/>
  </r>
  <r>
    <x v="544"/>
    <x v="5"/>
    <x v="2"/>
    <x v="2"/>
    <x v="7"/>
    <x v="1441"/>
    <x v="1456"/>
    <x v="0"/>
    <x v="0"/>
    <x v="0"/>
    <x v="5"/>
    <x v="1458"/>
    <x v="3"/>
    <x v="3"/>
    <x v="1"/>
    <x v="1458"/>
    <x v="1336"/>
    <x v="1255"/>
    <x v="544"/>
    <x v="25"/>
    <x v="1"/>
    <x v="2"/>
  </r>
  <r>
    <x v="659"/>
    <x v="7"/>
    <x v="4"/>
    <x v="3"/>
    <x v="18"/>
    <x v="1442"/>
    <x v="1457"/>
    <x v="1"/>
    <x v="0"/>
    <x v="0"/>
    <x v="1"/>
    <x v="1459"/>
    <x v="0"/>
    <x v="1"/>
    <x v="1"/>
    <x v="1459"/>
    <x v="1337"/>
    <x v="1256"/>
    <x v="659"/>
    <x v="723"/>
    <x v="7"/>
    <x v="4"/>
  </r>
  <r>
    <x v="199"/>
    <x v="6"/>
    <x v="3"/>
    <x v="2"/>
    <x v="3"/>
    <x v="1443"/>
    <x v="1458"/>
    <x v="2"/>
    <x v="0"/>
    <x v="0"/>
    <x v="2"/>
    <x v="1460"/>
    <x v="2"/>
    <x v="0"/>
    <x v="0"/>
    <x v="1460"/>
    <x v="1338"/>
    <x v="1257"/>
    <x v="199"/>
    <x v="315"/>
    <x v="0"/>
    <x v="3"/>
  </r>
  <r>
    <x v="94"/>
    <x v="4"/>
    <x v="2"/>
    <x v="6"/>
    <x v="14"/>
    <x v="1444"/>
    <x v="174"/>
    <x v="0"/>
    <x v="1"/>
    <x v="2"/>
    <x v="3"/>
    <x v="1461"/>
    <x v="2"/>
    <x v="3"/>
    <x v="1"/>
    <x v="1461"/>
    <x v="1339"/>
    <x v="928"/>
    <x v="94"/>
    <x v="519"/>
    <x v="6"/>
    <x v="2"/>
  </r>
  <r>
    <x v="166"/>
    <x v="6"/>
    <x v="0"/>
    <x v="1"/>
    <x v="10"/>
    <x v="1445"/>
    <x v="1459"/>
    <x v="3"/>
    <x v="0"/>
    <x v="3"/>
    <x v="0"/>
    <x v="1462"/>
    <x v="4"/>
    <x v="3"/>
    <x v="0"/>
    <x v="1462"/>
    <x v="1340"/>
    <x v="1258"/>
    <x v="166"/>
    <x v="358"/>
    <x v="3"/>
    <x v="0"/>
  </r>
  <r>
    <x v="423"/>
    <x v="4"/>
    <x v="3"/>
    <x v="2"/>
    <x v="10"/>
    <x v="1446"/>
    <x v="1460"/>
    <x v="3"/>
    <x v="0"/>
    <x v="0"/>
    <x v="4"/>
    <x v="1463"/>
    <x v="3"/>
    <x v="3"/>
    <x v="1"/>
    <x v="1463"/>
    <x v="1013"/>
    <x v="1259"/>
    <x v="423"/>
    <x v="49"/>
    <x v="8"/>
    <x v="3"/>
  </r>
  <r>
    <x v="494"/>
    <x v="2"/>
    <x v="2"/>
    <x v="3"/>
    <x v="8"/>
    <x v="1447"/>
    <x v="1461"/>
    <x v="2"/>
    <x v="1"/>
    <x v="1"/>
    <x v="5"/>
    <x v="1464"/>
    <x v="1"/>
    <x v="0"/>
    <x v="0"/>
    <x v="1464"/>
    <x v="1341"/>
    <x v="249"/>
    <x v="494"/>
    <x v="724"/>
    <x v="8"/>
    <x v="2"/>
  </r>
  <r>
    <x v="736"/>
    <x v="11"/>
    <x v="3"/>
    <x v="3"/>
    <x v="0"/>
    <x v="1448"/>
    <x v="1462"/>
    <x v="1"/>
    <x v="0"/>
    <x v="0"/>
    <x v="5"/>
    <x v="1465"/>
    <x v="3"/>
    <x v="3"/>
    <x v="0"/>
    <x v="1465"/>
    <x v="1342"/>
    <x v="1260"/>
    <x v="736"/>
    <x v="272"/>
    <x v="4"/>
    <x v="3"/>
  </r>
  <r>
    <x v="737"/>
    <x v="1"/>
    <x v="1"/>
    <x v="4"/>
    <x v="17"/>
    <x v="1449"/>
    <x v="1463"/>
    <x v="0"/>
    <x v="1"/>
    <x v="2"/>
    <x v="1"/>
    <x v="1466"/>
    <x v="0"/>
    <x v="3"/>
    <x v="0"/>
    <x v="1466"/>
    <x v="1343"/>
    <x v="1261"/>
    <x v="737"/>
    <x v="725"/>
    <x v="7"/>
    <x v="1"/>
  </r>
  <r>
    <x v="481"/>
    <x v="4"/>
    <x v="3"/>
    <x v="4"/>
    <x v="15"/>
    <x v="1450"/>
    <x v="1464"/>
    <x v="1"/>
    <x v="0"/>
    <x v="3"/>
    <x v="1"/>
    <x v="1467"/>
    <x v="2"/>
    <x v="0"/>
    <x v="0"/>
    <x v="1467"/>
    <x v="1344"/>
    <x v="1262"/>
    <x v="481"/>
    <x v="656"/>
    <x v="7"/>
    <x v="3"/>
  </r>
  <r>
    <x v="1"/>
    <x v="1"/>
    <x v="3"/>
    <x v="0"/>
    <x v="7"/>
    <x v="1451"/>
    <x v="1465"/>
    <x v="2"/>
    <x v="1"/>
    <x v="0"/>
    <x v="2"/>
    <x v="1468"/>
    <x v="0"/>
    <x v="2"/>
    <x v="0"/>
    <x v="1468"/>
    <x v="1345"/>
    <x v="1263"/>
    <x v="1"/>
    <x v="513"/>
    <x v="3"/>
    <x v="3"/>
  </r>
  <r>
    <x v="77"/>
    <x v="1"/>
    <x v="2"/>
    <x v="3"/>
    <x v="17"/>
    <x v="1452"/>
    <x v="1466"/>
    <x v="2"/>
    <x v="0"/>
    <x v="0"/>
    <x v="5"/>
    <x v="1469"/>
    <x v="1"/>
    <x v="0"/>
    <x v="1"/>
    <x v="1469"/>
    <x v="351"/>
    <x v="1264"/>
    <x v="77"/>
    <x v="160"/>
    <x v="4"/>
    <x v="2"/>
  </r>
  <r>
    <x v="707"/>
    <x v="2"/>
    <x v="3"/>
    <x v="0"/>
    <x v="15"/>
    <x v="1453"/>
    <x v="1467"/>
    <x v="3"/>
    <x v="1"/>
    <x v="3"/>
    <x v="1"/>
    <x v="1470"/>
    <x v="0"/>
    <x v="2"/>
    <x v="0"/>
    <x v="1470"/>
    <x v="1346"/>
    <x v="1265"/>
    <x v="707"/>
    <x v="609"/>
    <x v="0"/>
    <x v="3"/>
  </r>
  <r>
    <x v="43"/>
    <x v="3"/>
    <x v="1"/>
    <x v="4"/>
    <x v="16"/>
    <x v="1454"/>
    <x v="1468"/>
    <x v="3"/>
    <x v="1"/>
    <x v="0"/>
    <x v="4"/>
    <x v="1471"/>
    <x v="4"/>
    <x v="2"/>
    <x v="0"/>
    <x v="1471"/>
    <x v="702"/>
    <x v="511"/>
    <x v="43"/>
    <x v="19"/>
    <x v="4"/>
    <x v="1"/>
  </r>
  <r>
    <x v="148"/>
    <x v="3"/>
    <x v="1"/>
    <x v="1"/>
    <x v="11"/>
    <x v="1455"/>
    <x v="1469"/>
    <x v="0"/>
    <x v="0"/>
    <x v="1"/>
    <x v="4"/>
    <x v="1472"/>
    <x v="0"/>
    <x v="3"/>
    <x v="1"/>
    <x v="1472"/>
    <x v="1347"/>
    <x v="1051"/>
    <x v="148"/>
    <x v="726"/>
    <x v="6"/>
    <x v="1"/>
  </r>
  <r>
    <x v="95"/>
    <x v="6"/>
    <x v="3"/>
    <x v="6"/>
    <x v="12"/>
    <x v="1456"/>
    <x v="1470"/>
    <x v="0"/>
    <x v="1"/>
    <x v="2"/>
    <x v="0"/>
    <x v="1473"/>
    <x v="1"/>
    <x v="2"/>
    <x v="0"/>
    <x v="1473"/>
    <x v="1348"/>
    <x v="1266"/>
    <x v="95"/>
    <x v="66"/>
    <x v="5"/>
    <x v="3"/>
  </r>
  <r>
    <x v="625"/>
    <x v="7"/>
    <x v="1"/>
    <x v="1"/>
    <x v="17"/>
    <x v="1457"/>
    <x v="1471"/>
    <x v="0"/>
    <x v="1"/>
    <x v="2"/>
    <x v="0"/>
    <x v="1474"/>
    <x v="2"/>
    <x v="1"/>
    <x v="0"/>
    <x v="1474"/>
    <x v="1349"/>
    <x v="1267"/>
    <x v="625"/>
    <x v="720"/>
    <x v="1"/>
    <x v="1"/>
  </r>
  <r>
    <x v="303"/>
    <x v="11"/>
    <x v="4"/>
    <x v="4"/>
    <x v="19"/>
    <x v="1458"/>
    <x v="1472"/>
    <x v="2"/>
    <x v="0"/>
    <x v="2"/>
    <x v="2"/>
    <x v="1475"/>
    <x v="4"/>
    <x v="2"/>
    <x v="0"/>
    <x v="1475"/>
    <x v="1350"/>
    <x v="1094"/>
    <x v="303"/>
    <x v="298"/>
    <x v="5"/>
    <x v="4"/>
  </r>
  <r>
    <x v="283"/>
    <x v="9"/>
    <x v="3"/>
    <x v="6"/>
    <x v="1"/>
    <x v="1459"/>
    <x v="1473"/>
    <x v="3"/>
    <x v="1"/>
    <x v="0"/>
    <x v="3"/>
    <x v="1476"/>
    <x v="4"/>
    <x v="1"/>
    <x v="1"/>
    <x v="1476"/>
    <x v="672"/>
    <x v="1268"/>
    <x v="283"/>
    <x v="727"/>
    <x v="6"/>
    <x v="3"/>
  </r>
  <r>
    <x v="459"/>
    <x v="0"/>
    <x v="4"/>
    <x v="5"/>
    <x v="19"/>
    <x v="1460"/>
    <x v="1474"/>
    <x v="0"/>
    <x v="1"/>
    <x v="3"/>
    <x v="1"/>
    <x v="1477"/>
    <x v="1"/>
    <x v="0"/>
    <x v="0"/>
    <x v="1477"/>
    <x v="583"/>
    <x v="1269"/>
    <x v="459"/>
    <x v="570"/>
    <x v="6"/>
    <x v="4"/>
  </r>
  <r>
    <x v="738"/>
    <x v="2"/>
    <x v="4"/>
    <x v="0"/>
    <x v="5"/>
    <x v="1461"/>
    <x v="1475"/>
    <x v="0"/>
    <x v="0"/>
    <x v="3"/>
    <x v="5"/>
    <x v="1478"/>
    <x v="4"/>
    <x v="1"/>
    <x v="0"/>
    <x v="1478"/>
    <x v="1351"/>
    <x v="671"/>
    <x v="738"/>
    <x v="394"/>
    <x v="0"/>
    <x v="4"/>
  </r>
  <r>
    <x v="303"/>
    <x v="11"/>
    <x v="1"/>
    <x v="5"/>
    <x v="17"/>
    <x v="1462"/>
    <x v="1476"/>
    <x v="2"/>
    <x v="1"/>
    <x v="0"/>
    <x v="4"/>
    <x v="1479"/>
    <x v="4"/>
    <x v="2"/>
    <x v="1"/>
    <x v="1479"/>
    <x v="1291"/>
    <x v="1270"/>
    <x v="303"/>
    <x v="548"/>
    <x v="1"/>
    <x v="1"/>
  </r>
  <r>
    <x v="739"/>
    <x v="10"/>
    <x v="4"/>
    <x v="6"/>
    <x v="18"/>
    <x v="1463"/>
    <x v="1477"/>
    <x v="0"/>
    <x v="1"/>
    <x v="1"/>
    <x v="1"/>
    <x v="1480"/>
    <x v="3"/>
    <x v="3"/>
    <x v="0"/>
    <x v="1480"/>
    <x v="1352"/>
    <x v="1271"/>
    <x v="739"/>
    <x v="447"/>
    <x v="7"/>
    <x v="4"/>
  </r>
  <r>
    <x v="740"/>
    <x v="2"/>
    <x v="2"/>
    <x v="4"/>
    <x v="16"/>
    <x v="1464"/>
    <x v="1478"/>
    <x v="1"/>
    <x v="1"/>
    <x v="3"/>
    <x v="5"/>
    <x v="1481"/>
    <x v="1"/>
    <x v="3"/>
    <x v="0"/>
    <x v="1481"/>
    <x v="1353"/>
    <x v="1272"/>
    <x v="740"/>
    <x v="492"/>
    <x v="5"/>
    <x v="2"/>
  </r>
  <r>
    <x v="530"/>
    <x v="10"/>
    <x v="0"/>
    <x v="2"/>
    <x v="8"/>
    <x v="1465"/>
    <x v="1479"/>
    <x v="1"/>
    <x v="0"/>
    <x v="1"/>
    <x v="2"/>
    <x v="1482"/>
    <x v="1"/>
    <x v="0"/>
    <x v="0"/>
    <x v="1482"/>
    <x v="1354"/>
    <x v="1263"/>
    <x v="530"/>
    <x v="666"/>
    <x v="7"/>
    <x v="0"/>
  </r>
  <r>
    <x v="145"/>
    <x v="4"/>
    <x v="0"/>
    <x v="5"/>
    <x v="3"/>
    <x v="1466"/>
    <x v="1480"/>
    <x v="3"/>
    <x v="0"/>
    <x v="3"/>
    <x v="3"/>
    <x v="1483"/>
    <x v="3"/>
    <x v="1"/>
    <x v="1"/>
    <x v="1483"/>
    <x v="1355"/>
    <x v="437"/>
    <x v="145"/>
    <x v="728"/>
    <x v="4"/>
    <x v="0"/>
  </r>
  <r>
    <x v="399"/>
    <x v="6"/>
    <x v="2"/>
    <x v="4"/>
    <x v="9"/>
    <x v="670"/>
    <x v="1481"/>
    <x v="3"/>
    <x v="1"/>
    <x v="2"/>
    <x v="4"/>
    <x v="1484"/>
    <x v="4"/>
    <x v="2"/>
    <x v="0"/>
    <x v="1484"/>
    <x v="1356"/>
    <x v="1273"/>
    <x v="399"/>
    <x v="729"/>
    <x v="6"/>
    <x v="2"/>
  </r>
  <r>
    <x v="120"/>
    <x v="2"/>
    <x v="1"/>
    <x v="0"/>
    <x v="15"/>
    <x v="1467"/>
    <x v="1482"/>
    <x v="3"/>
    <x v="1"/>
    <x v="0"/>
    <x v="1"/>
    <x v="1485"/>
    <x v="1"/>
    <x v="0"/>
    <x v="1"/>
    <x v="1485"/>
    <x v="1357"/>
    <x v="1274"/>
    <x v="120"/>
    <x v="131"/>
    <x v="8"/>
    <x v="1"/>
  </r>
  <r>
    <x v="515"/>
    <x v="2"/>
    <x v="0"/>
    <x v="4"/>
    <x v="19"/>
    <x v="1468"/>
    <x v="1483"/>
    <x v="3"/>
    <x v="0"/>
    <x v="0"/>
    <x v="1"/>
    <x v="1486"/>
    <x v="4"/>
    <x v="2"/>
    <x v="0"/>
    <x v="1486"/>
    <x v="1358"/>
    <x v="1275"/>
    <x v="515"/>
    <x v="275"/>
    <x v="7"/>
    <x v="0"/>
  </r>
  <r>
    <x v="40"/>
    <x v="3"/>
    <x v="2"/>
    <x v="3"/>
    <x v="6"/>
    <x v="1469"/>
    <x v="1484"/>
    <x v="0"/>
    <x v="0"/>
    <x v="0"/>
    <x v="3"/>
    <x v="1487"/>
    <x v="4"/>
    <x v="1"/>
    <x v="0"/>
    <x v="1487"/>
    <x v="1359"/>
    <x v="1276"/>
    <x v="40"/>
    <x v="384"/>
    <x v="6"/>
    <x v="2"/>
  </r>
  <r>
    <x v="741"/>
    <x v="4"/>
    <x v="3"/>
    <x v="4"/>
    <x v="14"/>
    <x v="1470"/>
    <x v="1485"/>
    <x v="1"/>
    <x v="0"/>
    <x v="3"/>
    <x v="2"/>
    <x v="1488"/>
    <x v="4"/>
    <x v="1"/>
    <x v="0"/>
    <x v="1488"/>
    <x v="1360"/>
    <x v="1277"/>
    <x v="741"/>
    <x v="676"/>
    <x v="6"/>
    <x v="3"/>
  </r>
  <r>
    <x v="742"/>
    <x v="9"/>
    <x v="1"/>
    <x v="1"/>
    <x v="14"/>
    <x v="1471"/>
    <x v="1486"/>
    <x v="0"/>
    <x v="1"/>
    <x v="1"/>
    <x v="4"/>
    <x v="1489"/>
    <x v="4"/>
    <x v="3"/>
    <x v="0"/>
    <x v="1489"/>
    <x v="1361"/>
    <x v="1278"/>
    <x v="742"/>
    <x v="730"/>
    <x v="3"/>
    <x v="1"/>
  </r>
  <r>
    <x v="743"/>
    <x v="5"/>
    <x v="3"/>
    <x v="3"/>
    <x v="5"/>
    <x v="1472"/>
    <x v="1487"/>
    <x v="1"/>
    <x v="0"/>
    <x v="1"/>
    <x v="0"/>
    <x v="1490"/>
    <x v="3"/>
    <x v="1"/>
    <x v="0"/>
    <x v="1490"/>
    <x v="1362"/>
    <x v="1279"/>
    <x v="743"/>
    <x v="96"/>
    <x v="4"/>
    <x v="3"/>
  </r>
  <r>
    <x v="744"/>
    <x v="8"/>
    <x v="4"/>
    <x v="1"/>
    <x v="18"/>
    <x v="1473"/>
    <x v="1488"/>
    <x v="1"/>
    <x v="0"/>
    <x v="3"/>
    <x v="5"/>
    <x v="1491"/>
    <x v="1"/>
    <x v="2"/>
    <x v="0"/>
    <x v="1491"/>
    <x v="1363"/>
    <x v="1280"/>
    <x v="744"/>
    <x v="324"/>
    <x v="3"/>
    <x v="4"/>
  </r>
  <r>
    <x v="691"/>
    <x v="8"/>
    <x v="0"/>
    <x v="4"/>
    <x v="3"/>
    <x v="1474"/>
    <x v="1489"/>
    <x v="1"/>
    <x v="1"/>
    <x v="3"/>
    <x v="4"/>
    <x v="1492"/>
    <x v="2"/>
    <x v="0"/>
    <x v="0"/>
    <x v="1492"/>
    <x v="1364"/>
    <x v="1281"/>
    <x v="691"/>
    <x v="163"/>
    <x v="0"/>
    <x v="0"/>
  </r>
  <r>
    <x v="745"/>
    <x v="11"/>
    <x v="4"/>
    <x v="4"/>
    <x v="9"/>
    <x v="1475"/>
    <x v="1490"/>
    <x v="0"/>
    <x v="0"/>
    <x v="0"/>
    <x v="4"/>
    <x v="1493"/>
    <x v="1"/>
    <x v="0"/>
    <x v="0"/>
    <x v="1493"/>
    <x v="1365"/>
    <x v="1113"/>
    <x v="745"/>
    <x v="636"/>
    <x v="5"/>
    <x v="4"/>
  </r>
  <r>
    <x v="679"/>
    <x v="4"/>
    <x v="0"/>
    <x v="5"/>
    <x v="6"/>
    <x v="1476"/>
    <x v="1491"/>
    <x v="3"/>
    <x v="0"/>
    <x v="0"/>
    <x v="3"/>
    <x v="1494"/>
    <x v="0"/>
    <x v="0"/>
    <x v="0"/>
    <x v="1494"/>
    <x v="1366"/>
    <x v="1282"/>
    <x v="679"/>
    <x v="82"/>
    <x v="6"/>
    <x v="0"/>
  </r>
  <r>
    <x v="130"/>
    <x v="0"/>
    <x v="4"/>
    <x v="2"/>
    <x v="14"/>
    <x v="1477"/>
    <x v="1492"/>
    <x v="3"/>
    <x v="1"/>
    <x v="3"/>
    <x v="3"/>
    <x v="1495"/>
    <x v="2"/>
    <x v="2"/>
    <x v="0"/>
    <x v="1495"/>
    <x v="1367"/>
    <x v="181"/>
    <x v="130"/>
    <x v="564"/>
    <x v="8"/>
    <x v="4"/>
  </r>
  <r>
    <x v="746"/>
    <x v="4"/>
    <x v="1"/>
    <x v="3"/>
    <x v="2"/>
    <x v="1478"/>
    <x v="1493"/>
    <x v="2"/>
    <x v="0"/>
    <x v="2"/>
    <x v="2"/>
    <x v="1496"/>
    <x v="3"/>
    <x v="0"/>
    <x v="0"/>
    <x v="1496"/>
    <x v="1368"/>
    <x v="403"/>
    <x v="746"/>
    <x v="467"/>
    <x v="7"/>
    <x v="1"/>
  </r>
  <r>
    <x v="480"/>
    <x v="8"/>
    <x v="0"/>
    <x v="2"/>
    <x v="1"/>
    <x v="1479"/>
    <x v="1494"/>
    <x v="1"/>
    <x v="0"/>
    <x v="0"/>
    <x v="0"/>
    <x v="1497"/>
    <x v="1"/>
    <x v="2"/>
    <x v="0"/>
    <x v="1497"/>
    <x v="1369"/>
    <x v="1283"/>
    <x v="480"/>
    <x v="731"/>
    <x v="6"/>
    <x v="0"/>
  </r>
  <r>
    <x v="581"/>
    <x v="1"/>
    <x v="3"/>
    <x v="4"/>
    <x v="0"/>
    <x v="1480"/>
    <x v="1495"/>
    <x v="1"/>
    <x v="1"/>
    <x v="3"/>
    <x v="3"/>
    <x v="1498"/>
    <x v="1"/>
    <x v="1"/>
    <x v="0"/>
    <x v="1498"/>
    <x v="1370"/>
    <x v="486"/>
    <x v="581"/>
    <x v="732"/>
    <x v="6"/>
    <x v="3"/>
  </r>
  <r>
    <x v="589"/>
    <x v="2"/>
    <x v="4"/>
    <x v="3"/>
    <x v="14"/>
    <x v="1481"/>
    <x v="1496"/>
    <x v="3"/>
    <x v="0"/>
    <x v="0"/>
    <x v="2"/>
    <x v="1499"/>
    <x v="3"/>
    <x v="0"/>
    <x v="1"/>
    <x v="1499"/>
    <x v="656"/>
    <x v="1284"/>
    <x v="589"/>
    <x v="567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22">
    <pivotField compact="0" numFmtId="179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axis="axisRow" compact="0" showAll="0">
      <items count="13">
        <item x="4"/>
        <item x="0"/>
        <item x="6"/>
        <item x="7"/>
        <item x="2"/>
        <item x="3"/>
        <item x="8"/>
        <item x="10"/>
        <item x="11"/>
        <item x="5"/>
        <item x="9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4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t="default"/>
      </items>
    </pivotField>
    <pivotField compact="0" numFmtId="178" showAll="0">
      <items count="14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8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>
      <items count="13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compact="0" showAll="0">
      <items count="1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t="default"/>
      </items>
    </pivotField>
    <pivotField compact="0" numFmtId="179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numFmtId="179" showAll="0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ID" fld="1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:B24" firstHeaderRow="1" firstDataRow="1" firstDataCol="1"/>
  <pivotFields count="22">
    <pivotField compact="0" numFmtId="179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compact="0" showAll="0">
      <items count="13">
        <item x="4"/>
        <item x="0"/>
        <item x="6"/>
        <item x="7"/>
        <item x="2"/>
        <item x="3"/>
        <item x="8"/>
        <item x="10"/>
        <item x="11"/>
        <item x="5"/>
        <item x="9"/>
        <item x="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4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t="default"/>
      </items>
    </pivotField>
    <pivotField compact="0" numFmtId="178" showAll="0">
      <items count="14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8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>
      <items count="13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compact="0" showAll="0">
      <items count="1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t="default"/>
      </items>
    </pivotField>
    <pivotField compact="0" numFmtId="179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numFmtId="179" showAll="0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B33" firstHeaderRow="1" firstDataRow="1" firstDataCol="1"/>
  <pivotFields count="22">
    <pivotField compact="0" numFmtId="179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showAll="0">
      <items count="13">
        <item x="4"/>
        <item x="0"/>
        <item x="6"/>
        <item x="7"/>
        <item x="2"/>
        <item x="3"/>
        <item x="8"/>
        <item x="10"/>
        <item x="11"/>
        <item x="5"/>
        <item x="9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8">
        <item x="0"/>
        <item x="1"/>
        <item x="2"/>
        <item x="3"/>
        <item x="4"/>
        <item h="1"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4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t="default"/>
      </items>
    </pivotField>
    <pivotField compact="0" numFmtId="178" showAll="0">
      <items count="14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8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>
      <items count="13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compact="0" showAll="0">
      <items count="1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t="default"/>
      </items>
    </pivotField>
    <pivotField compact="0" numFmtId="179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numFmtId="179" showAll="0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Count of OrderID" fld="1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6:B42" firstHeaderRow="1" firstDataRow="1" firstDataCol="1"/>
  <pivotFields count="22">
    <pivotField compact="0" numFmtId="179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showAll="0">
      <items count="13">
        <item x="4"/>
        <item x="0"/>
        <item x="6"/>
        <item x="7"/>
        <item x="2"/>
        <item x="3"/>
        <item x="8"/>
        <item x="10"/>
        <item x="11"/>
        <item x="5"/>
        <item x="9"/>
        <item x="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4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t="default"/>
      </items>
    </pivotField>
    <pivotField dataField="1" compact="0" numFmtId="178" showAll="0">
      <items count="14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8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>
      <items count="13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compact="0" showAll="0">
      <items count="1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t="default"/>
      </items>
    </pivotField>
    <pivotField compact="0" numFmtId="179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numFmtId="179" showAll="0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 Total sale 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4:B50" firstHeaderRow="1" firstDataRow="1" firstDataCol="1"/>
  <pivotFields count="22">
    <pivotField compact="0" numFmtId="179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showAll="0">
      <items count="13">
        <item x="4"/>
        <item x="0"/>
        <item x="6"/>
        <item x="7"/>
        <item x="2"/>
        <item x="3"/>
        <item x="8"/>
        <item x="10"/>
        <item x="11"/>
        <item x="5"/>
        <item x="9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4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t="default"/>
      </items>
    </pivotField>
    <pivotField dataField="1" compact="0" numFmtId="178" showAll="0">
      <items count="14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8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>
      <items count="13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compact="0" showAll="0">
      <items count="1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t="default"/>
      </items>
    </pivotField>
    <pivotField compact="0" numFmtId="179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numFmtId="179" showAll="0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 Total sale 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9" name="PivotTable8"/>
  </pivotTables>
  <data>
    <tabular pivotCacheId="1">
      <items count="12">
        <i x="4" s="1"/>
        <i x="0" s="1"/>
        <i x="6" s="1"/>
        <i x="7" s="1"/>
        <i x="2" s="1"/>
        <i x="3" s="1"/>
        <i x="8" s="1"/>
        <i x="10" s="1"/>
        <i x="11" s="1"/>
        <i x="5" s="1"/>
        <i x="9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9" name="PivotTable9"/>
  </pivotTables>
  <data>
    <tabular pivotCacheId="1">
      <items count="5">
        <i x="3" s="1"/>
        <i x="0" s="1"/>
        <i x="2" s="1"/>
        <i x="1" s="1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9" name="PivotTable10"/>
  </pivotTables>
  <data>
    <tabular pivotCacheId="1">
      <items count="7">
        <i x="3" s="1"/>
        <i x="2" s="1"/>
        <i x="0" s="1"/>
        <i x="4" s="1"/>
        <i x="1" s="1"/>
        <i x="6" s="1"/>
        <i x="5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columnCount="2" rowHeight="225425"/>
  <slicer name="Region" cache="Slicer_Region" caption="Region" rowHeight="225425"/>
  <slicer name="Product" cache="Slicer_Product" caption="Product" rowHeight="225425"/>
</slicers>
</file>

<file path=xl/tables/table1.xml><?xml version="1.0" encoding="utf-8"?>
<table xmlns="http://schemas.openxmlformats.org/spreadsheetml/2006/main" id="2" name="Table2" displayName="Table2" ref="A1:V1501" totalsRowShown="0">
  <autoFilter xmlns:etc="http://www.wps.cn/officeDocument/2017/etCustomData" ref="A1:V1501" etc:filterBottomFollowUsedRange="0"/>
  <tableColumns count="22">
    <tableColumn id="1" name="Date" dataDxfId="0"/>
    <tableColumn id="2" name="Month" dataDxfId="1">
      <calculatedColumnFormula>TEXT(A2,"mmmm")</calculatedColumnFormula>
    </tableColumn>
    <tableColumn id="3" name="Region" dataDxfId="2"/>
    <tableColumn id="4" name="Product" dataDxfId="3"/>
    <tableColumn id="5" name="Quantity" dataDxfId="4"/>
    <tableColumn id="6" name="UnitPrice" dataDxfId="5"/>
    <tableColumn id="7" name=" Total sale " dataDxfId="6">
      <calculatedColumnFormula>F2*E2</calculatedColumnFormula>
    </tableColumn>
    <tableColumn id="8" name="StoreLocation" dataDxfId="7"/>
    <tableColumn id="9" name="CustomerType" dataDxfId="8"/>
    <tableColumn id="10" name="Discount" dataDxfId="9"/>
    <tableColumn id="11" name="Salesperson" dataDxfId="10"/>
    <tableColumn id="12" name=" TotalPrice " dataDxfId="11"/>
    <tableColumn id="13" name="PaymentMethod" dataDxfId="12"/>
    <tableColumn id="14" name="Promotion" dataDxfId="13"/>
    <tableColumn id="15" name="Returned" dataDxfId="14"/>
    <tableColumn id="16" name="OrderID" dataDxfId="15"/>
    <tableColumn id="17" name="CustomerName" dataDxfId="16"/>
    <tableColumn id="18" name="ShippingCost" dataDxfId="17"/>
    <tableColumn id="19" name="OrderDate" dataDxfId="18"/>
    <tableColumn id="20" name="DeliveryDate" dataDxfId="19"/>
    <tableColumn id="21" name="Date Diff" dataDxfId="20">
      <calculatedColumnFormula>T2-S2</calculatedColumnFormula>
    </tableColumn>
    <tableColumn id="22" name="RegionManager" dataDxfId="2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0"/>
  <sheetViews>
    <sheetView topLeftCell="A36" workbookViewId="0">
      <selection activeCell="A44" sqref="A44:B50"/>
      <pivotSelection pane="bottomRight" showHeader="1" extendable="1" r:id="rId5">
        <pivotArea type="all" dataOnly="0" outline="0" fieldPosition="0"/>
      </pivotSelection>
    </sheetView>
  </sheetViews>
  <sheetFormatPr defaultColWidth="8.72727272727273" defaultRowHeight="14.5" outlineLevelCol="1"/>
  <cols>
    <col min="1" max="1" width="11.6363636363636"/>
    <col min="2" max="3" width="16.8181818181818"/>
  </cols>
  <sheetData>
    <row r="3" spans="1:2">
      <c r="A3" t="s">
        <v>0</v>
      </c>
      <c r="B3" t="s">
        <v>1</v>
      </c>
    </row>
    <row r="4" spans="1:2">
      <c r="A4" t="s">
        <v>2</v>
      </c>
      <c r="B4">
        <v>176</v>
      </c>
    </row>
    <row r="5" spans="1:2">
      <c r="A5" t="s">
        <v>3</v>
      </c>
      <c r="B5">
        <v>149</v>
      </c>
    </row>
    <row r="6" spans="1:2">
      <c r="A6" t="s">
        <v>4</v>
      </c>
      <c r="B6">
        <v>174</v>
      </c>
    </row>
    <row r="7" spans="1:2">
      <c r="A7" t="s">
        <v>5</v>
      </c>
      <c r="B7">
        <v>144</v>
      </c>
    </row>
    <row r="8" spans="1:2">
      <c r="A8" t="s">
        <v>6</v>
      </c>
      <c r="B8">
        <v>140</v>
      </c>
    </row>
    <row r="9" spans="1:2">
      <c r="A9" t="s">
        <v>7</v>
      </c>
      <c r="B9">
        <v>154</v>
      </c>
    </row>
    <row r="10" spans="1:2">
      <c r="A10" t="s">
        <v>8</v>
      </c>
      <c r="B10">
        <v>98</v>
      </c>
    </row>
    <row r="11" spans="1:2">
      <c r="A11" t="s">
        <v>9</v>
      </c>
      <c r="B11">
        <v>102</v>
      </c>
    </row>
    <row r="12" spans="1:2">
      <c r="A12" t="s">
        <v>10</v>
      </c>
      <c r="B12">
        <v>89</v>
      </c>
    </row>
    <row r="13" spans="1:2">
      <c r="A13" t="s">
        <v>11</v>
      </c>
      <c r="B13">
        <v>89</v>
      </c>
    </row>
    <row r="14" spans="1:2">
      <c r="A14" t="s">
        <v>12</v>
      </c>
      <c r="B14">
        <v>98</v>
      </c>
    </row>
    <row r="15" spans="1:2">
      <c r="A15" t="s">
        <v>13</v>
      </c>
      <c r="B15">
        <v>87</v>
      </c>
    </row>
    <row r="16" spans="1:2">
      <c r="A16" t="s">
        <v>14</v>
      </c>
      <c r="B16">
        <v>1500</v>
      </c>
    </row>
    <row r="18" spans="1:2">
      <c r="A18" t="s">
        <v>15</v>
      </c>
      <c r="B18" t="s">
        <v>1</v>
      </c>
    </row>
    <row r="19" spans="1:2">
      <c r="A19" t="s">
        <v>16</v>
      </c>
      <c r="B19">
        <v>311</v>
      </c>
    </row>
    <row r="20" spans="1:2">
      <c r="A20" t="s">
        <v>17</v>
      </c>
      <c r="B20">
        <v>295</v>
      </c>
    </row>
    <row r="21" spans="1:2">
      <c r="A21" t="s">
        <v>18</v>
      </c>
      <c r="B21">
        <v>309</v>
      </c>
    </row>
    <row r="22" spans="1:2">
      <c r="A22" t="s">
        <v>19</v>
      </c>
      <c r="B22">
        <v>301</v>
      </c>
    </row>
    <row r="23" spans="1:2">
      <c r="A23" t="s">
        <v>20</v>
      </c>
      <c r="B23">
        <v>284</v>
      </c>
    </row>
    <row r="24" spans="1:2">
      <c r="A24" t="s">
        <v>14</v>
      </c>
      <c r="B24">
        <v>1500</v>
      </c>
    </row>
    <row r="26" spans="1:2">
      <c r="A26" t="s">
        <v>21</v>
      </c>
      <c r="B26" t="s">
        <v>1</v>
      </c>
    </row>
    <row r="27" spans="1:2">
      <c r="A27" t="s">
        <v>22</v>
      </c>
      <c r="B27">
        <v>226</v>
      </c>
    </row>
    <row r="28" spans="1:2">
      <c r="A28" t="s">
        <v>23</v>
      </c>
      <c r="B28">
        <v>195</v>
      </c>
    </row>
    <row r="29" spans="1:2">
      <c r="A29" t="s">
        <v>24</v>
      </c>
      <c r="B29">
        <v>207</v>
      </c>
    </row>
    <row r="30" spans="1:2">
      <c r="A30" t="s">
        <v>25</v>
      </c>
      <c r="B30">
        <v>209</v>
      </c>
    </row>
    <row r="31" spans="1:2">
      <c r="A31" t="s">
        <v>26</v>
      </c>
      <c r="B31">
        <v>212</v>
      </c>
    </row>
    <row r="32" spans="1:2">
      <c r="A32" t="s">
        <v>27</v>
      </c>
      <c r="B32">
        <v>211</v>
      </c>
    </row>
    <row r="33" spans="1:2">
      <c r="A33" t="s">
        <v>14</v>
      </c>
      <c r="B33">
        <v>1260</v>
      </c>
    </row>
    <row r="36" spans="1:2">
      <c r="A36" t="s">
        <v>15</v>
      </c>
      <c r="B36" t="s">
        <v>28</v>
      </c>
    </row>
    <row r="37" spans="1:2">
      <c r="A37" t="s">
        <v>16</v>
      </c>
      <c r="B37">
        <v>947363.410000001</v>
      </c>
    </row>
    <row r="38" spans="1:2">
      <c r="A38" t="s">
        <v>17</v>
      </c>
      <c r="B38">
        <v>893128.87</v>
      </c>
    </row>
    <row r="39" spans="1:2">
      <c r="A39" t="s">
        <v>18</v>
      </c>
      <c r="B39">
        <v>1051081.78</v>
      </c>
    </row>
    <row r="40" spans="1:2">
      <c r="A40" t="s">
        <v>19</v>
      </c>
      <c r="B40">
        <v>914786.98</v>
      </c>
    </row>
    <row r="41" spans="1:2">
      <c r="A41" t="s">
        <v>20</v>
      </c>
      <c r="B41">
        <v>921531.9</v>
      </c>
    </row>
    <row r="42" spans="1:2">
      <c r="A42" t="s">
        <v>14</v>
      </c>
      <c r="B42">
        <v>4727892.94</v>
      </c>
    </row>
    <row r="44" spans="1:2">
      <c r="A44" t="s">
        <v>29</v>
      </c>
      <c r="B44" t="s">
        <v>28</v>
      </c>
    </row>
    <row r="45" spans="1:2">
      <c r="A45" t="s">
        <v>30</v>
      </c>
      <c r="B45">
        <v>1047602.7</v>
      </c>
    </row>
    <row r="46" spans="1:2">
      <c r="A46" t="s">
        <v>31</v>
      </c>
      <c r="B46">
        <v>882726.880000001</v>
      </c>
    </row>
    <row r="47" spans="1:2">
      <c r="A47" t="s">
        <v>32</v>
      </c>
      <c r="B47">
        <v>934798.370000001</v>
      </c>
    </row>
    <row r="48" spans="1:2">
      <c r="A48" t="s">
        <v>33</v>
      </c>
      <c r="B48">
        <v>831797.32</v>
      </c>
    </row>
    <row r="49" spans="1:2">
      <c r="A49" t="s">
        <v>34</v>
      </c>
      <c r="B49">
        <v>1030967.67</v>
      </c>
    </row>
    <row r="50" spans="1:2">
      <c r="A50" t="s">
        <v>14</v>
      </c>
      <c r="B50">
        <v>4727892.94</v>
      </c>
    </row>
  </sheetData>
  <pageMargins left="0.75" right="0.75" top="1" bottom="1" header="0.5" footer="0.5"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01"/>
  <sheetViews>
    <sheetView tabSelected="1" topLeftCell="R1" workbookViewId="0">
      <selection activeCell="AA10" sqref="AA10"/>
    </sheetView>
  </sheetViews>
  <sheetFormatPr defaultColWidth="9" defaultRowHeight="14.5"/>
  <cols>
    <col min="1" max="1" width="14.8181818181818" customWidth="1"/>
    <col min="7" max="7" width="15.0909090909091" style="1" customWidth="1"/>
    <col min="8" max="8" width="15.0909090909091" customWidth="1"/>
    <col min="9" max="9" width="13.0909090909091" customWidth="1"/>
    <col min="11" max="11" width="15" customWidth="1"/>
    <col min="12" max="12" width="10.5454545454545" style="1"/>
    <col min="13" max="13" width="16.1818181818182" customWidth="1"/>
    <col min="14" max="14" width="12.1818181818182" customWidth="1"/>
    <col min="16" max="16" width="16.4545454545455" customWidth="1"/>
    <col min="17" max="17" width="15" customWidth="1"/>
    <col min="18" max="18" width="15.7272727272727" customWidth="1"/>
    <col min="19" max="19" width="20.1818181818182" customWidth="1"/>
    <col min="20" max="20" width="15.1818181818182" customWidth="1"/>
    <col min="21" max="22" width="13.5454545454545" customWidth="1"/>
    <col min="24" max="25" width="12.8181818181818"/>
    <col min="26" max="26" width="13.0909090909091" customWidth="1"/>
  </cols>
  <sheetData>
    <row r="1" spans="1:26">
      <c r="A1" s="2" t="s">
        <v>35</v>
      </c>
      <c r="B1" s="2" t="s">
        <v>0</v>
      </c>
      <c r="C1" s="2" t="s">
        <v>15</v>
      </c>
      <c r="D1" s="2" t="s">
        <v>21</v>
      </c>
      <c r="E1" s="2" t="s">
        <v>36</v>
      </c>
      <c r="F1" s="2" t="s">
        <v>37</v>
      </c>
      <c r="G1" s="3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3" t="s">
        <v>43</v>
      </c>
      <c r="M1" s="2" t="s">
        <v>29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7" t="s">
        <v>50</v>
      </c>
      <c r="U1" s="7" t="s">
        <v>51</v>
      </c>
      <c r="V1" s="7" t="s">
        <v>52</v>
      </c>
      <c r="W1" s="8"/>
      <c r="X1" s="9"/>
      <c r="Y1" s="8"/>
      <c r="Z1" s="8"/>
    </row>
    <row r="2" spans="1:25">
      <c r="A2" s="4">
        <v>44980</v>
      </c>
      <c r="B2" s="5" t="str">
        <f>TEXT(A2,"mmmm")</f>
        <v>February</v>
      </c>
      <c r="C2" s="5" t="s">
        <v>16</v>
      </c>
      <c r="D2" s="5" t="s">
        <v>22</v>
      </c>
      <c r="E2" s="5">
        <v>14</v>
      </c>
      <c r="F2" s="5">
        <v>163.6</v>
      </c>
      <c r="G2" s="6">
        <f>F2*E2</f>
        <v>2290.4</v>
      </c>
      <c r="H2" s="5" t="s">
        <v>53</v>
      </c>
      <c r="I2" s="5" t="s">
        <v>54</v>
      </c>
      <c r="J2" s="5">
        <v>0</v>
      </c>
      <c r="K2" s="5" t="s">
        <v>55</v>
      </c>
      <c r="L2" s="6">
        <v>2290.4</v>
      </c>
      <c r="M2" s="5" t="s">
        <v>30</v>
      </c>
      <c r="N2" s="5" t="s">
        <v>56</v>
      </c>
      <c r="O2" s="5">
        <v>0</v>
      </c>
      <c r="P2" s="5" t="s">
        <v>57</v>
      </c>
      <c r="Q2" s="5" t="s">
        <v>58</v>
      </c>
      <c r="R2" s="5">
        <v>43.34</v>
      </c>
      <c r="S2" s="4">
        <v>44980</v>
      </c>
      <c r="T2" s="4">
        <v>44984</v>
      </c>
      <c r="U2" s="5">
        <f>T2-S2</f>
        <v>4</v>
      </c>
      <c r="V2" s="5" t="s">
        <v>59</v>
      </c>
      <c r="W2"/>
      <c r="X2" s="6" t="s">
        <v>60</v>
      </c>
      <c r="Y2" s="10">
        <f>AVERAGE(G:G)</f>
        <v>3151.92862666667</v>
      </c>
    </row>
    <row r="3" spans="1:25">
      <c r="A3" s="4">
        <v>45645</v>
      </c>
      <c r="B3" s="5" t="str">
        <f t="shared" ref="B3:B66" si="0">TEXT(A3,"mmmm")</f>
        <v>December</v>
      </c>
      <c r="C3" s="5" t="s">
        <v>17</v>
      </c>
      <c r="D3" s="5" t="s">
        <v>23</v>
      </c>
      <c r="E3" s="5">
        <v>1</v>
      </c>
      <c r="F3" s="5">
        <v>544.01</v>
      </c>
      <c r="G3" s="6">
        <f t="shared" ref="G3:G66" si="1">F3*E3</f>
        <v>544.01</v>
      </c>
      <c r="H3" s="5" t="s">
        <v>61</v>
      </c>
      <c r="I3" s="5" t="s">
        <v>62</v>
      </c>
      <c r="J3" s="5">
        <v>0</v>
      </c>
      <c r="K3" s="5" t="s">
        <v>63</v>
      </c>
      <c r="L3" s="6">
        <v>544.01</v>
      </c>
      <c r="M3" s="5" t="s">
        <v>31</v>
      </c>
      <c r="N3" s="5" t="s">
        <v>64</v>
      </c>
      <c r="O3" s="5">
        <v>0</v>
      </c>
      <c r="P3" s="5" t="s">
        <v>65</v>
      </c>
      <c r="Q3" s="5" t="s">
        <v>66</v>
      </c>
      <c r="R3" s="5">
        <v>5.3</v>
      </c>
      <c r="S3" s="4">
        <v>45645</v>
      </c>
      <c r="T3" s="4">
        <v>45654</v>
      </c>
      <c r="U3" s="5">
        <f t="shared" ref="U3:U66" si="2">T3-S3</f>
        <v>9</v>
      </c>
      <c r="V3" s="5" t="s">
        <v>67</v>
      </c>
      <c r="X3" s="5" t="s">
        <v>68</v>
      </c>
      <c r="Y3" s="11">
        <f>MAX(G:G)</f>
        <v>11526</v>
      </c>
    </row>
    <row r="4" spans="1:24">
      <c r="A4" s="4">
        <v>45056</v>
      </c>
      <c r="B4" s="5" t="str">
        <f t="shared" si="0"/>
        <v>May</v>
      </c>
      <c r="C4" s="5" t="s">
        <v>18</v>
      </c>
      <c r="D4" s="5" t="s">
        <v>24</v>
      </c>
      <c r="E4" s="5">
        <v>14</v>
      </c>
      <c r="F4" s="5">
        <v>346.18</v>
      </c>
      <c r="G4" s="6">
        <f t="shared" si="1"/>
        <v>4846.52</v>
      </c>
      <c r="H4" s="5" t="s">
        <v>53</v>
      </c>
      <c r="I4" s="5" t="s">
        <v>54</v>
      </c>
      <c r="J4" s="5">
        <v>0.1</v>
      </c>
      <c r="K4" s="5" t="s">
        <v>63</v>
      </c>
      <c r="L4" s="6">
        <v>4361.868</v>
      </c>
      <c r="M4" s="5" t="s">
        <v>30</v>
      </c>
      <c r="N4" s="5" t="s">
        <v>69</v>
      </c>
      <c r="O4" s="5">
        <v>0</v>
      </c>
      <c r="P4" s="5" t="s">
        <v>70</v>
      </c>
      <c r="Q4" s="5" t="s">
        <v>71</v>
      </c>
      <c r="R4" s="5">
        <v>20.46</v>
      </c>
      <c r="S4" s="4">
        <v>45056</v>
      </c>
      <c r="T4" s="4">
        <v>45065</v>
      </c>
      <c r="U4" s="5">
        <f t="shared" si="2"/>
        <v>9</v>
      </c>
      <c r="V4" s="5" t="s">
        <v>72</v>
      </c>
      <c r="X4" s="5"/>
    </row>
    <row r="5" spans="1:24">
      <c r="A5" s="4">
        <v>45714</v>
      </c>
      <c r="B5" s="5" t="str">
        <f t="shared" si="0"/>
        <v>February</v>
      </c>
      <c r="C5" s="5" t="s">
        <v>19</v>
      </c>
      <c r="D5" s="5" t="s">
        <v>25</v>
      </c>
      <c r="E5" s="5">
        <v>18</v>
      </c>
      <c r="F5" s="5">
        <v>384.82</v>
      </c>
      <c r="G5" s="6">
        <f t="shared" si="1"/>
        <v>6926.76</v>
      </c>
      <c r="H5" s="5" t="s">
        <v>61</v>
      </c>
      <c r="I5" s="5" t="s">
        <v>54</v>
      </c>
      <c r="J5" s="5">
        <v>0.15</v>
      </c>
      <c r="K5" s="5" t="s">
        <v>73</v>
      </c>
      <c r="L5" s="6">
        <v>5887.746</v>
      </c>
      <c r="M5" s="5" t="s">
        <v>31</v>
      </c>
      <c r="N5" s="5" t="s">
        <v>56</v>
      </c>
      <c r="O5" s="5">
        <v>0</v>
      </c>
      <c r="P5" s="5" t="s">
        <v>74</v>
      </c>
      <c r="Q5" s="5" t="s">
        <v>75</v>
      </c>
      <c r="R5" s="5">
        <v>27.95</v>
      </c>
      <c r="S5" s="4">
        <v>45714</v>
      </c>
      <c r="T5" s="4">
        <v>45718</v>
      </c>
      <c r="U5" s="5">
        <f t="shared" si="2"/>
        <v>4</v>
      </c>
      <c r="V5" s="5" t="s">
        <v>76</v>
      </c>
      <c r="X5" s="5"/>
    </row>
    <row r="6" spans="1:24">
      <c r="A6" s="4">
        <v>45101</v>
      </c>
      <c r="B6" s="5" t="str">
        <f t="shared" si="0"/>
        <v>June</v>
      </c>
      <c r="C6" s="5" t="s">
        <v>16</v>
      </c>
      <c r="D6" s="5" t="s">
        <v>24</v>
      </c>
      <c r="E6" s="5">
        <v>18</v>
      </c>
      <c r="F6" s="5">
        <v>237.76</v>
      </c>
      <c r="G6" s="6">
        <f t="shared" si="1"/>
        <v>4279.68</v>
      </c>
      <c r="H6" s="5" t="s">
        <v>77</v>
      </c>
      <c r="I6" s="5" t="s">
        <v>62</v>
      </c>
      <c r="J6" s="5">
        <v>0</v>
      </c>
      <c r="K6" s="5" t="s">
        <v>78</v>
      </c>
      <c r="L6" s="6">
        <v>4279.68</v>
      </c>
      <c r="M6" s="5" t="s">
        <v>30</v>
      </c>
      <c r="N6" s="5" t="s">
        <v>64</v>
      </c>
      <c r="O6" s="5">
        <v>0</v>
      </c>
      <c r="P6" s="5" t="s">
        <v>79</v>
      </c>
      <c r="Q6" s="5" t="s">
        <v>80</v>
      </c>
      <c r="R6" s="5">
        <v>5.73</v>
      </c>
      <c r="S6" s="4">
        <v>45101</v>
      </c>
      <c r="T6" s="4">
        <v>45104</v>
      </c>
      <c r="U6" s="5">
        <f t="shared" si="2"/>
        <v>3</v>
      </c>
      <c r="V6" s="5" t="s">
        <v>59</v>
      </c>
      <c r="X6" s="5"/>
    </row>
    <row r="7" spans="1:24">
      <c r="A7" s="4">
        <v>45342</v>
      </c>
      <c r="B7" s="5" t="str">
        <f t="shared" si="0"/>
        <v>February</v>
      </c>
      <c r="C7" s="5" t="s">
        <v>19</v>
      </c>
      <c r="D7" s="5" t="s">
        <v>26</v>
      </c>
      <c r="E7" s="5">
        <v>2</v>
      </c>
      <c r="F7" s="5">
        <v>385.09</v>
      </c>
      <c r="G7" s="6">
        <f t="shared" si="1"/>
        <v>770.18</v>
      </c>
      <c r="H7" s="5" t="s">
        <v>81</v>
      </c>
      <c r="I7" s="5" t="s">
        <v>54</v>
      </c>
      <c r="J7" s="5">
        <v>0.15</v>
      </c>
      <c r="K7" s="5" t="s">
        <v>82</v>
      </c>
      <c r="L7" s="6">
        <v>654.653</v>
      </c>
      <c r="M7" s="5" t="s">
        <v>32</v>
      </c>
      <c r="N7" s="5"/>
      <c r="O7" s="5">
        <v>0</v>
      </c>
      <c r="P7" s="5" t="s">
        <v>83</v>
      </c>
      <c r="Q7" s="5" t="s">
        <v>84</v>
      </c>
      <c r="R7" s="5">
        <v>11.92</v>
      </c>
      <c r="S7" s="4">
        <v>45342</v>
      </c>
      <c r="T7" s="4">
        <v>45352</v>
      </c>
      <c r="U7" s="5">
        <f t="shared" si="2"/>
        <v>10</v>
      </c>
      <c r="V7" s="5" t="s">
        <v>76</v>
      </c>
      <c r="X7" s="5"/>
    </row>
    <row r="8" spans="1:24">
      <c r="A8" s="4">
        <v>44937</v>
      </c>
      <c r="B8" s="5" t="str">
        <f t="shared" si="0"/>
        <v>January</v>
      </c>
      <c r="C8" s="5" t="s">
        <v>17</v>
      </c>
      <c r="D8" s="5" t="s">
        <v>25</v>
      </c>
      <c r="E8" s="5">
        <v>7</v>
      </c>
      <c r="F8" s="5">
        <v>17.5</v>
      </c>
      <c r="G8" s="6">
        <f t="shared" si="1"/>
        <v>122.5</v>
      </c>
      <c r="H8" s="5" t="s">
        <v>77</v>
      </c>
      <c r="I8" s="5" t="s">
        <v>62</v>
      </c>
      <c r="J8" s="5">
        <v>0.1</v>
      </c>
      <c r="K8" s="5" t="s">
        <v>63</v>
      </c>
      <c r="L8" s="6">
        <v>110.25</v>
      </c>
      <c r="M8" s="5" t="s">
        <v>33</v>
      </c>
      <c r="N8" s="5" t="s">
        <v>69</v>
      </c>
      <c r="O8" s="5">
        <v>0</v>
      </c>
      <c r="P8" s="5" t="s">
        <v>85</v>
      </c>
      <c r="Q8" s="5" t="s">
        <v>86</v>
      </c>
      <c r="R8" s="5">
        <v>5.02</v>
      </c>
      <c r="S8" s="4">
        <v>44937</v>
      </c>
      <c r="T8" s="4">
        <v>44940</v>
      </c>
      <c r="U8" s="5">
        <f t="shared" si="2"/>
        <v>3</v>
      </c>
      <c r="V8" s="5" t="s">
        <v>67</v>
      </c>
      <c r="X8" s="5"/>
    </row>
    <row r="9" spans="1:24">
      <c r="A9" s="4">
        <v>44935</v>
      </c>
      <c r="B9" s="5" t="str">
        <f t="shared" si="0"/>
        <v>January</v>
      </c>
      <c r="C9" s="5" t="s">
        <v>19</v>
      </c>
      <c r="D9" s="5" t="s">
        <v>25</v>
      </c>
      <c r="E9" s="5">
        <v>3</v>
      </c>
      <c r="F9" s="5">
        <v>330.22</v>
      </c>
      <c r="G9" s="6">
        <f t="shared" si="1"/>
        <v>990.66</v>
      </c>
      <c r="H9" s="5" t="s">
        <v>77</v>
      </c>
      <c r="I9" s="5" t="s">
        <v>54</v>
      </c>
      <c r="J9" s="5">
        <v>0.15</v>
      </c>
      <c r="K9" s="5" t="s">
        <v>78</v>
      </c>
      <c r="L9" s="6">
        <v>842.061</v>
      </c>
      <c r="M9" s="5" t="s">
        <v>34</v>
      </c>
      <c r="N9" s="5"/>
      <c r="O9" s="5">
        <v>0</v>
      </c>
      <c r="P9" s="5" t="s">
        <v>87</v>
      </c>
      <c r="Q9" s="5" t="s">
        <v>88</v>
      </c>
      <c r="R9" s="5">
        <v>48.01</v>
      </c>
      <c r="S9" s="4">
        <v>44935</v>
      </c>
      <c r="T9" s="4">
        <v>44937</v>
      </c>
      <c r="U9" s="5">
        <f t="shared" si="2"/>
        <v>2</v>
      </c>
      <c r="V9" s="5" t="s">
        <v>76</v>
      </c>
      <c r="X9" s="5"/>
    </row>
    <row r="10" spans="1:24">
      <c r="A10" s="4">
        <v>45581</v>
      </c>
      <c r="B10" s="5" t="str">
        <f t="shared" si="0"/>
        <v>October</v>
      </c>
      <c r="C10" s="5" t="s">
        <v>17</v>
      </c>
      <c r="D10" s="5" t="s">
        <v>25</v>
      </c>
      <c r="E10" s="5">
        <v>3</v>
      </c>
      <c r="F10" s="5">
        <v>432.04</v>
      </c>
      <c r="G10" s="6">
        <f t="shared" si="1"/>
        <v>1296.12</v>
      </c>
      <c r="H10" s="5" t="s">
        <v>81</v>
      </c>
      <c r="I10" s="5" t="s">
        <v>54</v>
      </c>
      <c r="J10" s="5">
        <v>0.05</v>
      </c>
      <c r="K10" s="5" t="s">
        <v>89</v>
      </c>
      <c r="L10" s="6">
        <v>1231.314</v>
      </c>
      <c r="M10" s="5" t="s">
        <v>33</v>
      </c>
      <c r="N10" s="5" t="s">
        <v>56</v>
      </c>
      <c r="O10" s="5">
        <v>1</v>
      </c>
      <c r="P10" s="5" t="s">
        <v>90</v>
      </c>
      <c r="Q10" s="5" t="s">
        <v>91</v>
      </c>
      <c r="R10" s="5">
        <v>42.11</v>
      </c>
      <c r="S10" s="4">
        <v>45581</v>
      </c>
      <c r="T10" s="4">
        <v>45583</v>
      </c>
      <c r="U10" s="5">
        <f t="shared" si="2"/>
        <v>2</v>
      </c>
      <c r="V10" s="5" t="s">
        <v>67</v>
      </c>
      <c r="X10" s="5"/>
    </row>
    <row r="11" spans="1:24">
      <c r="A11" s="4">
        <v>45721</v>
      </c>
      <c r="B11" s="5" t="str">
        <f t="shared" si="0"/>
        <v>March</v>
      </c>
      <c r="C11" s="5" t="s">
        <v>20</v>
      </c>
      <c r="D11" s="5" t="s">
        <v>24</v>
      </c>
      <c r="E11" s="5">
        <v>5</v>
      </c>
      <c r="F11" s="5">
        <v>323.28</v>
      </c>
      <c r="G11" s="6">
        <f t="shared" si="1"/>
        <v>1616.4</v>
      </c>
      <c r="H11" s="5" t="s">
        <v>81</v>
      </c>
      <c r="I11" s="5" t="s">
        <v>62</v>
      </c>
      <c r="J11" s="5">
        <v>0.1</v>
      </c>
      <c r="K11" s="5" t="s">
        <v>73</v>
      </c>
      <c r="L11" s="6">
        <v>1454.76</v>
      </c>
      <c r="M11" s="5" t="s">
        <v>31</v>
      </c>
      <c r="N11" s="5" t="s">
        <v>64</v>
      </c>
      <c r="O11" s="5">
        <v>0</v>
      </c>
      <c r="P11" s="5" t="s">
        <v>92</v>
      </c>
      <c r="Q11" s="5" t="s">
        <v>93</v>
      </c>
      <c r="R11" s="5">
        <v>41.1</v>
      </c>
      <c r="S11" s="4">
        <v>45721</v>
      </c>
      <c r="T11" s="4">
        <v>45729</v>
      </c>
      <c r="U11" s="5">
        <f t="shared" si="2"/>
        <v>8</v>
      </c>
      <c r="V11" s="5" t="s">
        <v>94</v>
      </c>
      <c r="X11" s="5"/>
    </row>
    <row r="12" spans="1:24">
      <c r="A12" s="4">
        <v>45392</v>
      </c>
      <c r="B12" s="5" t="str">
        <f t="shared" si="0"/>
        <v>April</v>
      </c>
      <c r="C12" s="5" t="s">
        <v>18</v>
      </c>
      <c r="D12" s="5" t="s">
        <v>24</v>
      </c>
      <c r="E12" s="5">
        <v>15</v>
      </c>
      <c r="F12" s="5">
        <v>523.29</v>
      </c>
      <c r="G12" s="6">
        <f t="shared" si="1"/>
        <v>7849.35</v>
      </c>
      <c r="H12" s="5" t="s">
        <v>53</v>
      </c>
      <c r="I12" s="5" t="s">
        <v>54</v>
      </c>
      <c r="J12" s="5">
        <v>0.15</v>
      </c>
      <c r="K12" s="5" t="s">
        <v>55</v>
      </c>
      <c r="L12" s="6">
        <v>6671.9475</v>
      </c>
      <c r="M12" s="5" t="s">
        <v>33</v>
      </c>
      <c r="N12" s="5"/>
      <c r="O12" s="5">
        <v>0</v>
      </c>
      <c r="P12" s="5" t="s">
        <v>95</v>
      </c>
      <c r="Q12" s="5" t="s">
        <v>96</v>
      </c>
      <c r="R12" s="5">
        <v>12.14</v>
      </c>
      <c r="S12" s="4">
        <v>45392</v>
      </c>
      <c r="T12" s="4">
        <v>45399</v>
      </c>
      <c r="U12" s="5">
        <f t="shared" si="2"/>
        <v>7</v>
      </c>
      <c r="V12" s="5" t="s">
        <v>72</v>
      </c>
      <c r="X12" s="5"/>
    </row>
    <row r="13" spans="1:24">
      <c r="A13" s="4">
        <v>45485</v>
      </c>
      <c r="B13" s="5" t="str">
        <f t="shared" si="0"/>
        <v>July</v>
      </c>
      <c r="C13" s="5" t="s">
        <v>16</v>
      </c>
      <c r="D13" s="5" t="s">
        <v>23</v>
      </c>
      <c r="E13" s="5">
        <v>19</v>
      </c>
      <c r="F13" s="5">
        <v>207.35</v>
      </c>
      <c r="G13" s="6">
        <f t="shared" si="1"/>
        <v>3939.65</v>
      </c>
      <c r="H13" s="5" t="s">
        <v>81</v>
      </c>
      <c r="I13" s="5" t="s">
        <v>62</v>
      </c>
      <c r="J13" s="5">
        <v>0.1</v>
      </c>
      <c r="K13" s="5" t="s">
        <v>55</v>
      </c>
      <c r="L13" s="6">
        <v>3545.685</v>
      </c>
      <c r="M13" s="5" t="s">
        <v>31</v>
      </c>
      <c r="N13" s="5"/>
      <c r="O13" s="5">
        <v>1</v>
      </c>
      <c r="P13" s="5" t="s">
        <v>97</v>
      </c>
      <c r="Q13" s="5" t="s">
        <v>98</v>
      </c>
      <c r="R13" s="5">
        <v>44.89</v>
      </c>
      <c r="S13" s="4">
        <v>45485</v>
      </c>
      <c r="T13" s="4">
        <v>45491</v>
      </c>
      <c r="U13" s="5">
        <f t="shared" si="2"/>
        <v>6</v>
      </c>
      <c r="V13" s="5" t="s">
        <v>59</v>
      </c>
      <c r="X13" s="5"/>
    </row>
    <row r="14" spans="1:24">
      <c r="A14" s="4">
        <v>45128</v>
      </c>
      <c r="B14" s="5" t="str">
        <f t="shared" si="0"/>
        <v>July</v>
      </c>
      <c r="C14" s="5" t="s">
        <v>19</v>
      </c>
      <c r="D14" s="5" t="s">
        <v>23</v>
      </c>
      <c r="E14" s="5">
        <v>1</v>
      </c>
      <c r="F14" s="5">
        <v>120.53</v>
      </c>
      <c r="G14" s="6">
        <f t="shared" si="1"/>
        <v>120.53</v>
      </c>
      <c r="H14" s="5" t="s">
        <v>53</v>
      </c>
      <c r="I14" s="5" t="s">
        <v>62</v>
      </c>
      <c r="J14" s="5">
        <v>0.05</v>
      </c>
      <c r="K14" s="5" t="s">
        <v>82</v>
      </c>
      <c r="L14" s="6">
        <v>114.5035</v>
      </c>
      <c r="M14" s="5" t="s">
        <v>34</v>
      </c>
      <c r="N14" s="5" t="s">
        <v>69</v>
      </c>
      <c r="O14" s="5">
        <v>0</v>
      </c>
      <c r="P14" s="5" t="s">
        <v>99</v>
      </c>
      <c r="Q14" s="5" t="s">
        <v>100</v>
      </c>
      <c r="R14" s="5">
        <v>20.35</v>
      </c>
      <c r="S14" s="4">
        <v>45128</v>
      </c>
      <c r="T14" s="4">
        <v>45138</v>
      </c>
      <c r="U14" s="5">
        <f t="shared" si="2"/>
        <v>10</v>
      </c>
      <c r="V14" s="5" t="s">
        <v>76</v>
      </c>
      <c r="X14" s="5"/>
    </row>
    <row r="15" spans="1:24">
      <c r="A15" s="4">
        <v>45675</v>
      </c>
      <c r="B15" s="5" t="str">
        <f t="shared" si="0"/>
        <v>January</v>
      </c>
      <c r="C15" s="5" t="s">
        <v>20</v>
      </c>
      <c r="D15" s="5" t="s">
        <v>101</v>
      </c>
      <c r="E15" s="5">
        <v>1</v>
      </c>
      <c r="F15" s="5">
        <v>157.83</v>
      </c>
      <c r="G15" s="6">
        <f t="shared" si="1"/>
        <v>157.83</v>
      </c>
      <c r="H15" s="5" t="s">
        <v>61</v>
      </c>
      <c r="I15" s="5" t="s">
        <v>54</v>
      </c>
      <c r="J15" s="5">
        <v>0.15</v>
      </c>
      <c r="K15" s="5" t="s">
        <v>78</v>
      </c>
      <c r="L15" s="6">
        <v>134.1555</v>
      </c>
      <c r="M15" s="5" t="s">
        <v>33</v>
      </c>
      <c r="N15" s="5"/>
      <c r="O15" s="5">
        <v>0</v>
      </c>
      <c r="P15" s="5" t="s">
        <v>102</v>
      </c>
      <c r="Q15" s="5" t="s">
        <v>103</v>
      </c>
      <c r="R15" s="5">
        <v>42.82</v>
      </c>
      <c r="S15" s="4">
        <v>45675</v>
      </c>
      <c r="T15" s="4">
        <v>45679</v>
      </c>
      <c r="U15" s="5">
        <f t="shared" si="2"/>
        <v>4</v>
      </c>
      <c r="V15" s="5" t="s">
        <v>94</v>
      </c>
      <c r="X15" s="5"/>
    </row>
    <row r="16" spans="1:24">
      <c r="A16" s="4">
        <v>45634</v>
      </c>
      <c r="B16" s="5" t="str">
        <f t="shared" si="0"/>
        <v>December</v>
      </c>
      <c r="C16" s="5" t="s">
        <v>18</v>
      </c>
      <c r="D16" s="5" t="s">
        <v>24</v>
      </c>
      <c r="E16" s="5">
        <v>15</v>
      </c>
      <c r="F16" s="5">
        <v>220.3</v>
      </c>
      <c r="G16" s="6">
        <f t="shared" si="1"/>
        <v>3304.5</v>
      </c>
      <c r="H16" s="5" t="s">
        <v>53</v>
      </c>
      <c r="I16" s="5" t="s">
        <v>62</v>
      </c>
      <c r="J16" s="5">
        <v>0.15</v>
      </c>
      <c r="K16" s="5" t="s">
        <v>82</v>
      </c>
      <c r="L16" s="6">
        <v>2808.825</v>
      </c>
      <c r="M16" s="5" t="s">
        <v>33</v>
      </c>
      <c r="N16" s="5"/>
      <c r="O16" s="5">
        <v>0</v>
      </c>
      <c r="P16" s="5" t="s">
        <v>104</v>
      </c>
      <c r="Q16" s="5" t="s">
        <v>105</v>
      </c>
      <c r="R16" s="5">
        <v>39.66</v>
      </c>
      <c r="S16" s="4">
        <v>45634</v>
      </c>
      <c r="T16" s="4">
        <v>45641</v>
      </c>
      <c r="U16" s="5">
        <f t="shared" si="2"/>
        <v>7</v>
      </c>
      <c r="V16" s="5" t="s">
        <v>72</v>
      </c>
      <c r="X16" s="5"/>
    </row>
    <row r="17" spans="1:24">
      <c r="A17" s="4">
        <v>45788</v>
      </c>
      <c r="B17" s="5" t="str">
        <f t="shared" si="0"/>
        <v>May</v>
      </c>
      <c r="C17" s="5" t="s">
        <v>20</v>
      </c>
      <c r="D17" s="5" t="s">
        <v>25</v>
      </c>
      <c r="E17" s="5">
        <v>17</v>
      </c>
      <c r="F17" s="5">
        <v>162.96</v>
      </c>
      <c r="G17" s="6">
        <f t="shared" si="1"/>
        <v>2770.32</v>
      </c>
      <c r="H17" s="5" t="s">
        <v>61</v>
      </c>
      <c r="I17" s="5" t="s">
        <v>54</v>
      </c>
      <c r="J17" s="5">
        <v>0.05</v>
      </c>
      <c r="K17" s="5" t="s">
        <v>55</v>
      </c>
      <c r="L17" s="6">
        <v>2631.804</v>
      </c>
      <c r="M17" s="5" t="s">
        <v>31</v>
      </c>
      <c r="N17" s="5" t="s">
        <v>56</v>
      </c>
      <c r="O17" s="5">
        <v>0</v>
      </c>
      <c r="P17" s="5" t="s">
        <v>106</v>
      </c>
      <c r="Q17" s="5" t="s">
        <v>107</v>
      </c>
      <c r="R17" s="5">
        <v>8.11</v>
      </c>
      <c r="S17" s="4">
        <v>45788</v>
      </c>
      <c r="T17" s="4">
        <v>45794</v>
      </c>
      <c r="U17" s="5">
        <f t="shared" si="2"/>
        <v>6</v>
      </c>
      <c r="V17" s="5" t="s">
        <v>94</v>
      </c>
      <c r="X17" s="5"/>
    </row>
    <row r="18" spans="1:24">
      <c r="A18" s="4">
        <v>44983</v>
      </c>
      <c r="B18" s="5" t="str">
        <f t="shared" si="0"/>
        <v>February</v>
      </c>
      <c r="C18" s="5" t="s">
        <v>20</v>
      </c>
      <c r="D18" s="5" t="s">
        <v>22</v>
      </c>
      <c r="E18" s="5">
        <v>19</v>
      </c>
      <c r="F18" s="5">
        <v>236.11</v>
      </c>
      <c r="G18" s="6">
        <f t="shared" si="1"/>
        <v>4486.09</v>
      </c>
      <c r="H18" s="5" t="s">
        <v>81</v>
      </c>
      <c r="I18" s="5" t="s">
        <v>54</v>
      </c>
      <c r="J18" s="5">
        <v>0</v>
      </c>
      <c r="K18" s="5" t="s">
        <v>89</v>
      </c>
      <c r="L18" s="6">
        <v>4486.09</v>
      </c>
      <c r="M18" s="5" t="s">
        <v>30</v>
      </c>
      <c r="N18" s="5" t="s">
        <v>69</v>
      </c>
      <c r="O18" s="5">
        <v>0</v>
      </c>
      <c r="P18" s="5" t="s">
        <v>108</v>
      </c>
      <c r="Q18" s="5" t="s">
        <v>109</v>
      </c>
      <c r="R18" s="5">
        <v>34.11</v>
      </c>
      <c r="S18" s="4">
        <v>44983</v>
      </c>
      <c r="T18" s="4">
        <v>44989</v>
      </c>
      <c r="U18" s="5">
        <f t="shared" si="2"/>
        <v>6</v>
      </c>
      <c r="V18" s="5" t="s">
        <v>94</v>
      </c>
      <c r="X18" s="5"/>
    </row>
    <row r="19" spans="1:24">
      <c r="A19" s="4">
        <v>45440</v>
      </c>
      <c r="B19" s="5" t="str">
        <f t="shared" si="0"/>
        <v>May</v>
      </c>
      <c r="C19" s="5" t="s">
        <v>19</v>
      </c>
      <c r="D19" s="5" t="s">
        <v>24</v>
      </c>
      <c r="E19" s="5">
        <v>11</v>
      </c>
      <c r="F19" s="5">
        <v>573.14</v>
      </c>
      <c r="G19" s="6">
        <f t="shared" si="1"/>
        <v>6304.54</v>
      </c>
      <c r="H19" s="5" t="s">
        <v>81</v>
      </c>
      <c r="I19" s="5" t="s">
        <v>62</v>
      </c>
      <c r="J19" s="5">
        <v>0.05</v>
      </c>
      <c r="K19" s="5" t="s">
        <v>82</v>
      </c>
      <c r="L19" s="6">
        <v>5989.313</v>
      </c>
      <c r="M19" s="5" t="s">
        <v>34</v>
      </c>
      <c r="N19" s="5" t="s">
        <v>64</v>
      </c>
      <c r="O19" s="5">
        <v>0</v>
      </c>
      <c r="P19" s="5" t="s">
        <v>110</v>
      </c>
      <c r="Q19" s="5" t="s">
        <v>111</v>
      </c>
      <c r="R19" s="5">
        <v>34.71</v>
      </c>
      <c r="S19" s="4">
        <v>45440</v>
      </c>
      <c r="T19" s="4">
        <v>45444</v>
      </c>
      <c r="U19" s="5">
        <f t="shared" si="2"/>
        <v>4</v>
      </c>
      <c r="V19" s="5" t="s">
        <v>76</v>
      </c>
      <c r="X19" s="5"/>
    </row>
    <row r="20" spans="1:24">
      <c r="A20" s="4">
        <v>45260</v>
      </c>
      <c r="B20" s="5" t="str">
        <f t="shared" si="0"/>
        <v>November</v>
      </c>
      <c r="C20" s="5" t="s">
        <v>16</v>
      </c>
      <c r="D20" s="5" t="s">
        <v>23</v>
      </c>
      <c r="E20" s="5">
        <v>20</v>
      </c>
      <c r="F20" s="5">
        <v>519.04</v>
      </c>
      <c r="G20" s="6">
        <f t="shared" si="1"/>
        <v>10380.8</v>
      </c>
      <c r="H20" s="5" t="s">
        <v>53</v>
      </c>
      <c r="I20" s="5" t="s">
        <v>62</v>
      </c>
      <c r="J20" s="5">
        <v>0.15</v>
      </c>
      <c r="K20" s="5" t="s">
        <v>78</v>
      </c>
      <c r="L20" s="6">
        <v>8823.68</v>
      </c>
      <c r="M20" s="5" t="s">
        <v>31</v>
      </c>
      <c r="N20" s="5" t="s">
        <v>56</v>
      </c>
      <c r="O20" s="5">
        <v>0</v>
      </c>
      <c r="P20" s="5" t="s">
        <v>112</v>
      </c>
      <c r="Q20" s="5" t="s">
        <v>113</v>
      </c>
      <c r="R20" s="5">
        <v>19.43</v>
      </c>
      <c r="S20" s="4">
        <v>45260</v>
      </c>
      <c r="T20" s="4">
        <v>45268</v>
      </c>
      <c r="U20" s="5">
        <f t="shared" si="2"/>
        <v>8</v>
      </c>
      <c r="V20" s="5" t="s">
        <v>59</v>
      </c>
      <c r="X20" s="5"/>
    </row>
    <row r="21" spans="1:24">
      <c r="A21" s="4">
        <v>45099</v>
      </c>
      <c r="B21" s="5" t="str">
        <f t="shared" si="0"/>
        <v>June</v>
      </c>
      <c r="C21" s="5" t="s">
        <v>20</v>
      </c>
      <c r="D21" s="5" t="s">
        <v>24</v>
      </c>
      <c r="E21" s="5">
        <v>14</v>
      </c>
      <c r="F21" s="5">
        <v>30.83</v>
      </c>
      <c r="G21" s="6">
        <f t="shared" si="1"/>
        <v>431.62</v>
      </c>
      <c r="H21" s="5" t="s">
        <v>53</v>
      </c>
      <c r="I21" s="5" t="s">
        <v>62</v>
      </c>
      <c r="J21" s="5">
        <v>0</v>
      </c>
      <c r="K21" s="5" t="s">
        <v>78</v>
      </c>
      <c r="L21" s="6">
        <v>431.62</v>
      </c>
      <c r="M21" s="5" t="s">
        <v>30</v>
      </c>
      <c r="N21" s="5" t="s">
        <v>69</v>
      </c>
      <c r="O21" s="5">
        <v>1</v>
      </c>
      <c r="P21" s="5" t="s">
        <v>114</v>
      </c>
      <c r="Q21" s="5" t="s">
        <v>115</v>
      </c>
      <c r="R21" s="5">
        <v>7.1</v>
      </c>
      <c r="S21" s="4">
        <v>45099</v>
      </c>
      <c r="T21" s="4">
        <v>45109</v>
      </c>
      <c r="U21" s="5">
        <f t="shared" si="2"/>
        <v>10</v>
      </c>
      <c r="V21" s="5" t="s">
        <v>94</v>
      </c>
      <c r="X21" s="5"/>
    </row>
    <row r="22" spans="1:24">
      <c r="A22" s="4">
        <v>45813</v>
      </c>
      <c r="B22" s="5" t="str">
        <f t="shared" si="0"/>
        <v>June</v>
      </c>
      <c r="C22" s="5" t="s">
        <v>20</v>
      </c>
      <c r="D22" s="5" t="s">
        <v>23</v>
      </c>
      <c r="E22" s="5">
        <v>10</v>
      </c>
      <c r="F22" s="5">
        <v>319.05</v>
      </c>
      <c r="G22" s="6">
        <f t="shared" si="1"/>
        <v>3190.5</v>
      </c>
      <c r="H22" s="5" t="s">
        <v>81</v>
      </c>
      <c r="I22" s="5" t="s">
        <v>54</v>
      </c>
      <c r="J22" s="5">
        <v>0</v>
      </c>
      <c r="K22" s="5" t="s">
        <v>82</v>
      </c>
      <c r="L22" s="6">
        <v>3190.5</v>
      </c>
      <c r="M22" s="5" t="s">
        <v>30</v>
      </c>
      <c r="N22" s="5"/>
      <c r="O22" s="5">
        <v>0</v>
      </c>
      <c r="P22" s="5" t="s">
        <v>116</v>
      </c>
      <c r="Q22" s="5" t="s">
        <v>117</v>
      </c>
      <c r="R22" s="5">
        <v>28.43</v>
      </c>
      <c r="S22" s="4">
        <v>45813</v>
      </c>
      <c r="T22" s="4">
        <v>45816</v>
      </c>
      <c r="U22" s="5">
        <f t="shared" si="2"/>
        <v>3</v>
      </c>
      <c r="V22" s="5" t="s">
        <v>94</v>
      </c>
      <c r="X22" s="5"/>
    </row>
    <row r="23" spans="1:24">
      <c r="A23" s="4">
        <v>44988</v>
      </c>
      <c r="B23" s="5" t="str">
        <f t="shared" si="0"/>
        <v>March</v>
      </c>
      <c r="C23" s="5" t="s">
        <v>19</v>
      </c>
      <c r="D23" s="5" t="s">
        <v>25</v>
      </c>
      <c r="E23" s="5">
        <v>14</v>
      </c>
      <c r="F23" s="5">
        <v>312.79</v>
      </c>
      <c r="G23" s="6">
        <f t="shared" si="1"/>
        <v>4379.06</v>
      </c>
      <c r="H23" s="5" t="s">
        <v>61</v>
      </c>
      <c r="I23" s="5" t="s">
        <v>62</v>
      </c>
      <c r="J23" s="5">
        <v>0.05</v>
      </c>
      <c r="K23" s="5" t="s">
        <v>89</v>
      </c>
      <c r="L23" s="6">
        <v>4160.107</v>
      </c>
      <c r="M23" s="5" t="s">
        <v>30</v>
      </c>
      <c r="N23" s="5"/>
      <c r="O23" s="5">
        <v>1</v>
      </c>
      <c r="P23" s="5" t="s">
        <v>118</v>
      </c>
      <c r="Q23" s="5" t="s">
        <v>119</v>
      </c>
      <c r="R23" s="5">
        <v>46.83</v>
      </c>
      <c r="S23" s="4">
        <v>44988</v>
      </c>
      <c r="T23" s="4">
        <v>44993</v>
      </c>
      <c r="U23" s="5">
        <f t="shared" si="2"/>
        <v>5</v>
      </c>
      <c r="V23" s="5" t="s">
        <v>76</v>
      </c>
      <c r="X23" s="5"/>
    </row>
    <row r="24" spans="1:24">
      <c r="A24" s="4">
        <v>45340</v>
      </c>
      <c r="B24" s="5" t="str">
        <f t="shared" si="0"/>
        <v>February</v>
      </c>
      <c r="C24" s="5" t="s">
        <v>18</v>
      </c>
      <c r="D24" s="5" t="s">
        <v>22</v>
      </c>
      <c r="E24" s="5">
        <v>14</v>
      </c>
      <c r="F24" s="5">
        <v>395.45</v>
      </c>
      <c r="G24" s="6">
        <f t="shared" si="1"/>
        <v>5536.3</v>
      </c>
      <c r="H24" s="5" t="s">
        <v>77</v>
      </c>
      <c r="I24" s="5" t="s">
        <v>62</v>
      </c>
      <c r="J24" s="5">
        <v>0</v>
      </c>
      <c r="K24" s="5" t="s">
        <v>78</v>
      </c>
      <c r="L24" s="6">
        <v>5536.3</v>
      </c>
      <c r="M24" s="5" t="s">
        <v>34</v>
      </c>
      <c r="N24" s="5" t="s">
        <v>56</v>
      </c>
      <c r="O24" s="5">
        <v>1</v>
      </c>
      <c r="P24" s="5" t="s">
        <v>120</v>
      </c>
      <c r="Q24" s="5" t="s">
        <v>121</v>
      </c>
      <c r="R24" s="5">
        <v>36.45</v>
      </c>
      <c r="S24" s="4">
        <v>45340</v>
      </c>
      <c r="T24" s="4">
        <v>45344</v>
      </c>
      <c r="U24" s="5">
        <f t="shared" si="2"/>
        <v>4</v>
      </c>
      <c r="V24" s="5" t="s">
        <v>72</v>
      </c>
      <c r="X24" s="5"/>
    </row>
    <row r="25" spans="1:24">
      <c r="A25" s="4">
        <v>45144</v>
      </c>
      <c r="B25" s="5" t="str">
        <f t="shared" si="0"/>
        <v>August</v>
      </c>
      <c r="C25" s="5" t="s">
        <v>19</v>
      </c>
      <c r="D25" s="5" t="s">
        <v>22</v>
      </c>
      <c r="E25" s="5">
        <v>12</v>
      </c>
      <c r="F25" s="5">
        <v>472.72</v>
      </c>
      <c r="G25" s="6">
        <f t="shared" si="1"/>
        <v>5672.64</v>
      </c>
      <c r="H25" s="5" t="s">
        <v>81</v>
      </c>
      <c r="I25" s="5" t="s">
        <v>62</v>
      </c>
      <c r="J25" s="5">
        <v>0.15</v>
      </c>
      <c r="K25" s="5" t="s">
        <v>82</v>
      </c>
      <c r="L25" s="6">
        <v>4821.744</v>
      </c>
      <c r="M25" s="5" t="s">
        <v>32</v>
      </c>
      <c r="N25" s="5"/>
      <c r="O25" s="5">
        <v>0</v>
      </c>
      <c r="P25" s="5" t="s">
        <v>122</v>
      </c>
      <c r="Q25" s="5" t="s">
        <v>123</v>
      </c>
      <c r="R25" s="5">
        <v>27.97</v>
      </c>
      <c r="S25" s="4">
        <v>45144</v>
      </c>
      <c r="T25" s="4">
        <v>45152</v>
      </c>
      <c r="U25" s="5">
        <f t="shared" si="2"/>
        <v>8</v>
      </c>
      <c r="V25" s="5" t="s">
        <v>76</v>
      </c>
      <c r="X25" s="5"/>
    </row>
    <row r="26" spans="1:24">
      <c r="A26" s="4">
        <v>45435</v>
      </c>
      <c r="B26" s="5" t="str">
        <f t="shared" si="0"/>
        <v>May</v>
      </c>
      <c r="C26" s="5" t="s">
        <v>18</v>
      </c>
      <c r="D26" s="5" t="s">
        <v>24</v>
      </c>
      <c r="E26" s="5">
        <v>5</v>
      </c>
      <c r="F26" s="5">
        <v>288.01</v>
      </c>
      <c r="G26" s="6">
        <f t="shared" si="1"/>
        <v>1440.05</v>
      </c>
      <c r="H26" s="5" t="s">
        <v>61</v>
      </c>
      <c r="I26" s="5" t="s">
        <v>54</v>
      </c>
      <c r="J26" s="5">
        <v>0</v>
      </c>
      <c r="K26" s="5" t="s">
        <v>55</v>
      </c>
      <c r="L26" s="6">
        <v>1440.05</v>
      </c>
      <c r="M26" s="5" t="s">
        <v>32</v>
      </c>
      <c r="N26" s="5" t="s">
        <v>56</v>
      </c>
      <c r="O26" s="5">
        <v>0</v>
      </c>
      <c r="P26" s="5" t="s">
        <v>124</v>
      </c>
      <c r="Q26" s="5" t="s">
        <v>125</v>
      </c>
      <c r="R26" s="5">
        <v>46.69</v>
      </c>
      <c r="S26" s="4">
        <v>45435</v>
      </c>
      <c r="T26" s="4">
        <v>45442</v>
      </c>
      <c r="U26" s="5">
        <f t="shared" si="2"/>
        <v>7</v>
      </c>
      <c r="V26" s="5" t="s">
        <v>72</v>
      </c>
      <c r="X26" s="5"/>
    </row>
    <row r="27" spans="1:24">
      <c r="A27" s="4">
        <v>45222</v>
      </c>
      <c r="B27" s="5" t="str">
        <f t="shared" si="0"/>
        <v>October</v>
      </c>
      <c r="C27" s="5" t="s">
        <v>16</v>
      </c>
      <c r="D27" s="5" t="s">
        <v>23</v>
      </c>
      <c r="E27" s="5">
        <v>13</v>
      </c>
      <c r="F27" s="5">
        <v>562.29</v>
      </c>
      <c r="G27" s="6">
        <f t="shared" si="1"/>
        <v>7309.77</v>
      </c>
      <c r="H27" s="5" t="s">
        <v>81</v>
      </c>
      <c r="I27" s="5" t="s">
        <v>62</v>
      </c>
      <c r="J27" s="5">
        <v>0</v>
      </c>
      <c r="K27" s="5" t="s">
        <v>82</v>
      </c>
      <c r="L27" s="6">
        <v>7309.77</v>
      </c>
      <c r="M27" s="5" t="s">
        <v>31</v>
      </c>
      <c r="N27" s="5" t="s">
        <v>64</v>
      </c>
      <c r="O27" s="5">
        <v>0</v>
      </c>
      <c r="P27" s="5" t="s">
        <v>126</v>
      </c>
      <c r="Q27" s="5" t="s">
        <v>127</v>
      </c>
      <c r="R27" s="5">
        <v>38.13</v>
      </c>
      <c r="S27" s="4">
        <v>45222</v>
      </c>
      <c r="T27" s="4">
        <v>45227</v>
      </c>
      <c r="U27" s="5">
        <f t="shared" si="2"/>
        <v>5</v>
      </c>
      <c r="V27" s="5" t="s">
        <v>59</v>
      </c>
      <c r="X27" s="5"/>
    </row>
    <row r="28" spans="1:24">
      <c r="A28" s="4">
        <v>45824</v>
      </c>
      <c r="B28" s="5" t="str">
        <f t="shared" si="0"/>
        <v>June</v>
      </c>
      <c r="C28" s="5" t="s">
        <v>20</v>
      </c>
      <c r="D28" s="5" t="s">
        <v>23</v>
      </c>
      <c r="E28" s="5">
        <v>1</v>
      </c>
      <c r="F28" s="5">
        <v>101.73</v>
      </c>
      <c r="G28" s="6">
        <f t="shared" si="1"/>
        <v>101.73</v>
      </c>
      <c r="H28" s="5" t="s">
        <v>81</v>
      </c>
      <c r="I28" s="5" t="s">
        <v>62</v>
      </c>
      <c r="J28" s="5">
        <v>0</v>
      </c>
      <c r="K28" s="5" t="s">
        <v>73</v>
      </c>
      <c r="L28" s="6">
        <v>101.73</v>
      </c>
      <c r="M28" s="5" t="s">
        <v>33</v>
      </c>
      <c r="N28" s="5" t="s">
        <v>69</v>
      </c>
      <c r="O28" s="5">
        <v>0</v>
      </c>
      <c r="P28" s="5" t="s">
        <v>128</v>
      </c>
      <c r="Q28" s="5" t="s">
        <v>129</v>
      </c>
      <c r="R28" s="5">
        <v>11.59</v>
      </c>
      <c r="S28" s="4">
        <v>45824</v>
      </c>
      <c r="T28" s="4">
        <v>45833</v>
      </c>
      <c r="U28" s="5">
        <f t="shared" si="2"/>
        <v>9</v>
      </c>
      <c r="V28" s="5" t="s">
        <v>94</v>
      </c>
      <c r="X28" s="5"/>
    </row>
    <row r="29" spans="1:24">
      <c r="A29" s="4">
        <v>44988</v>
      </c>
      <c r="B29" s="5" t="str">
        <f t="shared" si="0"/>
        <v>March</v>
      </c>
      <c r="C29" s="5" t="s">
        <v>18</v>
      </c>
      <c r="D29" s="5" t="s">
        <v>23</v>
      </c>
      <c r="E29" s="5">
        <v>4</v>
      </c>
      <c r="F29" s="5">
        <v>279.49</v>
      </c>
      <c r="G29" s="6">
        <f t="shared" si="1"/>
        <v>1117.96</v>
      </c>
      <c r="H29" s="5" t="s">
        <v>53</v>
      </c>
      <c r="I29" s="5" t="s">
        <v>62</v>
      </c>
      <c r="J29" s="5">
        <v>0</v>
      </c>
      <c r="K29" s="5" t="s">
        <v>82</v>
      </c>
      <c r="L29" s="6">
        <v>1117.96</v>
      </c>
      <c r="M29" s="5" t="s">
        <v>32</v>
      </c>
      <c r="N29" s="5" t="s">
        <v>56</v>
      </c>
      <c r="O29" s="5">
        <v>0</v>
      </c>
      <c r="P29" s="5" t="s">
        <v>130</v>
      </c>
      <c r="Q29" s="5" t="s">
        <v>131</v>
      </c>
      <c r="R29" s="5">
        <v>24.78</v>
      </c>
      <c r="S29" s="4">
        <v>44988</v>
      </c>
      <c r="T29" s="4">
        <v>44993</v>
      </c>
      <c r="U29" s="5">
        <f t="shared" si="2"/>
        <v>5</v>
      </c>
      <c r="V29" s="5" t="s">
        <v>72</v>
      </c>
      <c r="X29" s="5"/>
    </row>
    <row r="30" spans="1:24">
      <c r="A30" s="4">
        <v>45614</v>
      </c>
      <c r="B30" s="5" t="str">
        <f t="shared" si="0"/>
        <v>November</v>
      </c>
      <c r="C30" s="5" t="s">
        <v>17</v>
      </c>
      <c r="D30" s="5" t="s">
        <v>22</v>
      </c>
      <c r="E30" s="5">
        <v>1</v>
      </c>
      <c r="F30" s="5">
        <v>178.55</v>
      </c>
      <c r="G30" s="6">
        <f t="shared" si="1"/>
        <v>178.55</v>
      </c>
      <c r="H30" s="5" t="s">
        <v>61</v>
      </c>
      <c r="I30" s="5" t="s">
        <v>62</v>
      </c>
      <c r="J30" s="5">
        <v>0.15</v>
      </c>
      <c r="K30" s="5" t="s">
        <v>78</v>
      </c>
      <c r="L30" s="6">
        <v>151.7675</v>
      </c>
      <c r="M30" s="5" t="s">
        <v>33</v>
      </c>
      <c r="N30" s="5" t="s">
        <v>64</v>
      </c>
      <c r="O30" s="5">
        <v>1</v>
      </c>
      <c r="P30" s="5" t="s">
        <v>132</v>
      </c>
      <c r="Q30" s="5" t="s">
        <v>133</v>
      </c>
      <c r="R30" s="5">
        <v>7.61</v>
      </c>
      <c r="S30" s="4">
        <v>45614</v>
      </c>
      <c r="T30" s="4">
        <v>45617</v>
      </c>
      <c r="U30" s="5">
        <f t="shared" si="2"/>
        <v>3</v>
      </c>
      <c r="V30" s="5" t="s">
        <v>67</v>
      </c>
      <c r="X30" s="5"/>
    </row>
    <row r="31" spans="1:24">
      <c r="A31" s="4">
        <v>45055</v>
      </c>
      <c r="B31" s="5" t="str">
        <f t="shared" si="0"/>
        <v>May</v>
      </c>
      <c r="C31" s="5" t="s">
        <v>19</v>
      </c>
      <c r="D31" s="5" t="s">
        <v>101</v>
      </c>
      <c r="E31" s="5">
        <v>1</v>
      </c>
      <c r="F31" s="5">
        <v>472.07</v>
      </c>
      <c r="G31" s="6">
        <f t="shared" si="1"/>
        <v>472.07</v>
      </c>
      <c r="H31" s="5" t="s">
        <v>61</v>
      </c>
      <c r="I31" s="5" t="s">
        <v>54</v>
      </c>
      <c r="J31" s="5">
        <v>0.1</v>
      </c>
      <c r="K31" s="5" t="s">
        <v>78</v>
      </c>
      <c r="L31" s="6">
        <v>424.863</v>
      </c>
      <c r="M31" s="5" t="s">
        <v>30</v>
      </c>
      <c r="N31" s="5" t="s">
        <v>56</v>
      </c>
      <c r="O31" s="5">
        <v>0</v>
      </c>
      <c r="P31" s="5" t="s">
        <v>134</v>
      </c>
      <c r="Q31" s="5" t="s">
        <v>135</v>
      </c>
      <c r="R31" s="5">
        <v>33.17</v>
      </c>
      <c r="S31" s="4">
        <v>45055</v>
      </c>
      <c r="T31" s="4">
        <v>45063</v>
      </c>
      <c r="U31" s="5">
        <f t="shared" si="2"/>
        <v>8</v>
      </c>
      <c r="V31" s="5" t="s">
        <v>76</v>
      </c>
      <c r="X31" s="5"/>
    </row>
    <row r="32" spans="1:24">
      <c r="A32" s="4">
        <v>45633</v>
      </c>
      <c r="B32" s="5" t="str">
        <f t="shared" si="0"/>
        <v>December</v>
      </c>
      <c r="C32" s="5" t="s">
        <v>18</v>
      </c>
      <c r="D32" s="5" t="s">
        <v>101</v>
      </c>
      <c r="E32" s="5">
        <v>12</v>
      </c>
      <c r="F32" s="5">
        <v>306.29</v>
      </c>
      <c r="G32" s="6">
        <f t="shared" si="1"/>
        <v>3675.48</v>
      </c>
      <c r="H32" s="5" t="s">
        <v>81</v>
      </c>
      <c r="I32" s="5" t="s">
        <v>62</v>
      </c>
      <c r="J32" s="5">
        <v>0</v>
      </c>
      <c r="K32" s="5" t="s">
        <v>73</v>
      </c>
      <c r="L32" s="6">
        <v>3675.48</v>
      </c>
      <c r="M32" s="5" t="s">
        <v>33</v>
      </c>
      <c r="N32" s="5" t="s">
        <v>64</v>
      </c>
      <c r="O32" s="5">
        <v>0</v>
      </c>
      <c r="P32" s="5" t="s">
        <v>136</v>
      </c>
      <c r="Q32" s="5" t="s">
        <v>137</v>
      </c>
      <c r="R32" s="5">
        <v>37.38</v>
      </c>
      <c r="S32" s="4">
        <v>45633</v>
      </c>
      <c r="T32" s="4">
        <v>45640</v>
      </c>
      <c r="U32" s="5">
        <f t="shared" si="2"/>
        <v>7</v>
      </c>
      <c r="V32" s="5" t="s">
        <v>72</v>
      </c>
      <c r="X32" s="5"/>
    </row>
    <row r="33" spans="1:24">
      <c r="A33" s="4">
        <v>45335</v>
      </c>
      <c r="B33" s="5" t="str">
        <f t="shared" si="0"/>
        <v>February</v>
      </c>
      <c r="C33" s="5" t="s">
        <v>18</v>
      </c>
      <c r="D33" s="5" t="s">
        <v>23</v>
      </c>
      <c r="E33" s="5">
        <v>7</v>
      </c>
      <c r="F33" s="5">
        <v>434.77</v>
      </c>
      <c r="G33" s="6">
        <f t="shared" si="1"/>
        <v>3043.39</v>
      </c>
      <c r="H33" s="5" t="s">
        <v>77</v>
      </c>
      <c r="I33" s="5" t="s">
        <v>62</v>
      </c>
      <c r="J33" s="5">
        <v>0.15</v>
      </c>
      <c r="K33" s="5" t="s">
        <v>73</v>
      </c>
      <c r="L33" s="6">
        <v>2586.8815</v>
      </c>
      <c r="M33" s="5" t="s">
        <v>30</v>
      </c>
      <c r="N33" s="5" t="s">
        <v>64</v>
      </c>
      <c r="O33" s="5">
        <v>0</v>
      </c>
      <c r="P33" s="5" t="s">
        <v>138</v>
      </c>
      <c r="Q33" s="5" t="s">
        <v>139</v>
      </c>
      <c r="R33" s="5">
        <v>12.35</v>
      </c>
      <c r="S33" s="4">
        <v>45335</v>
      </c>
      <c r="T33" s="4">
        <v>45337</v>
      </c>
      <c r="U33" s="5">
        <f t="shared" si="2"/>
        <v>2</v>
      </c>
      <c r="V33" s="5" t="s">
        <v>72</v>
      </c>
      <c r="X33" s="5"/>
    </row>
    <row r="34" spans="1:24">
      <c r="A34" s="4">
        <v>45725</v>
      </c>
      <c r="B34" s="5" t="str">
        <f t="shared" si="0"/>
        <v>March</v>
      </c>
      <c r="C34" s="5" t="s">
        <v>17</v>
      </c>
      <c r="D34" s="5" t="s">
        <v>24</v>
      </c>
      <c r="E34" s="5">
        <v>6</v>
      </c>
      <c r="F34" s="5">
        <v>64.98</v>
      </c>
      <c r="G34" s="6">
        <f t="shared" si="1"/>
        <v>389.88</v>
      </c>
      <c r="H34" s="5" t="s">
        <v>77</v>
      </c>
      <c r="I34" s="5" t="s">
        <v>62</v>
      </c>
      <c r="J34" s="5">
        <v>0</v>
      </c>
      <c r="K34" s="5" t="s">
        <v>78</v>
      </c>
      <c r="L34" s="6">
        <v>389.88</v>
      </c>
      <c r="M34" s="5" t="s">
        <v>33</v>
      </c>
      <c r="N34" s="5" t="s">
        <v>69</v>
      </c>
      <c r="O34" s="5">
        <v>0</v>
      </c>
      <c r="P34" s="5" t="s">
        <v>140</v>
      </c>
      <c r="Q34" s="5" t="s">
        <v>141</v>
      </c>
      <c r="R34" s="5">
        <v>21.25</v>
      </c>
      <c r="S34" s="4">
        <v>45725</v>
      </c>
      <c r="T34" s="4">
        <v>45731</v>
      </c>
      <c r="U34" s="5">
        <f t="shared" si="2"/>
        <v>6</v>
      </c>
      <c r="V34" s="5" t="s">
        <v>67</v>
      </c>
      <c r="X34" s="5"/>
    </row>
    <row r="35" spans="1:24">
      <c r="A35" s="4">
        <v>45021</v>
      </c>
      <c r="B35" s="5" t="str">
        <f t="shared" si="0"/>
        <v>April</v>
      </c>
      <c r="C35" s="5" t="s">
        <v>19</v>
      </c>
      <c r="D35" s="5" t="s">
        <v>24</v>
      </c>
      <c r="E35" s="5">
        <v>17</v>
      </c>
      <c r="F35" s="5">
        <v>476.49</v>
      </c>
      <c r="G35" s="6">
        <f t="shared" si="1"/>
        <v>8100.33</v>
      </c>
      <c r="H35" s="5" t="s">
        <v>81</v>
      </c>
      <c r="I35" s="5" t="s">
        <v>62</v>
      </c>
      <c r="J35" s="5">
        <v>0</v>
      </c>
      <c r="K35" s="5" t="s">
        <v>63</v>
      </c>
      <c r="L35" s="6">
        <v>8100.33</v>
      </c>
      <c r="M35" s="5" t="s">
        <v>31</v>
      </c>
      <c r="N35" s="5"/>
      <c r="O35" s="5">
        <v>0</v>
      </c>
      <c r="P35" s="5" t="s">
        <v>142</v>
      </c>
      <c r="Q35" s="5" t="s">
        <v>143</v>
      </c>
      <c r="R35" s="5">
        <v>17.91</v>
      </c>
      <c r="S35" s="4">
        <v>45021</v>
      </c>
      <c r="T35" s="4">
        <v>45027</v>
      </c>
      <c r="U35" s="5">
        <f t="shared" si="2"/>
        <v>6</v>
      </c>
      <c r="V35" s="5" t="s">
        <v>76</v>
      </c>
      <c r="X35" s="5"/>
    </row>
    <row r="36" spans="1:24">
      <c r="A36" s="4">
        <v>45785</v>
      </c>
      <c r="B36" s="5" t="str">
        <f t="shared" si="0"/>
        <v>May</v>
      </c>
      <c r="C36" s="5" t="s">
        <v>18</v>
      </c>
      <c r="D36" s="5" t="s">
        <v>26</v>
      </c>
      <c r="E36" s="5">
        <v>4</v>
      </c>
      <c r="F36" s="5">
        <v>559.72</v>
      </c>
      <c r="G36" s="6">
        <f t="shared" si="1"/>
        <v>2238.88</v>
      </c>
      <c r="H36" s="5" t="s">
        <v>81</v>
      </c>
      <c r="I36" s="5" t="s">
        <v>62</v>
      </c>
      <c r="J36" s="5">
        <v>0.15</v>
      </c>
      <c r="K36" s="5" t="s">
        <v>82</v>
      </c>
      <c r="L36" s="6">
        <v>1903.048</v>
      </c>
      <c r="M36" s="5" t="s">
        <v>30</v>
      </c>
      <c r="N36" s="5" t="s">
        <v>64</v>
      </c>
      <c r="O36" s="5">
        <v>0</v>
      </c>
      <c r="P36" s="5" t="s">
        <v>144</v>
      </c>
      <c r="Q36" s="5" t="s">
        <v>145</v>
      </c>
      <c r="R36" s="5">
        <v>41.91</v>
      </c>
      <c r="S36" s="4">
        <v>45785</v>
      </c>
      <c r="T36" s="4">
        <v>45789</v>
      </c>
      <c r="U36" s="5">
        <f t="shared" si="2"/>
        <v>4</v>
      </c>
      <c r="V36" s="5" t="s">
        <v>72</v>
      </c>
      <c r="X36" s="5"/>
    </row>
    <row r="37" spans="1:24">
      <c r="A37" s="4">
        <v>45172</v>
      </c>
      <c r="B37" s="5" t="str">
        <f t="shared" si="0"/>
        <v>September</v>
      </c>
      <c r="C37" s="5" t="s">
        <v>18</v>
      </c>
      <c r="D37" s="5" t="s">
        <v>101</v>
      </c>
      <c r="E37" s="5">
        <v>14</v>
      </c>
      <c r="F37" s="5">
        <v>82.14</v>
      </c>
      <c r="G37" s="6">
        <f t="shared" si="1"/>
        <v>1149.96</v>
      </c>
      <c r="H37" s="5" t="s">
        <v>77</v>
      </c>
      <c r="I37" s="5" t="s">
        <v>62</v>
      </c>
      <c r="J37" s="5">
        <v>0</v>
      </c>
      <c r="K37" s="5" t="s">
        <v>63</v>
      </c>
      <c r="L37" s="6">
        <v>1149.96</v>
      </c>
      <c r="M37" s="5" t="s">
        <v>32</v>
      </c>
      <c r="N37" s="5"/>
      <c r="O37" s="5">
        <v>0</v>
      </c>
      <c r="P37" s="5" t="s">
        <v>146</v>
      </c>
      <c r="Q37" s="5" t="s">
        <v>147</v>
      </c>
      <c r="R37" s="5">
        <v>12.57</v>
      </c>
      <c r="S37" s="4">
        <v>45172</v>
      </c>
      <c r="T37" s="4">
        <v>45180</v>
      </c>
      <c r="U37" s="5">
        <f t="shared" si="2"/>
        <v>8</v>
      </c>
      <c r="V37" s="5" t="s">
        <v>72</v>
      </c>
      <c r="X37" s="5"/>
    </row>
    <row r="38" spans="1:24">
      <c r="A38" s="4">
        <v>45737</v>
      </c>
      <c r="B38" s="5" t="str">
        <f t="shared" si="0"/>
        <v>March</v>
      </c>
      <c r="C38" s="5" t="s">
        <v>19</v>
      </c>
      <c r="D38" s="5" t="s">
        <v>25</v>
      </c>
      <c r="E38" s="5">
        <v>9</v>
      </c>
      <c r="F38" s="5">
        <v>343.21</v>
      </c>
      <c r="G38" s="6">
        <f t="shared" si="1"/>
        <v>3088.89</v>
      </c>
      <c r="H38" s="5" t="s">
        <v>61</v>
      </c>
      <c r="I38" s="5" t="s">
        <v>62</v>
      </c>
      <c r="J38" s="5">
        <v>0.05</v>
      </c>
      <c r="K38" s="5" t="s">
        <v>78</v>
      </c>
      <c r="L38" s="6">
        <v>2934.4455</v>
      </c>
      <c r="M38" s="5" t="s">
        <v>33</v>
      </c>
      <c r="N38" s="5" t="s">
        <v>56</v>
      </c>
      <c r="O38" s="5">
        <v>0</v>
      </c>
      <c r="P38" s="5" t="s">
        <v>148</v>
      </c>
      <c r="Q38" s="5" t="s">
        <v>149</v>
      </c>
      <c r="R38" s="5">
        <v>40.29</v>
      </c>
      <c r="S38" s="4">
        <v>45737</v>
      </c>
      <c r="T38" s="4">
        <v>45744</v>
      </c>
      <c r="U38" s="5">
        <f t="shared" si="2"/>
        <v>7</v>
      </c>
      <c r="V38" s="5" t="s">
        <v>76</v>
      </c>
      <c r="X38" s="5"/>
    </row>
    <row r="39" spans="1:24">
      <c r="A39" s="4">
        <v>45828</v>
      </c>
      <c r="B39" s="5" t="str">
        <f t="shared" si="0"/>
        <v>June</v>
      </c>
      <c r="C39" s="5" t="s">
        <v>17</v>
      </c>
      <c r="D39" s="5" t="s">
        <v>25</v>
      </c>
      <c r="E39" s="5">
        <v>7</v>
      </c>
      <c r="F39" s="5">
        <v>301.01</v>
      </c>
      <c r="G39" s="6">
        <f t="shared" si="1"/>
        <v>2107.07</v>
      </c>
      <c r="H39" s="5" t="s">
        <v>53</v>
      </c>
      <c r="I39" s="5" t="s">
        <v>62</v>
      </c>
      <c r="J39" s="5">
        <v>0.15</v>
      </c>
      <c r="K39" s="5" t="s">
        <v>82</v>
      </c>
      <c r="L39" s="6">
        <v>1791.0095</v>
      </c>
      <c r="M39" s="5" t="s">
        <v>34</v>
      </c>
      <c r="N39" s="5" t="s">
        <v>64</v>
      </c>
      <c r="O39" s="5">
        <v>1</v>
      </c>
      <c r="P39" s="5" t="s">
        <v>150</v>
      </c>
      <c r="Q39" s="5" t="s">
        <v>151</v>
      </c>
      <c r="R39" s="5">
        <v>34.97</v>
      </c>
      <c r="S39" s="4">
        <v>45828</v>
      </c>
      <c r="T39" s="4">
        <v>45838</v>
      </c>
      <c r="U39" s="5">
        <f t="shared" si="2"/>
        <v>10</v>
      </c>
      <c r="V39" s="5" t="s">
        <v>67</v>
      </c>
      <c r="X39" s="5"/>
    </row>
    <row r="40" spans="1:24">
      <c r="A40" s="4">
        <v>45337</v>
      </c>
      <c r="B40" s="5" t="str">
        <f t="shared" si="0"/>
        <v>February</v>
      </c>
      <c r="C40" s="5" t="s">
        <v>19</v>
      </c>
      <c r="D40" s="5" t="s">
        <v>27</v>
      </c>
      <c r="E40" s="5">
        <v>14</v>
      </c>
      <c r="F40" s="5">
        <v>428.13</v>
      </c>
      <c r="G40" s="6">
        <f t="shared" si="1"/>
        <v>5993.82</v>
      </c>
      <c r="H40" s="5" t="s">
        <v>77</v>
      </c>
      <c r="I40" s="5" t="s">
        <v>62</v>
      </c>
      <c r="J40" s="5">
        <v>0.1</v>
      </c>
      <c r="K40" s="5" t="s">
        <v>89</v>
      </c>
      <c r="L40" s="6">
        <v>5394.438</v>
      </c>
      <c r="M40" s="5" t="s">
        <v>34</v>
      </c>
      <c r="N40" s="5"/>
      <c r="O40" s="5">
        <v>1</v>
      </c>
      <c r="P40" s="5" t="s">
        <v>152</v>
      </c>
      <c r="Q40" s="5" t="s">
        <v>153</v>
      </c>
      <c r="R40" s="5">
        <v>24.77</v>
      </c>
      <c r="S40" s="4">
        <v>45337</v>
      </c>
      <c r="T40" s="4">
        <v>45347</v>
      </c>
      <c r="U40" s="5">
        <f t="shared" si="2"/>
        <v>10</v>
      </c>
      <c r="V40" s="5" t="s">
        <v>76</v>
      </c>
      <c r="X40" s="5"/>
    </row>
    <row r="41" spans="1:24">
      <c r="A41" s="4">
        <v>45086</v>
      </c>
      <c r="B41" s="5" t="str">
        <f t="shared" si="0"/>
        <v>June</v>
      </c>
      <c r="C41" s="5" t="s">
        <v>19</v>
      </c>
      <c r="D41" s="5" t="s">
        <v>22</v>
      </c>
      <c r="E41" s="5">
        <v>2</v>
      </c>
      <c r="F41" s="5">
        <v>503.28</v>
      </c>
      <c r="G41" s="6">
        <f t="shared" si="1"/>
        <v>1006.56</v>
      </c>
      <c r="H41" s="5" t="s">
        <v>81</v>
      </c>
      <c r="I41" s="5" t="s">
        <v>62</v>
      </c>
      <c r="J41" s="5">
        <v>0.15</v>
      </c>
      <c r="K41" s="5" t="s">
        <v>63</v>
      </c>
      <c r="L41" s="6">
        <v>855.576</v>
      </c>
      <c r="M41" s="5" t="s">
        <v>31</v>
      </c>
      <c r="N41" s="5"/>
      <c r="O41" s="5">
        <v>0</v>
      </c>
      <c r="P41" s="5" t="s">
        <v>154</v>
      </c>
      <c r="Q41" s="5" t="s">
        <v>155</v>
      </c>
      <c r="R41" s="5">
        <v>34.79</v>
      </c>
      <c r="S41" s="4">
        <v>45086</v>
      </c>
      <c r="T41" s="4">
        <v>45094</v>
      </c>
      <c r="U41" s="5">
        <f t="shared" si="2"/>
        <v>8</v>
      </c>
      <c r="V41" s="5" t="s">
        <v>76</v>
      </c>
      <c r="X41" s="5"/>
    </row>
    <row r="42" spans="1:24">
      <c r="A42" s="4">
        <v>45148</v>
      </c>
      <c r="B42" s="5" t="str">
        <f t="shared" si="0"/>
        <v>August</v>
      </c>
      <c r="C42" s="5" t="s">
        <v>17</v>
      </c>
      <c r="D42" s="5" t="s">
        <v>27</v>
      </c>
      <c r="E42" s="5">
        <v>5</v>
      </c>
      <c r="F42" s="5">
        <v>470.32</v>
      </c>
      <c r="G42" s="6">
        <f t="shared" si="1"/>
        <v>2351.6</v>
      </c>
      <c r="H42" s="5" t="s">
        <v>61</v>
      </c>
      <c r="I42" s="5" t="s">
        <v>62</v>
      </c>
      <c r="J42" s="5">
        <v>0.1</v>
      </c>
      <c r="K42" s="5" t="s">
        <v>55</v>
      </c>
      <c r="L42" s="6">
        <v>2116.44</v>
      </c>
      <c r="M42" s="5" t="s">
        <v>33</v>
      </c>
      <c r="N42" s="5" t="s">
        <v>64</v>
      </c>
      <c r="O42" s="5">
        <v>0</v>
      </c>
      <c r="P42" s="5" t="s">
        <v>156</v>
      </c>
      <c r="Q42" s="5" t="s">
        <v>157</v>
      </c>
      <c r="R42" s="5">
        <v>17.77</v>
      </c>
      <c r="S42" s="4">
        <v>45148</v>
      </c>
      <c r="T42" s="4">
        <v>45152</v>
      </c>
      <c r="U42" s="5">
        <f t="shared" si="2"/>
        <v>4</v>
      </c>
      <c r="V42" s="5" t="s">
        <v>67</v>
      </c>
      <c r="X42" s="5"/>
    </row>
    <row r="43" spans="1:24">
      <c r="A43" s="4">
        <v>45459</v>
      </c>
      <c r="B43" s="5" t="str">
        <f t="shared" si="0"/>
        <v>June</v>
      </c>
      <c r="C43" s="5" t="s">
        <v>19</v>
      </c>
      <c r="D43" s="5" t="s">
        <v>27</v>
      </c>
      <c r="E43" s="5">
        <v>20</v>
      </c>
      <c r="F43" s="5">
        <v>65.17</v>
      </c>
      <c r="G43" s="6">
        <f t="shared" si="1"/>
        <v>1303.4</v>
      </c>
      <c r="H43" s="5" t="s">
        <v>77</v>
      </c>
      <c r="I43" s="5" t="s">
        <v>54</v>
      </c>
      <c r="J43" s="5">
        <v>0.05</v>
      </c>
      <c r="K43" s="5" t="s">
        <v>55</v>
      </c>
      <c r="L43" s="6">
        <v>1238.23</v>
      </c>
      <c r="M43" s="5" t="s">
        <v>31</v>
      </c>
      <c r="N43" s="5" t="s">
        <v>56</v>
      </c>
      <c r="O43" s="5">
        <v>0</v>
      </c>
      <c r="P43" s="5" t="s">
        <v>158</v>
      </c>
      <c r="Q43" s="5" t="s">
        <v>159</v>
      </c>
      <c r="R43" s="5">
        <v>21.72</v>
      </c>
      <c r="S43" s="4">
        <v>45459</v>
      </c>
      <c r="T43" s="4">
        <v>45468</v>
      </c>
      <c r="U43" s="5">
        <f t="shared" si="2"/>
        <v>9</v>
      </c>
      <c r="V43" s="5" t="s">
        <v>76</v>
      </c>
      <c r="X43" s="5"/>
    </row>
    <row r="44" spans="1:24">
      <c r="A44" s="4">
        <v>45130</v>
      </c>
      <c r="B44" s="5" t="str">
        <f t="shared" si="0"/>
        <v>July</v>
      </c>
      <c r="C44" s="5" t="s">
        <v>17</v>
      </c>
      <c r="D44" s="5" t="s">
        <v>22</v>
      </c>
      <c r="E44" s="5">
        <v>12</v>
      </c>
      <c r="F44" s="5">
        <v>36.17</v>
      </c>
      <c r="G44" s="6">
        <f t="shared" si="1"/>
        <v>434.04</v>
      </c>
      <c r="H44" s="5" t="s">
        <v>61</v>
      </c>
      <c r="I44" s="5" t="s">
        <v>62</v>
      </c>
      <c r="J44" s="5">
        <v>0</v>
      </c>
      <c r="K44" s="5" t="s">
        <v>55</v>
      </c>
      <c r="L44" s="6">
        <v>434.04</v>
      </c>
      <c r="M44" s="5" t="s">
        <v>30</v>
      </c>
      <c r="N44" s="5" t="s">
        <v>69</v>
      </c>
      <c r="O44" s="5">
        <v>0</v>
      </c>
      <c r="P44" s="5" t="s">
        <v>160</v>
      </c>
      <c r="Q44" s="5" t="s">
        <v>161</v>
      </c>
      <c r="R44" s="5">
        <v>34.85</v>
      </c>
      <c r="S44" s="4">
        <v>45130</v>
      </c>
      <c r="T44" s="4">
        <v>45133</v>
      </c>
      <c r="U44" s="5">
        <f t="shared" si="2"/>
        <v>3</v>
      </c>
      <c r="V44" s="5" t="s">
        <v>67</v>
      </c>
      <c r="X44" s="5"/>
    </row>
    <row r="45" spans="1:24">
      <c r="A45" s="4">
        <v>45066</v>
      </c>
      <c r="B45" s="5" t="str">
        <f t="shared" si="0"/>
        <v>May</v>
      </c>
      <c r="C45" s="5" t="s">
        <v>19</v>
      </c>
      <c r="D45" s="5" t="s">
        <v>27</v>
      </c>
      <c r="E45" s="5">
        <v>4</v>
      </c>
      <c r="F45" s="5">
        <v>459.31</v>
      </c>
      <c r="G45" s="6">
        <f t="shared" si="1"/>
        <v>1837.24</v>
      </c>
      <c r="H45" s="5" t="s">
        <v>81</v>
      </c>
      <c r="I45" s="5" t="s">
        <v>54</v>
      </c>
      <c r="J45" s="5">
        <v>0.15</v>
      </c>
      <c r="K45" s="5" t="s">
        <v>78</v>
      </c>
      <c r="L45" s="6">
        <v>1561.654</v>
      </c>
      <c r="M45" s="5" t="s">
        <v>31</v>
      </c>
      <c r="N45" s="5" t="s">
        <v>69</v>
      </c>
      <c r="O45" s="5">
        <v>1</v>
      </c>
      <c r="P45" s="5" t="s">
        <v>162</v>
      </c>
      <c r="Q45" s="5" t="s">
        <v>163</v>
      </c>
      <c r="R45" s="5">
        <v>27.39</v>
      </c>
      <c r="S45" s="4">
        <v>45066</v>
      </c>
      <c r="T45" s="4">
        <v>45073</v>
      </c>
      <c r="U45" s="5">
        <f t="shared" si="2"/>
        <v>7</v>
      </c>
      <c r="V45" s="5" t="s">
        <v>76</v>
      </c>
      <c r="X45" s="5"/>
    </row>
    <row r="46" spans="1:24">
      <c r="A46" s="4">
        <v>45107</v>
      </c>
      <c r="B46" s="5" t="str">
        <f t="shared" si="0"/>
        <v>June</v>
      </c>
      <c r="C46" s="5" t="s">
        <v>17</v>
      </c>
      <c r="D46" s="5" t="s">
        <v>22</v>
      </c>
      <c r="E46" s="5">
        <v>2</v>
      </c>
      <c r="F46" s="5">
        <v>416.06</v>
      </c>
      <c r="G46" s="6">
        <f t="shared" si="1"/>
        <v>832.12</v>
      </c>
      <c r="H46" s="5" t="s">
        <v>81</v>
      </c>
      <c r="I46" s="5" t="s">
        <v>62</v>
      </c>
      <c r="J46" s="5">
        <v>0.05</v>
      </c>
      <c r="K46" s="5" t="s">
        <v>55</v>
      </c>
      <c r="L46" s="6">
        <v>790.514</v>
      </c>
      <c r="M46" s="5" t="s">
        <v>33</v>
      </c>
      <c r="N46" s="5" t="s">
        <v>64</v>
      </c>
      <c r="O46" s="5">
        <v>0</v>
      </c>
      <c r="P46" s="5" t="s">
        <v>164</v>
      </c>
      <c r="Q46" s="5" t="s">
        <v>165</v>
      </c>
      <c r="R46" s="5">
        <v>11.62</v>
      </c>
      <c r="S46" s="4">
        <v>45107</v>
      </c>
      <c r="T46" s="4">
        <v>45111</v>
      </c>
      <c r="U46" s="5">
        <f t="shared" si="2"/>
        <v>4</v>
      </c>
      <c r="V46" s="5" t="s">
        <v>67</v>
      </c>
      <c r="X46" s="5"/>
    </row>
    <row r="47" spans="1:24">
      <c r="A47" s="4">
        <v>45447</v>
      </c>
      <c r="B47" s="5" t="str">
        <f t="shared" si="0"/>
        <v>June</v>
      </c>
      <c r="C47" s="5" t="s">
        <v>17</v>
      </c>
      <c r="D47" s="5" t="s">
        <v>101</v>
      </c>
      <c r="E47" s="5">
        <v>16</v>
      </c>
      <c r="F47" s="5">
        <v>302.58</v>
      </c>
      <c r="G47" s="6">
        <f t="shared" si="1"/>
        <v>4841.28</v>
      </c>
      <c r="H47" s="5" t="s">
        <v>81</v>
      </c>
      <c r="I47" s="5" t="s">
        <v>62</v>
      </c>
      <c r="J47" s="5">
        <v>0</v>
      </c>
      <c r="K47" s="5" t="s">
        <v>63</v>
      </c>
      <c r="L47" s="6">
        <v>4841.28</v>
      </c>
      <c r="M47" s="5" t="s">
        <v>30</v>
      </c>
      <c r="N47" s="5" t="s">
        <v>69</v>
      </c>
      <c r="O47" s="5">
        <v>1</v>
      </c>
      <c r="P47" s="5" t="s">
        <v>166</v>
      </c>
      <c r="Q47" s="5" t="s">
        <v>167</v>
      </c>
      <c r="R47" s="5">
        <v>20.76</v>
      </c>
      <c r="S47" s="4">
        <v>45447</v>
      </c>
      <c r="T47" s="4">
        <v>45457</v>
      </c>
      <c r="U47" s="5">
        <f t="shared" si="2"/>
        <v>10</v>
      </c>
      <c r="V47" s="5" t="s">
        <v>67</v>
      </c>
      <c r="X47" s="5"/>
    </row>
    <row r="48" spans="1:24">
      <c r="A48" s="4">
        <v>45691</v>
      </c>
      <c r="B48" s="5" t="str">
        <f t="shared" si="0"/>
        <v>February</v>
      </c>
      <c r="C48" s="5" t="s">
        <v>20</v>
      </c>
      <c r="D48" s="5" t="s">
        <v>25</v>
      </c>
      <c r="E48" s="5">
        <v>11</v>
      </c>
      <c r="F48" s="5">
        <v>33.13</v>
      </c>
      <c r="G48" s="6">
        <f t="shared" si="1"/>
        <v>364.43</v>
      </c>
      <c r="H48" s="5" t="s">
        <v>61</v>
      </c>
      <c r="I48" s="5" t="s">
        <v>62</v>
      </c>
      <c r="J48" s="5">
        <v>0.15</v>
      </c>
      <c r="K48" s="5" t="s">
        <v>73</v>
      </c>
      <c r="L48" s="6">
        <v>309.7655</v>
      </c>
      <c r="M48" s="5" t="s">
        <v>30</v>
      </c>
      <c r="N48" s="5" t="s">
        <v>56</v>
      </c>
      <c r="O48" s="5">
        <v>0</v>
      </c>
      <c r="P48" s="5" t="s">
        <v>168</v>
      </c>
      <c r="Q48" s="5" t="s">
        <v>169</v>
      </c>
      <c r="R48" s="5">
        <v>24.95</v>
      </c>
      <c r="S48" s="4">
        <v>45691</v>
      </c>
      <c r="T48" s="4">
        <v>45693</v>
      </c>
      <c r="U48" s="5">
        <f t="shared" si="2"/>
        <v>2</v>
      </c>
      <c r="V48" s="5" t="s">
        <v>94</v>
      </c>
      <c r="X48" s="5"/>
    </row>
    <row r="49" spans="1:24">
      <c r="A49" s="4">
        <v>45300</v>
      </c>
      <c r="B49" s="5" t="str">
        <f t="shared" si="0"/>
        <v>January</v>
      </c>
      <c r="C49" s="5" t="s">
        <v>16</v>
      </c>
      <c r="D49" s="5" t="s">
        <v>101</v>
      </c>
      <c r="E49" s="5">
        <v>8</v>
      </c>
      <c r="F49" s="5">
        <v>582.52</v>
      </c>
      <c r="G49" s="6">
        <f t="shared" si="1"/>
        <v>4660.16</v>
      </c>
      <c r="H49" s="5" t="s">
        <v>81</v>
      </c>
      <c r="I49" s="5" t="s">
        <v>62</v>
      </c>
      <c r="J49" s="5">
        <v>0.15</v>
      </c>
      <c r="K49" s="5" t="s">
        <v>73</v>
      </c>
      <c r="L49" s="6">
        <v>3961.136</v>
      </c>
      <c r="M49" s="5" t="s">
        <v>31</v>
      </c>
      <c r="N49" s="5" t="s">
        <v>69</v>
      </c>
      <c r="O49" s="5">
        <v>0</v>
      </c>
      <c r="P49" s="5" t="s">
        <v>170</v>
      </c>
      <c r="Q49" s="5" t="s">
        <v>171</v>
      </c>
      <c r="R49" s="5">
        <v>6.47</v>
      </c>
      <c r="S49" s="4">
        <v>45300</v>
      </c>
      <c r="T49" s="4">
        <v>45304</v>
      </c>
      <c r="U49" s="5">
        <f t="shared" si="2"/>
        <v>4</v>
      </c>
      <c r="V49" s="5" t="s">
        <v>59</v>
      </c>
      <c r="X49" s="5"/>
    </row>
    <row r="50" spans="1:24">
      <c r="A50" s="4">
        <v>45365</v>
      </c>
      <c r="B50" s="5" t="str">
        <f t="shared" si="0"/>
        <v>March</v>
      </c>
      <c r="C50" s="5" t="s">
        <v>18</v>
      </c>
      <c r="D50" s="5" t="s">
        <v>24</v>
      </c>
      <c r="E50" s="5">
        <v>5</v>
      </c>
      <c r="F50" s="5">
        <v>165.15</v>
      </c>
      <c r="G50" s="6">
        <f t="shared" si="1"/>
        <v>825.75</v>
      </c>
      <c r="H50" s="5" t="s">
        <v>61</v>
      </c>
      <c r="I50" s="5" t="s">
        <v>62</v>
      </c>
      <c r="J50" s="5">
        <v>0.1</v>
      </c>
      <c r="K50" s="5" t="s">
        <v>55</v>
      </c>
      <c r="L50" s="6">
        <v>743.175</v>
      </c>
      <c r="M50" s="5" t="s">
        <v>31</v>
      </c>
      <c r="N50" s="5"/>
      <c r="O50" s="5">
        <v>0</v>
      </c>
      <c r="P50" s="5" t="s">
        <v>172</v>
      </c>
      <c r="Q50" s="5" t="s">
        <v>173</v>
      </c>
      <c r="R50" s="5">
        <v>20.57</v>
      </c>
      <c r="S50" s="4">
        <v>45365</v>
      </c>
      <c r="T50" s="4">
        <v>45367</v>
      </c>
      <c r="U50" s="5">
        <f t="shared" si="2"/>
        <v>2</v>
      </c>
      <c r="V50" s="5" t="s">
        <v>72</v>
      </c>
      <c r="X50" s="5"/>
    </row>
    <row r="51" spans="1:24">
      <c r="A51" s="4">
        <v>45541</v>
      </c>
      <c r="B51" s="5" t="str">
        <f t="shared" si="0"/>
        <v>September</v>
      </c>
      <c r="C51" s="5" t="s">
        <v>20</v>
      </c>
      <c r="D51" s="5" t="s">
        <v>26</v>
      </c>
      <c r="E51" s="5">
        <v>14</v>
      </c>
      <c r="F51" s="5">
        <v>242.82</v>
      </c>
      <c r="G51" s="6">
        <f t="shared" si="1"/>
        <v>3399.48</v>
      </c>
      <c r="H51" s="5" t="s">
        <v>81</v>
      </c>
      <c r="I51" s="5" t="s">
        <v>54</v>
      </c>
      <c r="J51" s="5">
        <v>0.15</v>
      </c>
      <c r="K51" s="5" t="s">
        <v>63</v>
      </c>
      <c r="L51" s="6">
        <v>2889.558</v>
      </c>
      <c r="M51" s="5" t="s">
        <v>34</v>
      </c>
      <c r="N51" s="5" t="s">
        <v>69</v>
      </c>
      <c r="O51" s="5">
        <v>1</v>
      </c>
      <c r="P51" s="5" t="s">
        <v>174</v>
      </c>
      <c r="Q51" s="5" t="s">
        <v>175</v>
      </c>
      <c r="R51" s="5">
        <v>20.71</v>
      </c>
      <c r="S51" s="4">
        <v>45541</v>
      </c>
      <c r="T51" s="4">
        <v>45548</v>
      </c>
      <c r="U51" s="5">
        <f t="shared" si="2"/>
        <v>7</v>
      </c>
      <c r="V51" s="5" t="s">
        <v>94</v>
      </c>
      <c r="X51" s="5"/>
    </row>
    <row r="52" spans="1:24">
      <c r="A52" s="4">
        <v>45002</v>
      </c>
      <c r="B52" s="5" t="str">
        <f t="shared" si="0"/>
        <v>March</v>
      </c>
      <c r="C52" s="5" t="s">
        <v>16</v>
      </c>
      <c r="D52" s="5" t="s">
        <v>26</v>
      </c>
      <c r="E52" s="5">
        <v>13</v>
      </c>
      <c r="F52" s="5">
        <v>65.99</v>
      </c>
      <c r="G52" s="6">
        <f t="shared" si="1"/>
        <v>857.87</v>
      </c>
      <c r="H52" s="5" t="s">
        <v>61</v>
      </c>
      <c r="I52" s="5" t="s">
        <v>54</v>
      </c>
      <c r="J52" s="5">
        <v>0.1</v>
      </c>
      <c r="K52" s="5" t="s">
        <v>73</v>
      </c>
      <c r="L52" s="6">
        <v>772.083</v>
      </c>
      <c r="M52" s="5" t="s">
        <v>34</v>
      </c>
      <c r="N52" s="5" t="s">
        <v>69</v>
      </c>
      <c r="O52" s="5">
        <v>0</v>
      </c>
      <c r="P52" s="5" t="s">
        <v>176</v>
      </c>
      <c r="Q52" s="5" t="s">
        <v>177</v>
      </c>
      <c r="R52" s="5">
        <v>12.87</v>
      </c>
      <c r="S52" s="4">
        <v>45002</v>
      </c>
      <c r="T52" s="4">
        <v>45005</v>
      </c>
      <c r="U52" s="5">
        <f t="shared" si="2"/>
        <v>3</v>
      </c>
      <c r="V52" s="5" t="s">
        <v>59</v>
      </c>
      <c r="X52" s="5"/>
    </row>
    <row r="53" spans="1:24">
      <c r="A53" s="4">
        <v>45674</v>
      </c>
      <c r="B53" s="5" t="str">
        <f t="shared" si="0"/>
        <v>January</v>
      </c>
      <c r="C53" s="5" t="s">
        <v>20</v>
      </c>
      <c r="D53" s="5" t="s">
        <v>25</v>
      </c>
      <c r="E53" s="5">
        <v>2</v>
      </c>
      <c r="F53" s="5">
        <v>251.69</v>
      </c>
      <c r="G53" s="6">
        <f t="shared" si="1"/>
        <v>503.38</v>
      </c>
      <c r="H53" s="5" t="s">
        <v>77</v>
      </c>
      <c r="I53" s="5" t="s">
        <v>54</v>
      </c>
      <c r="J53" s="5">
        <v>0</v>
      </c>
      <c r="K53" s="5" t="s">
        <v>63</v>
      </c>
      <c r="L53" s="6">
        <v>503.38</v>
      </c>
      <c r="M53" s="5" t="s">
        <v>33</v>
      </c>
      <c r="N53" s="5" t="s">
        <v>56</v>
      </c>
      <c r="O53" s="5">
        <v>0</v>
      </c>
      <c r="P53" s="5" t="s">
        <v>178</v>
      </c>
      <c r="Q53" s="5" t="s">
        <v>179</v>
      </c>
      <c r="R53" s="5">
        <v>42.49</v>
      </c>
      <c r="S53" s="4">
        <v>45674</v>
      </c>
      <c r="T53" s="4">
        <v>45681</v>
      </c>
      <c r="U53" s="5">
        <f t="shared" si="2"/>
        <v>7</v>
      </c>
      <c r="V53" s="5" t="s">
        <v>94</v>
      </c>
      <c r="X53" s="5"/>
    </row>
    <row r="54" spans="1:24">
      <c r="A54" s="4">
        <v>45547</v>
      </c>
      <c r="B54" s="5" t="str">
        <f t="shared" si="0"/>
        <v>September</v>
      </c>
      <c r="C54" s="5" t="s">
        <v>17</v>
      </c>
      <c r="D54" s="5" t="s">
        <v>22</v>
      </c>
      <c r="E54" s="5">
        <v>1</v>
      </c>
      <c r="F54" s="5">
        <v>269.41</v>
      </c>
      <c r="G54" s="6">
        <f t="shared" si="1"/>
        <v>269.41</v>
      </c>
      <c r="H54" s="5" t="s">
        <v>53</v>
      </c>
      <c r="I54" s="5" t="s">
        <v>54</v>
      </c>
      <c r="J54" s="5">
        <v>0.1</v>
      </c>
      <c r="K54" s="5" t="s">
        <v>55</v>
      </c>
      <c r="L54" s="6">
        <v>242.469</v>
      </c>
      <c r="M54" s="5" t="s">
        <v>34</v>
      </c>
      <c r="N54" s="5" t="s">
        <v>69</v>
      </c>
      <c r="O54" s="5">
        <v>1</v>
      </c>
      <c r="P54" s="5" t="s">
        <v>180</v>
      </c>
      <c r="Q54" s="5" t="s">
        <v>181</v>
      </c>
      <c r="R54" s="5">
        <v>19.22</v>
      </c>
      <c r="S54" s="4">
        <v>45547</v>
      </c>
      <c r="T54" s="4">
        <v>45553</v>
      </c>
      <c r="U54" s="5">
        <f t="shared" si="2"/>
        <v>6</v>
      </c>
      <c r="V54" s="5" t="s">
        <v>67</v>
      </c>
      <c r="X54" s="5"/>
    </row>
    <row r="55" spans="1:24">
      <c r="A55" s="4">
        <v>45296</v>
      </c>
      <c r="B55" s="5" t="str">
        <f t="shared" si="0"/>
        <v>January</v>
      </c>
      <c r="C55" s="5" t="s">
        <v>17</v>
      </c>
      <c r="D55" s="5" t="s">
        <v>26</v>
      </c>
      <c r="E55" s="5">
        <v>2</v>
      </c>
      <c r="F55" s="5">
        <v>371.3</v>
      </c>
      <c r="G55" s="6">
        <f t="shared" si="1"/>
        <v>742.6</v>
      </c>
      <c r="H55" s="5" t="s">
        <v>53</v>
      </c>
      <c r="I55" s="5" t="s">
        <v>54</v>
      </c>
      <c r="J55" s="5">
        <v>0.05</v>
      </c>
      <c r="K55" s="5" t="s">
        <v>89</v>
      </c>
      <c r="L55" s="6">
        <v>705.47</v>
      </c>
      <c r="M55" s="5" t="s">
        <v>32</v>
      </c>
      <c r="N55" s="5" t="s">
        <v>64</v>
      </c>
      <c r="O55" s="5">
        <v>0</v>
      </c>
      <c r="P55" s="5" t="s">
        <v>182</v>
      </c>
      <c r="Q55" s="5" t="s">
        <v>183</v>
      </c>
      <c r="R55" s="5">
        <v>36.51</v>
      </c>
      <c r="S55" s="4">
        <v>45296</v>
      </c>
      <c r="T55" s="4">
        <v>45306</v>
      </c>
      <c r="U55" s="5">
        <f t="shared" si="2"/>
        <v>10</v>
      </c>
      <c r="V55" s="5" t="s">
        <v>67</v>
      </c>
      <c r="X55" s="5"/>
    </row>
    <row r="56" spans="1:24">
      <c r="A56" s="4">
        <v>45401</v>
      </c>
      <c r="B56" s="5" t="str">
        <f t="shared" si="0"/>
        <v>April</v>
      </c>
      <c r="C56" s="5" t="s">
        <v>20</v>
      </c>
      <c r="D56" s="5" t="s">
        <v>101</v>
      </c>
      <c r="E56" s="5">
        <v>11</v>
      </c>
      <c r="F56" s="5">
        <v>288.24</v>
      </c>
      <c r="G56" s="6">
        <f t="shared" si="1"/>
        <v>3170.64</v>
      </c>
      <c r="H56" s="5" t="s">
        <v>61</v>
      </c>
      <c r="I56" s="5" t="s">
        <v>54</v>
      </c>
      <c r="J56" s="5">
        <v>0.15</v>
      </c>
      <c r="K56" s="5" t="s">
        <v>82</v>
      </c>
      <c r="L56" s="6">
        <v>2695.044</v>
      </c>
      <c r="M56" s="5" t="s">
        <v>30</v>
      </c>
      <c r="N56" s="5"/>
      <c r="O56" s="5">
        <v>0</v>
      </c>
      <c r="P56" s="5" t="s">
        <v>184</v>
      </c>
      <c r="Q56" s="5" t="s">
        <v>185</v>
      </c>
      <c r="R56" s="5">
        <v>37.39</v>
      </c>
      <c r="S56" s="4">
        <v>45401</v>
      </c>
      <c r="T56" s="4">
        <v>45407</v>
      </c>
      <c r="U56" s="5">
        <f t="shared" si="2"/>
        <v>6</v>
      </c>
      <c r="V56" s="5" t="s">
        <v>94</v>
      </c>
      <c r="X56" s="5"/>
    </row>
    <row r="57" spans="1:24">
      <c r="A57" s="4">
        <v>45819</v>
      </c>
      <c r="B57" s="5" t="str">
        <f t="shared" si="0"/>
        <v>June</v>
      </c>
      <c r="C57" s="5" t="s">
        <v>19</v>
      </c>
      <c r="D57" s="5" t="s">
        <v>101</v>
      </c>
      <c r="E57" s="5">
        <v>11</v>
      </c>
      <c r="F57" s="5">
        <v>232.75</v>
      </c>
      <c r="G57" s="6">
        <f t="shared" si="1"/>
        <v>2560.25</v>
      </c>
      <c r="H57" s="5" t="s">
        <v>81</v>
      </c>
      <c r="I57" s="5" t="s">
        <v>54</v>
      </c>
      <c r="J57" s="5">
        <v>0.05</v>
      </c>
      <c r="K57" s="5" t="s">
        <v>55</v>
      </c>
      <c r="L57" s="6">
        <v>2432.2375</v>
      </c>
      <c r="M57" s="5" t="s">
        <v>32</v>
      </c>
      <c r="N57" s="5" t="s">
        <v>64</v>
      </c>
      <c r="O57" s="5">
        <v>0</v>
      </c>
      <c r="P57" s="5" t="s">
        <v>186</v>
      </c>
      <c r="Q57" s="5" t="s">
        <v>187</v>
      </c>
      <c r="R57" s="5">
        <v>36.33</v>
      </c>
      <c r="S57" s="4">
        <v>45819</v>
      </c>
      <c r="T57" s="4">
        <v>45829</v>
      </c>
      <c r="U57" s="5">
        <f t="shared" si="2"/>
        <v>10</v>
      </c>
      <c r="V57" s="5" t="s">
        <v>76</v>
      </c>
      <c r="X57" s="5"/>
    </row>
    <row r="58" spans="1:24">
      <c r="A58" s="4">
        <v>45722</v>
      </c>
      <c r="B58" s="5" t="str">
        <f t="shared" si="0"/>
        <v>March</v>
      </c>
      <c r="C58" s="5" t="s">
        <v>16</v>
      </c>
      <c r="D58" s="5" t="s">
        <v>23</v>
      </c>
      <c r="E58" s="5">
        <v>17</v>
      </c>
      <c r="F58" s="5">
        <v>146.28</v>
      </c>
      <c r="G58" s="6">
        <f t="shared" si="1"/>
        <v>2486.76</v>
      </c>
      <c r="H58" s="5" t="s">
        <v>53</v>
      </c>
      <c r="I58" s="5" t="s">
        <v>62</v>
      </c>
      <c r="J58" s="5">
        <v>0.15</v>
      </c>
      <c r="K58" s="5" t="s">
        <v>78</v>
      </c>
      <c r="L58" s="6">
        <v>2113.746</v>
      </c>
      <c r="M58" s="5" t="s">
        <v>34</v>
      </c>
      <c r="N58" s="5" t="s">
        <v>64</v>
      </c>
      <c r="O58" s="5">
        <v>0</v>
      </c>
      <c r="P58" s="5" t="s">
        <v>188</v>
      </c>
      <c r="Q58" s="5" t="s">
        <v>189</v>
      </c>
      <c r="R58" s="5">
        <v>7.84</v>
      </c>
      <c r="S58" s="4">
        <v>45722</v>
      </c>
      <c r="T58" s="4">
        <v>45731</v>
      </c>
      <c r="U58" s="5">
        <f t="shared" si="2"/>
        <v>9</v>
      </c>
      <c r="V58" s="5" t="s">
        <v>59</v>
      </c>
      <c r="X58" s="5"/>
    </row>
    <row r="59" spans="1:24">
      <c r="A59" s="4">
        <v>45070</v>
      </c>
      <c r="B59" s="5" t="str">
        <f t="shared" si="0"/>
        <v>May</v>
      </c>
      <c r="C59" s="5" t="s">
        <v>16</v>
      </c>
      <c r="D59" s="5" t="s">
        <v>25</v>
      </c>
      <c r="E59" s="5">
        <v>5</v>
      </c>
      <c r="F59" s="5">
        <v>100.38</v>
      </c>
      <c r="G59" s="6">
        <f t="shared" si="1"/>
        <v>501.9</v>
      </c>
      <c r="H59" s="5" t="s">
        <v>77</v>
      </c>
      <c r="I59" s="5" t="s">
        <v>62</v>
      </c>
      <c r="J59" s="5">
        <v>0.1</v>
      </c>
      <c r="K59" s="5" t="s">
        <v>55</v>
      </c>
      <c r="L59" s="6">
        <v>451.71</v>
      </c>
      <c r="M59" s="5" t="s">
        <v>31</v>
      </c>
      <c r="N59" s="5" t="s">
        <v>69</v>
      </c>
      <c r="O59" s="5">
        <v>1</v>
      </c>
      <c r="P59" s="5" t="s">
        <v>190</v>
      </c>
      <c r="Q59" s="5" t="s">
        <v>191</v>
      </c>
      <c r="R59" s="5">
        <v>18.35</v>
      </c>
      <c r="S59" s="4">
        <v>45070</v>
      </c>
      <c r="T59" s="4">
        <v>45072</v>
      </c>
      <c r="U59" s="5">
        <f t="shared" si="2"/>
        <v>2</v>
      </c>
      <c r="V59" s="5" t="s">
        <v>59</v>
      </c>
      <c r="X59" s="5"/>
    </row>
    <row r="60" spans="1:24">
      <c r="A60" s="4">
        <v>44953</v>
      </c>
      <c r="B60" s="5" t="str">
        <f t="shared" si="0"/>
        <v>January</v>
      </c>
      <c r="C60" s="5" t="s">
        <v>17</v>
      </c>
      <c r="D60" s="5" t="s">
        <v>23</v>
      </c>
      <c r="E60" s="5">
        <v>11</v>
      </c>
      <c r="F60" s="5">
        <v>375.48</v>
      </c>
      <c r="G60" s="6">
        <f t="shared" si="1"/>
        <v>4130.28</v>
      </c>
      <c r="H60" s="5" t="s">
        <v>53</v>
      </c>
      <c r="I60" s="5" t="s">
        <v>62</v>
      </c>
      <c r="J60" s="5">
        <v>0.05</v>
      </c>
      <c r="K60" s="5" t="s">
        <v>89</v>
      </c>
      <c r="L60" s="6">
        <v>3923.766</v>
      </c>
      <c r="M60" s="5" t="s">
        <v>33</v>
      </c>
      <c r="N60" s="5" t="s">
        <v>69</v>
      </c>
      <c r="O60" s="5">
        <v>0</v>
      </c>
      <c r="P60" s="5" t="s">
        <v>192</v>
      </c>
      <c r="Q60" s="5" t="s">
        <v>193</v>
      </c>
      <c r="R60" s="5">
        <v>15.95</v>
      </c>
      <c r="S60" s="4">
        <v>44953</v>
      </c>
      <c r="T60" s="4">
        <v>44960</v>
      </c>
      <c r="U60" s="5">
        <f t="shared" si="2"/>
        <v>7</v>
      </c>
      <c r="V60" s="5" t="s">
        <v>67</v>
      </c>
      <c r="X60" s="5"/>
    </row>
    <row r="61" spans="1:24">
      <c r="A61" s="4">
        <v>45372</v>
      </c>
      <c r="B61" s="5" t="str">
        <f t="shared" si="0"/>
        <v>March</v>
      </c>
      <c r="C61" s="5" t="s">
        <v>17</v>
      </c>
      <c r="D61" s="5" t="s">
        <v>22</v>
      </c>
      <c r="E61" s="5">
        <v>18</v>
      </c>
      <c r="F61" s="5">
        <v>316.89</v>
      </c>
      <c r="G61" s="6">
        <f t="shared" si="1"/>
        <v>5704.02</v>
      </c>
      <c r="H61" s="5" t="s">
        <v>53</v>
      </c>
      <c r="I61" s="5" t="s">
        <v>54</v>
      </c>
      <c r="J61" s="5">
        <v>0.05</v>
      </c>
      <c r="K61" s="5" t="s">
        <v>89</v>
      </c>
      <c r="L61" s="6">
        <v>5418.819</v>
      </c>
      <c r="M61" s="5" t="s">
        <v>34</v>
      </c>
      <c r="N61" s="5" t="s">
        <v>56</v>
      </c>
      <c r="O61" s="5">
        <v>0</v>
      </c>
      <c r="P61" s="5" t="s">
        <v>194</v>
      </c>
      <c r="Q61" s="5" t="s">
        <v>195</v>
      </c>
      <c r="R61" s="5">
        <v>15.69</v>
      </c>
      <c r="S61" s="4">
        <v>45372</v>
      </c>
      <c r="T61" s="4">
        <v>45378</v>
      </c>
      <c r="U61" s="5">
        <f t="shared" si="2"/>
        <v>6</v>
      </c>
      <c r="V61" s="5" t="s">
        <v>67</v>
      </c>
      <c r="X61" s="5"/>
    </row>
    <row r="62" spans="1:24">
      <c r="A62" s="4">
        <v>45682</v>
      </c>
      <c r="B62" s="5" t="str">
        <f t="shared" si="0"/>
        <v>January</v>
      </c>
      <c r="C62" s="5" t="s">
        <v>20</v>
      </c>
      <c r="D62" s="5" t="s">
        <v>22</v>
      </c>
      <c r="E62" s="5">
        <v>20</v>
      </c>
      <c r="F62" s="5">
        <v>295.06</v>
      </c>
      <c r="G62" s="6">
        <f t="shared" si="1"/>
        <v>5901.2</v>
      </c>
      <c r="H62" s="5" t="s">
        <v>81</v>
      </c>
      <c r="I62" s="5" t="s">
        <v>62</v>
      </c>
      <c r="J62" s="5">
        <v>0.15</v>
      </c>
      <c r="K62" s="5" t="s">
        <v>73</v>
      </c>
      <c r="L62" s="6">
        <v>5016.02</v>
      </c>
      <c r="M62" s="5" t="s">
        <v>30</v>
      </c>
      <c r="N62" s="5" t="s">
        <v>64</v>
      </c>
      <c r="O62" s="5">
        <v>1</v>
      </c>
      <c r="P62" s="5" t="s">
        <v>196</v>
      </c>
      <c r="Q62" s="5" t="s">
        <v>197</v>
      </c>
      <c r="R62" s="5">
        <v>13.66</v>
      </c>
      <c r="S62" s="4">
        <v>45682</v>
      </c>
      <c r="T62" s="4">
        <v>45688</v>
      </c>
      <c r="U62" s="5">
        <f t="shared" si="2"/>
        <v>6</v>
      </c>
      <c r="V62" s="5" t="s">
        <v>94</v>
      </c>
      <c r="X62" s="5"/>
    </row>
    <row r="63" spans="1:24">
      <c r="A63" s="4">
        <v>45089</v>
      </c>
      <c r="B63" s="5" t="str">
        <f t="shared" si="0"/>
        <v>June</v>
      </c>
      <c r="C63" s="5" t="s">
        <v>19</v>
      </c>
      <c r="D63" s="5" t="s">
        <v>23</v>
      </c>
      <c r="E63" s="5">
        <v>8</v>
      </c>
      <c r="F63" s="5">
        <v>301.68</v>
      </c>
      <c r="G63" s="6">
        <f t="shared" si="1"/>
        <v>2413.44</v>
      </c>
      <c r="H63" s="5" t="s">
        <v>81</v>
      </c>
      <c r="I63" s="5" t="s">
        <v>62</v>
      </c>
      <c r="J63" s="5">
        <v>0</v>
      </c>
      <c r="K63" s="5" t="s">
        <v>55</v>
      </c>
      <c r="L63" s="6">
        <v>2413.44</v>
      </c>
      <c r="M63" s="5" t="s">
        <v>34</v>
      </c>
      <c r="N63" s="5" t="s">
        <v>64</v>
      </c>
      <c r="O63" s="5">
        <v>0</v>
      </c>
      <c r="P63" s="5" t="s">
        <v>198</v>
      </c>
      <c r="Q63" s="5" t="s">
        <v>199</v>
      </c>
      <c r="R63" s="5">
        <v>36.54</v>
      </c>
      <c r="S63" s="4">
        <v>45089</v>
      </c>
      <c r="T63" s="4">
        <v>45098</v>
      </c>
      <c r="U63" s="5">
        <f t="shared" si="2"/>
        <v>9</v>
      </c>
      <c r="V63" s="5" t="s">
        <v>76</v>
      </c>
      <c r="X63" s="5"/>
    </row>
    <row r="64" spans="1:24">
      <c r="A64" s="4">
        <v>45738</v>
      </c>
      <c r="B64" s="5" t="str">
        <f t="shared" si="0"/>
        <v>March</v>
      </c>
      <c r="C64" s="5" t="s">
        <v>19</v>
      </c>
      <c r="D64" s="5" t="s">
        <v>25</v>
      </c>
      <c r="E64" s="5">
        <v>3</v>
      </c>
      <c r="F64" s="5">
        <v>475.39</v>
      </c>
      <c r="G64" s="6">
        <f t="shared" si="1"/>
        <v>1426.17</v>
      </c>
      <c r="H64" s="5" t="s">
        <v>53</v>
      </c>
      <c r="I64" s="5" t="s">
        <v>62</v>
      </c>
      <c r="J64" s="5">
        <v>0.1</v>
      </c>
      <c r="K64" s="5" t="s">
        <v>63</v>
      </c>
      <c r="L64" s="6">
        <v>1283.553</v>
      </c>
      <c r="M64" s="5" t="s">
        <v>31</v>
      </c>
      <c r="N64" s="5"/>
      <c r="O64" s="5">
        <v>0</v>
      </c>
      <c r="P64" s="5" t="s">
        <v>200</v>
      </c>
      <c r="Q64" s="5" t="s">
        <v>201</v>
      </c>
      <c r="R64" s="5">
        <v>15.62</v>
      </c>
      <c r="S64" s="4">
        <v>45738</v>
      </c>
      <c r="T64" s="4">
        <v>45742</v>
      </c>
      <c r="U64" s="5">
        <f t="shared" si="2"/>
        <v>4</v>
      </c>
      <c r="V64" s="5" t="s">
        <v>76</v>
      </c>
      <c r="X64" s="5"/>
    </row>
    <row r="65" spans="1:24">
      <c r="A65" s="4">
        <v>45346</v>
      </c>
      <c r="B65" s="5" t="str">
        <f t="shared" si="0"/>
        <v>February</v>
      </c>
      <c r="C65" s="5" t="s">
        <v>19</v>
      </c>
      <c r="D65" s="5" t="s">
        <v>24</v>
      </c>
      <c r="E65" s="5">
        <v>16</v>
      </c>
      <c r="F65" s="5">
        <v>47.25</v>
      </c>
      <c r="G65" s="6">
        <f t="shared" si="1"/>
        <v>756</v>
      </c>
      <c r="H65" s="5" t="s">
        <v>81</v>
      </c>
      <c r="I65" s="5" t="s">
        <v>62</v>
      </c>
      <c r="J65" s="5">
        <v>0.15</v>
      </c>
      <c r="K65" s="5" t="s">
        <v>89</v>
      </c>
      <c r="L65" s="6">
        <v>642.6</v>
      </c>
      <c r="M65" s="5" t="s">
        <v>33</v>
      </c>
      <c r="N65" s="5" t="s">
        <v>56</v>
      </c>
      <c r="O65" s="5">
        <v>0</v>
      </c>
      <c r="P65" s="5" t="s">
        <v>202</v>
      </c>
      <c r="Q65" s="5" t="s">
        <v>203</v>
      </c>
      <c r="R65" s="5">
        <v>29.5</v>
      </c>
      <c r="S65" s="4">
        <v>45346</v>
      </c>
      <c r="T65" s="4">
        <v>45349</v>
      </c>
      <c r="U65" s="5">
        <f t="shared" si="2"/>
        <v>3</v>
      </c>
      <c r="V65" s="5" t="s">
        <v>76</v>
      </c>
      <c r="X65" s="5"/>
    </row>
    <row r="66" spans="1:24">
      <c r="A66" s="4">
        <v>45269</v>
      </c>
      <c r="B66" s="5" t="str">
        <f t="shared" si="0"/>
        <v>December</v>
      </c>
      <c r="C66" s="5" t="s">
        <v>17</v>
      </c>
      <c r="D66" s="5" t="s">
        <v>25</v>
      </c>
      <c r="E66" s="5">
        <v>15</v>
      </c>
      <c r="F66" s="5">
        <v>511.17</v>
      </c>
      <c r="G66" s="6">
        <f t="shared" si="1"/>
        <v>7667.55</v>
      </c>
      <c r="H66" s="5" t="s">
        <v>53</v>
      </c>
      <c r="I66" s="5" t="s">
        <v>54</v>
      </c>
      <c r="J66" s="5">
        <v>0</v>
      </c>
      <c r="K66" s="5" t="s">
        <v>73</v>
      </c>
      <c r="L66" s="6">
        <v>7667.55</v>
      </c>
      <c r="M66" s="5" t="s">
        <v>30</v>
      </c>
      <c r="N66" s="5" t="s">
        <v>56</v>
      </c>
      <c r="O66" s="5">
        <v>0</v>
      </c>
      <c r="P66" s="5" t="s">
        <v>204</v>
      </c>
      <c r="Q66" s="5" t="s">
        <v>205</v>
      </c>
      <c r="R66" s="5">
        <v>21.77</v>
      </c>
      <c r="S66" s="4">
        <v>45269</v>
      </c>
      <c r="T66" s="4">
        <v>45272</v>
      </c>
      <c r="U66" s="5">
        <f t="shared" si="2"/>
        <v>3</v>
      </c>
      <c r="V66" s="5" t="s">
        <v>67</v>
      </c>
      <c r="X66" s="5"/>
    </row>
    <row r="67" spans="1:24">
      <c r="A67" s="4">
        <v>45200</v>
      </c>
      <c r="B67" s="5" t="str">
        <f t="shared" ref="B67:B130" si="3">TEXT(A67,"mmmm")</f>
        <v>October</v>
      </c>
      <c r="C67" s="5" t="s">
        <v>19</v>
      </c>
      <c r="D67" s="5" t="s">
        <v>26</v>
      </c>
      <c r="E67" s="5">
        <v>3</v>
      </c>
      <c r="F67" s="5">
        <v>66.58</v>
      </c>
      <c r="G67" s="6">
        <f t="shared" ref="G67:G130" si="4">F67*E67</f>
        <v>199.74</v>
      </c>
      <c r="H67" s="5" t="s">
        <v>53</v>
      </c>
      <c r="I67" s="5" t="s">
        <v>62</v>
      </c>
      <c r="J67" s="5">
        <v>0.1</v>
      </c>
      <c r="K67" s="5" t="s">
        <v>73</v>
      </c>
      <c r="L67" s="6">
        <v>179.766</v>
      </c>
      <c r="M67" s="5" t="s">
        <v>33</v>
      </c>
      <c r="N67" s="5" t="s">
        <v>56</v>
      </c>
      <c r="O67" s="5">
        <v>0</v>
      </c>
      <c r="P67" s="5" t="s">
        <v>206</v>
      </c>
      <c r="Q67" s="5" t="s">
        <v>207</v>
      </c>
      <c r="R67" s="5">
        <v>22.43</v>
      </c>
      <c r="S67" s="4">
        <v>45200</v>
      </c>
      <c r="T67" s="4">
        <v>45204</v>
      </c>
      <c r="U67" s="5">
        <f t="shared" ref="U67:U130" si="5">T67-S67</f>
        <v>4</v>
      </c>
      <c r="V67" s="5" t="s">
        <v>76</v>
      </c>
      <c r="X67" s="5"/>
    </row>
    <row r="68" spans="1:24">
      <c r="A68" s="4">
        <v>45138</v>
      </c>
      <c r="B68" s="5" t="str">
        <f t="shared" si="3"/>
        <v>July</v>
      </c>
      <c r="C68" s="5" t="s">
        <v>20</v>
      </c>
      <c r="D68" s="5" t="s">
        <v>101</v>
      </c>
      <c r="E68" s="5">
        <v>5</v>
      </c>
      <c r="F68" s="5">
        <v>490.52</v>
      </c>
      <c r="G68" s="6">
        <f t="shared" si="4"/>
        <v>2452.6</v>
      </c>
      <c r="H68" s="5" t="s">
        <v>81</v>
      </c>
      <c r="I68" s="5" t="s">
        <v>54</v>
      </c>
      <c r="J68" s="5">
        <v>0.05</v>
      </c>
      <c r="K68" s="5" t="s">
        <v>73</v>
      </c>
      <c r="L68" s="6">
        <v>2329.97</v>
      </c>
      <c r="M68" s="5" t="s">
        <v>30</v>
      </c>
      <c r="N68" s="5"/>
      <c r="O68" s="5">
        <v>0</v>
      </c>
      <c r="P68" s="5" t="s">
        <v>208</v>
      </c>
      <c r="Q68" s="5" t="s">
        <v>209</v>
      </c>
      <c r="R68" s="5">
        <v>12.24</v>
      </c>
      <c r="S68" s="4">
        <v>45138</v>
      </c>
      <c r="T68" s="4">
        <v>45145</v>
      </c>
      <c r="U68" s="5">
        <f t="shared" si="5"/>
        <v>7</v>
      </c>
      <c r="V68" s="5" t="s">
        <v>94</v>
      </c>
      <c r="X68" s="5"/>
    </row>
    <row r="69" spans="1:24">
      <c r="A69" s="4">
        <v>45650</v>
      </c>
      <c r="B69" s="5" t="str">
        <f t="shared" si="3"/>
        <v>December</v>
      </c>
      <c r="C69" s="5" t="s">
        <v>17</v>
      </c>
      <c r="D69" s="5" t="s">
        <v>25</v>
      </c>
      <c r="E69" s="5">
        <v>8</v>
      </c>
      <c r="F69" s="5">
        <v>405.96</v>
      </c>
      <c r="G69" s="6">
        <f t="shared" si="4"/>
        <v>3247.68</v>
      </c>
      <c r="H69" s="5" t="s">
        <v>61</v>
      </c>
      <c r="I69" s="5" t="s">
        <v>54</v>
      </c>
      <c r="J69" s="5">
        <v>0.05</v>
      </c>
      <c r="K69" s="5" t="s">
        <v>78</v>
      </c>
      <c r="L69" s="6">
        <v>3085.296</v>
      </c>
      <c r="M69" s="5" t="s">
        <v>32</v>
      </c>
      <c r="N69" s="5" t="s">
        <v>69</v>
      </c>
      <c r="O69" s="5">
        <v>0</v>
      </c>
      <c r="P69" s="5" t="s">
        <v>210</v>
      </c>
      <c r="Q69" s="5" t="s">
        <v>211</v>
      </c>
      <c r="R69" s="5">
        <v>41.27</v>
      </c>
      <c r="S69" s="4">
        <v>45650</v>
      </c>
      <c r="T69" s="4">
        <v>45657</v>
      </c>
      <c r="U69" s="5">
        <f t="shared" si="5"/>
        <v>7</v>
      </c>
      <c r="V69" s="5" t="s">
        <v>67</v>
      </c>
      <c r="X69" s="5"/>
    </row>
    <row r="70" spans="1:24">
      <c r="A70" s="4">
        <v>45611</v>
      </c>
      <c r="B70" s="5" t="str">
        <f t="shared" si="3"/>
        <v>November</v>
      </c>
      <c r="C70" s="5" t="s">
        <v>18</v>
      </c>
      <c r="D70" s="5" t="s">
        <v>23</v>
      </c>
      <c r="E70" s="5">
        <v>1</v>
      </c>
      <c r="F70" s="5">
        <v>159.41</v>
      </c>
      <c r="G70" s="6">
        <f t="shared" si="4"/>
        <v>159.41</v>
      </c>
      <c r="H70" s="5" t="s">
        <v>53</v>
      </c>
      <c r="I70" s="5" t="s">
        <v>62</v>
      </c>
      <c r="J70" s="5">
        <v>0.1</v>
      </c>
      <c r="K70" s="5" t="s">
        <v>89</v>
      </c>
      <c r="L70" s="6">
        <v>143.469</v>
      </c>
      <c r="M70" s="5" t="s">
        <v>32</v>
      </c>
      <c r="N70" s="5" t="s">
        <v>56</v>
      </c>
      <c r="O70" s="5">
        <v>0</v>
      </c>
      <c r="P70" s="5" t="s">
        <v>212</v>
      </c>
      <c r="Q70" s="5" t="s">
        <v>213</v>
      </c>
      <c r="R70" s="5">
        <v>35.14</v>
      </c>
      <c r="S70" s="4">
        <v>45611</v>
      </c>
      <c r="T70" s="4">
        <v>45615</v>
      </c>
      <c r="U70" s="5">
        <f t="shared" si="5"/>
        <v>4</v>
      </c>
      <c r="V70" s="5" t="s">
        <v>72</v>
      </c>
      <c r="X70" s="5"/>
    </row>
    <row r="71" spans="1:24">
      <c r="A71" s="4">
        <v>45729</v>
      </c>
      <c r="B71" s="5" t="str">
        <f t="shared" si="3"/>
        <v>March</v>
      </c>
      <c r="C71" s="5" t="s">
        <v>20</v>
      </c>
      <c r="D71" s="5" t="s">
        <v>26</v>
      </c>
      <c r="E71" s="5">
        <v>16</v>
      </c>
      <c r="F71" s="5">
        <v>38.49</v>
      </c>
      <c r="G71" s="6">
        <f t="shared" si="4"/>
        <v>615.84</v>
      </c>
      <c r="H71" s="5" t="s">
        <v>77</v>
      </c>
      <c r="I71" s="5" t="s">
        <v>62</v>
      </c>
      <c r="J71" s="5">
        <v>0.15</v>
      </c>
      <c r="K71" s="5" t="s">
        <v>78</v>
      </c>
      <c r="L71" s="6">
        <v>523.464</v>
      </c>
      <c r="M71" s="5" t="s">
        <v>33</v>
      </c>
      <c r="N71" s="5" t="s">
        <v>64</v>
      </c>
      <c r="O71" s="5">
        <v>0</v>
      </c>
      <c r="P71" s="5" t="s">
        <v>214</v>
      </c>
      <c r="Q71" s="5" t="s">
        <v>215</v>
      </c>
      <c r="R71" s="5">
        <v>8.38</v>
      </c>
      <c r="S71" s="4">
        <v>45729</v>
      </c>
      <c r="T71" s="4">
        <v>45738</v>
      </c>
      <c r="U71" s="5">
        <f t="shared" si="5"/>
        <v>9</v>
      </c>
      <c r="V71" s="5" t="s">
        <v>94</v>
      </c>
      <c r="X71" s="5"/>
    </row>
    <row r="72" spans="1:24">
      <c r="A72" s="4">
        <v>45354</v>
      </c>
      <c r="B72" s="5" t="str">
        <f t="shared" si="3"/>
        <v>March</v>
      </c>
      <c r="C72" s="5" t="s">
        <v>16</v>
      </c>
      <c r="D72" s="5" t="s">
        <v>101</v>
      </c>
      <c r="E72" s="5">
        <v>15</v>
      </c>
      <c r="F72" s="5">
        <v>328.36</v>
      </c>
      <c r="G72" s="6">
        <f t="shared" si="4"/>
        <v>4925.4</v>
      </c>
      <c r="H72" s="5" t="s">
        <v>81</v>
      </c>
      <c r="I72" s="5" t="s">
        <v>62</v>
      </c>
      <c r="J72" s="5">
        <v>0.15</v>
      </c>
      <c r="K72" s="5" t="s">
        <v>63</v>
      </c>
      <c r="L72" s="6">
        <v>4186.59</v>
      </c>
      <c r="M72" s="5" t="s">
        <v>31</v>
      </c>
      <c r="N72" s="5" t="s">
        <v>69</v>
      </c>
      <c r="O72" s="5">
        <v>0</v>
      </c>
      <c r="P72" s="5" t="s">
        <v>216</v>
      </c>
      <c r="Q72" s="5" t="s">
        <v>217</v>
      </c>
      <c r="R72" s="5">
        <v>15.76</v>
      </c>
      <c r="S72" s="4">
        <v>45354</v>
      </c>
      <c r="T72" s="4">
        <v>45363</v>
      </c>
      <c r="U72" s="5">
        <f t="shared" si="5"/>
        <v>9</v>
      </c>
      <c r="V72" s="5" t="s">
        <v>59</v>
      </c>
      <c r="X72" s="5"/>
    </row>
    <row r="73" spans="1:24">
      <c r="A73" s="4">
        <v>44968</v>
      </c>
      <c r="B73" s="5" t="str">
        <f t="shared" si="3"/>
        <v>February</v>
      </c>
      <c r="C73" s="5" t="s">
        <v>19</v>
      </c>
      <c r="D73" s="5" t="s">
        <v>101</v>
      </c>
      <c r="E73" s="5">
        <v>20</v>
      </c>
      <c r="F73" s="5">
        <v>548.01</v>
      </c>
      <c r="G73" s="6">
        <f t="shared" si="4"/>
        <v>10960.2</v>
      </c>
      <c r="H73" s="5" t="s">
        <v>61</v>
      </c>
      <c r="I73" s="5" t="s">
        <v>54</v>
      </c>
      <c r="J73" s="5">
        <v>0.1</v>
      </c>
      <c r="K73" s="5" t="s">
        <v>55</v>
      </c>
      <c r="L73" s="6">
        <v>9864.18</v>
      </c>
      <c r="M73" s="5" t="s">
        <v>32</v>
      </c>
      <c r="N73" s="5" t="s">
        <v>69</v>
      </c>
      <c r="O73" s="5">
        <v>1</v>
      </c>
      <c r="P73" s="5" t="s">
        <v>218</v>
      </c>
      <c r="Q73" s="5" t="s">
        <v>219</v>
      </c>
      <c r="R73" s="5">
        <v>5.89</v>
      </c>
      <c r="S73" s="4">
        <v>44968</v>
      </c>
      <c r="T73" s="4">
        <v>44971</v>
      </c>
      <c r="U73" s="5">
        <f t="shared" si="5"/>
        <v>3</v>
      </c>
      <c r="V73" s="5" t="s">
        <v>76</v>
      </c>
      <c r="X73" s="5"/>
    </row>
    <row r="74" spans="1:24">
      <c r="A74" s="4">
        <v>45225</v>
      </c>
      <c r="B74" s="5" t="str">
        <f t="shared" si="3"/>
        <v>October</v>
      </c>
      <c r="C74" s="5" t="s">
        <v>17</v>
      </c>
      <c r="D74" s="5" t="s">
        <v>24</v>
      </c>
      <c r="E74" s="5">
        <v>13</v>
      </c>
      <c r="F74" s="5">
        <v>484.45</v>
      </c>
      <c r="G74" s="6">
        <f t="shared" si="4"/>
        <v>6297.85</v>
      </c>
      <c r="H74" s="5" t="s">
        <v>53</v>
      </c>
      <c r="I74" s="5" t="s">
        <v>54</v>
      </c>
      <c r="J74" s="5">
        <v>0.05</v>
      </c>
      <c r="K74" s="5" t="s">
        <v>78</v>
      </c>
      <c r="L74" s="6">
        <v>5982.9575</v>
      </c>
      <c r="M74" s="5" t="s">
        <v>31</v>
      </c>
      <c r="N74" s="5" t="s">
        <v>69</v>
      </c>
      <c r="O74" s="5">
        <v>1</v>
      </c>
      <c r="P74" s="5" t="s">
        <v>220</v>
      </c>
      <c r="Q74" s="5" t="s">
        <v>221</v>
      </c>
      <c r="R74" s="5">
        <v>6.57</v>
      </c>
      <c r="S74" s="4">
        <v>45225</v>
      </c>
      <c r="T74" s="4">
        <v>45235</v>
      </c>
      <c r="U74" s="5">
        <f t="shared" si="5"/>
        <v>10</v>
      </c>
      <c r="V74" s="5" t="s">
        <v>67</v>
      </c>
      <c r="X74" s="5"/>
    </row>
    <row r="75" spans="1:24">
      <c r="A75" s="4">
        <v>45220</v>
      </c>
      <c r="B75" s="5" t="str">
        <f t="shared" si="3"/>
        <v>October</v>
      </c>
      <c r="C75" s="5" t="s">
        <v>17</v>
      </c>
      <c r="D75" s="5" t="s">
        <v>26</v>
      </c>
      <c r="E75" s="5">
        <v>13</v>
      </c>
      <c r="F75" s="5">
        <v>195.84</v>
      </c>
      <c r="G75" s="6">
        <f t="shared" si="4"/>
        <v>2545.92</v>
      </c>
      <c r="H75" s="5" t="s">
        <v>61</v>
      </c>
      <c r="I75" s="5" t="s">
        <v>54</v>
      </c>
      <c r="J75" s="5">
        <v>0.05</v>
      </c>
      <c r="K75" s="5" t="s">
        <v>63</v>
      </c>
      <c r="L75" s="6">
        <v>2418.624</v>
      </c>
      <c r="M75" s="5" t="s">
        <v>32</v>
      </c>
      <c r="N75" s="5"/>
      <c r="O75" s="5">
        <v>0</v>
      </c>
      <c r="P75" s="5" t="s">
        <v>222</v>
      </c>
      <c r="Q75" s="5" t="s">
        <v>223</v>
      </c>
      <c r="R75" s="5">
        <v>33.52</v>
      </c>
      <c r="S75" s="4">
        <v>45220</v>
      </c>
      <c r="T75" s="4">
        <v>45227</v>
      </c>
      <c r="U75" s="5">
        <f t="shared" si="5"/>
        <v>7</v>
      </c>
      <c r="V75" s="5" t="s">
        <v>67</v>
      </c>
      <c r="X75" s="5"/>
    </row>
    <row r="76" spans="1:24">
      <c r="A76" s="4">
        <v>45305</v>
      </c>
      <c r="B76" s="5" t="str">
        <f t="shared" si="3"/>
        <v>January</v>
      </c>
      <c r="C76" s="5" t="s">
        <v>19</v>
      </c>
      <c r="D76" s="5" t="s">
        <v>101</v>
      </c>
      <c r="E76" s="5">
        <v>19</v>
      </c>
      <c r="F76" s="5">
        <v>29.94</v>
      </c>
      <c r="G76" s="6">
        <f t="shared" si="4"/>
        <v>568.86</v>
      </c>
      <c r="H76" s="5" t="s">
        <v>81</v>
      </c>
      <c r="I76" s="5" t="s">
        <v>62</v>
      </c>
      <c r="J76" s="5">
        <v>0.15</v>
      </c>
      <c r="K76" s="5" t="s">
        <v>82</v>
      </c>
      <c r="L76" s="6">
        <v>483.531</v>
      </c>
      <c r="M76" s="5" t="s">
        <v>33</v>
      </c>
      <c r="N76" s="5" t="s">
        <v>56</v>
      </c>
      <c r="O76" s="5">
        <v>0</v>
      </c>
      <c r="P76" s="5" t="s">
        <v>224</v>
      </c>
      <c r="Q76" s="5" t="s">
        <v>225</v>
      </c>
      <c r="R76" s="5">
        <v>33.59</v>
      </c>
      <c r="S76" s="4">
        <v>45305</v>
      </c>
      <c r="T76" s="4">
        <v>45311</v>
      </c>
      <c r="U76" s="5">
        <f t="shared" si="5"/>
        <v>6</v>
      </c>
      <c r="V76" s="5" t="s">
        <v>76</v>
      </c>
      <c r="X76" s="5"/>
    </row>
    <row r="77" spans="1:24">
      <c r="A77" s="4">
        <v>45134</v>
      </c>
      <c r="B77" s="5" t="str">
        <f t="shared" si="3"/>
        <v>July</v>
      </c>
      <c r="C77" s="5" t="s">
        <v>19</v>
      </c>
      <c r="D77" s="5" t="s">
        <v>24</v>
      </c>
      <c r="E77" s="5">
        <v>10</v>
      </c>
      <c r="F77" s="5">
        <v>553.91</v>
      </c>
      <c r="G77" s="6">
        <f t="shared" si="4"/>
        <v>5539.1</v>
      </c>
      <c r="H77" s="5" t="s">
        <v>81</v>
      </c>
      <c r="I77" s="5" t="s">
        <v>54</v>
      </c>
      <c r="J77" s="5">
        <v>0.1</v>
      </c>
      <c r="K77" s="5" t="s">
        <v>55</v>
      </c>
      <c r="L77" s="6">
        <v>4985.19</v>
      </c>
      <c r="M77" s="5" t="s">
        <v>30</v>
      </c>
      <c r="N77" s="5"/>
      <c r="O77" s="5">
        <v>0</v>
      </c>
      <c r="P77" s="5" t="s">
        <v>226</v>
      </c>
      <c r="Q77" s="5" t="s">
        <v>227</v>
      </c>
      <c r="R77" s="5">
        <v>31.3</v>
      </c>
      <c r="S77" s="4">
        <v>45134</v>
      </c>
      <c r="T77" s="4">
        <v>45138</v>
      </c>
      <c r="U77" s="5">
        <f t="shared" si="5"/>
        <v>4</v>
      </c>
      <c r="V77" s="5" t="s">
        <v>76</v>
      </c>
      <c r="X77" s="5"/>
    </row>
    <row r="78" spans="1:24">
      <c r="A78" s="4">
        <v>45588</v>
      </c>
      <c r="B78" s="5" t="str">
        <f t="shared" si="3"/>
        <v>October</v>
      </c>
      <c r="C78" s="5" t="s">
        <v>17</v>
      </c>
      <c r="D78" s="5" t="s">
        <v>23</v>
      </c>
      <c r="E78" s="5">
        <v>14</v>
      </c>
      <c r="F78" s="5">
        <v>445.52</v>
      </c>
      <c r="G78" s="6">
        <f t="shared" si="4"/>
        <v>6237.28</v>
      </c>
      <c r="H78" s="5" t="s">
        <v>53</v>
      </c>
      <c r="I78" s="5" t="s">
        <v>62</v>
      </c>
      <c r="J78" s="5">
        <v>0.1</v>
      </c>
      <c r="K78" s="5" t="s">
        <v>89</v>
      </c>
      <c r="L78" s="6">
        <v>5613.552</v>
      </c>
      <c r="M78" s="5" t="s">
        <v>30</v>
      </c>
      <c r="N78" s="5" t="s">
        <v>64</v>
      </c>
      <c r="O78" s="5">
        <v>0</v>
      </c>
      <c r="P78" s="5" t="s">
        <v>228</v>
      </c>
      <c r="Q78" s="5" t="s">
        <v>229</v>
      </c>
      <c r="R78" s="5">
        <v>14.41</v>
      </c>
      <c r="S78" s="4">
        <v>45588</v>
      </c>
      <c r="T78" s="4">
        <v>45590</v>
      </c>
      <c r="U78" s="5">
        <f t="shared" si="5"/>
        <v>2</v>
      </c>
      <c r="V78" s="5" t="s">
        <v>67</v>
      </c>
      <c r="X78" s="5"/>
    </row>
    <row r="79" spans="1:24">
      <c r="A79" s="4">
        <v>45195</v>
      </c>
      <c r="B79" s="5" t="str">
        <f t="shared" si="3"/>
        <v>September</v>
      </c>
      <c r="C79" s="5" t="s">
        <v>17</v>
      </c>
      <c r="D79" s="5" t="s">
        <v>25</v>
      </c>
      <c r="E79" s="5">
        <v>5</v>
      </c>
      <c r="F79" s="5">
        <v>551.58</v>
      </c>
      <c r="G79" s="6">
        <f t="shared" si="4"/>
        <v>2757.9</v>
      </c>
      <c r="H79" s="5" t="s">
        <v>53</v>
      </c>
      <c r="I79" s="5" t="s">
        <v>62</v>
      </c>
      <c r="J79" s="5">
        <v>0.15</v>
      </c>
      <c r="K79" s="5" t="s">
        <v>63</v>
      </c>
      <c r="L79" s="6">
        <v>2344.215</v>
      </c>
      <c r="M79" s="5" t="s">
        <v>30</v>
      </c>
      <c r="N79" s="5" t="s">
        <v>69</v>
      </c>
      <c r="O79" s="5">
        <v>1</v>
      </c>
      <c r="P79" s="5" t="s">
        <v>230</v>
      </c>
      <c r="Q79" s="5" t="s">
        <v>231</v>
      </c>
      <c r="R79" s="5">
        <v>7.87</v>
      </c>
      <c r="S79" s="4">
        <v>45195</v>
      </c>
      <c r="T79" s="4">
        <v>45200</v>
      </c>
      <c r="U79" s="5">
        <f t="shared" si="5"/>
        <v>5</v>
      </c>
      <c r="V79" s="5" t="s">
        <v>67</v>
      </c>
      <c r="X79" s="5"/>
    </row>
    <row r="80" spans="1:24">
      <c r="A80" s="4">
        <v>45276</v>
      </c>
      <c r="B80" s="5" t="str">
        <f t="shared" si="3"/>
        <v>December</v>
      </c>
      <c r="C80" s="5" t="s">
        <v>16</v>
      </c>
      <c r="D80" s="5" t="s">
        <v>23</v>
      </c>
      <c r="E80" s="5">
        <v>13</v>
      </c>
      <c r="F80" s="5">
        <v>241.4</v>
      </c>
      <c r="G80" s="6">
        <f t="shared" si="4"/>
        <v>3138.2</v>
      </c>
      <c r="H80" s="5" t="s">
        <v>81</v>
      </c>
      <c r="I80" s="5" t="s">
        <v>62</v>
      </c>
      <c r="J80" s="5">
        <v>0</v>
      </c>
      <c r="K80" s="5" t="s">
        <v>78</v>
      </c>
      <c r="L80" s="6">
        <v>3138.2</v>
      </c>
      <c r="M80" s="5" t="s">
        <v>31</v>
      </c>
      <c r="N80" s="5" t="s">
        <v>64</v>
      </c>
      <c r="O80" s="5">
        <v>0</v>
      </c>
      <c r="P80" s="5" t="s">
        <v>232</v>
      </c>
      <c r="Q80" s="5" t="s">
        <v>233</v>
      </c>
      <c r="R80" s="5">
        <v>49.05</v>
      </c>
      <c r="S80" s="4">
        <v>45276</v>
      </c>
      <c r="T80" s="4">
        <v>45280</v>
      </c>
      <c r="U80" s="5">
        <f t="shared" si="5"/>
        <v>4</v>
      </c>
      <c r="V80" s="5" t="s">
        <v>59</v>
      </c>
      <c r="X80" s="5"/>
    </row>
    <row r="81" spans="1:24">
      <c r="A81" s="4">
        <v>45293</v>
      </c>
      <c r="B81" s="5" t="str">
        <f t="shared" si="3"/>
        <v>January</v>
      </c>
      <c r="C81" s="5" t="s">
        <v>19</v>
      </c>
      <c r="D81" s="5" t="s">
        <v>27</v>
      </c>
      <c r="E81" s="5">
        <v>19</v>
      </c>
      <c r="F81" s="5">
        <v>351.93</v>
      </c>
      <c r="G81" s="6">
        <f t="shared" si="4"/>
        <v>6686.67</v>
      </c>
      <c r="H81" s="5" t="s">
        <v>61</v>
      </c>
      <c r="I81" s="5" t="s">
        <v>54</v>
      </c>
      <c r="J81" s="5">
        <v>0</v>
      </c>
      <c r="K81" s="5" t="s">
        <v>63</v>
      </c>
      <c r="L81" s="6">
        <v>6686.67</v>
      </c>
      <c r="M81" s="5" t="s">
        <v>32</v>
      </c>
      <c r="N81" s="5"/>
      <c r="O81" s="5">
        <v>0</v>
      </c>
      <c r="P81" s="5" t="s">
        <v>234</v>
      </c>
      <c r="Q81" s="5" t="s">
        <v>235</v>
      </c>
      <c r="R81" s="5">
        <v>39.98</v>
      </c>
      <c r="S81" s="4">
        <v>45293</v>
      </c>
      <c r="T81" s="4">
        <v>45296</v>
      </c>
      <c r="U81" s="5">
        <f t="shared" si="5"/>
        <v>3</v>
      </c>
      <c r="V81" s="5" t="s">
        <v>76</v>
      </c>
      <c r="X81" s="5"/>
    </row>
    <row r="82" spans="1:24">
      <c r="A82" s="4">
        <v>45338</v>
      </c>
      <c r="B82" s="5" t="str">
        <f t="shared" si="3"/>
        <v>February</v>
      </c>
      <c r="C82" s="5" t="s">
        <v>18</v>
      </c>
      <c r="D82" s="5" t="s">
        <v>23</v>
      </c>
      <c r="E82" s="5">
        <v>4</v>
      </c>
      <c r="F82" s="5">
        <v>83.75</v>
      </c>
      <c r="G82" s="6">
        <f t="shared" si="4"/>
        <v>335</v>
      </c>
      <c r="H82" s="5" t="s">
        <v>61</v>
      </c>
      <c r="I82" s="5" t="s">
        <v>62</v>
      </c>
      <c r="J82" s="5">
        <v>0.05</v>
      </c>
      <c r="K82" s="5" t="s">
        <v>63</v>
      </c>
      <c r="L82" s="6">
        <v>318.25</v>
      </c>
      <c r="M82" s="5" t="s">
        <v>33</v>
      </c>
      <c r="N82" s="5" t="s">
        <v>64</v>
      </c>
      <c r="O82" s="5">
        <v>1</v>
      </c>
      <c r="P82" s="5" t="s">
        <v>236</v>
      </c>
      <c r="Q82" s="5" t="s">
        <v>237</v>
      </c>
      <c r="R82" s="5">
        <v>38.82</v>
      </c>
      <c r="S82" s="4">
        <v>45338</v>
      </c>
      <c r="T82" s="4">
        <v>45347</v>
      </c>
      <c r="U82" s="5">
        <f t="shared" si="5"/>
        <v>9</v>
      </c>
      <c r="V82" s="5" t="s">
        <v>72</v>
      </c>
      <c r="X82" s="5"/>
    </row>
    <row r="83" spans="1:24">
      <c r="A83" s="4">
        <v>45415</v>
      </c>
      <c r="B83" s="5" t="str">
        <f t="shared" si="3"/>
        <v>May</v>
      </c>
      <c r="C83" s="5" t="s">
        <v>16</v>
      </c>
      <c r="D83" s="5" t="s">
        <v>26</v>
      </c>
      <c r="E83" s="5">
        <v>5</v>
      </c>
      <c r="F83" s="5">
        <v>416.95</v>
      </c>
      <c r="G83" s="6">
        <f t="shared" si="4"/>
        <v>2084.75</v>
      </c>
      <c r="H83" s="5" t="s">
        <v>61</v>
      </c>
      <c r="I83" s="5" t="s">
        <v>54</v>
      </c>
      <c r="J83" s="5">
        <v>0.15</v>
      </c>
      <c r="K83" s="5" t="s">
        <v>73</v>
      </c>
      <c r="L83" s="6">
        <v>1772.0375</v>
      </c>
      <c r="M83" s="5" t="s">
        <v>30</v>
      </c>
      <c r="N83" s="5"/>
      <c r="O83" s="5">
        <v>1</v>
      </c>
      <c r="P83" s="5" t="s">
        <v>238</v>
      </c>
      <c r="Q83" s="5" t="s">
        <v>239</v>
      </c>
      <c r="R83" s="5">
        <v>24.03</v>
      </c>
      <c r="S83" s="4">
        <v>45415</v>
      </c>
      <c r="T83" s="4">
        <v>45424</v>
      </c>
      <c r="U83" s="5">
        <f t="shared" si="5"/>
        <v>9</v>
      </c>
      <c r="V83" s="5" t="s">
        <v>59</v>
      </c>
      <c r="X83" s="5"/>
    </row>
    <row r="84" spans="1:24">
      <c r="A84" s="4">
        <v>45073</v>
      </c>
      <c r="B84" s="5" t="str">
        <f t="shared" si="3"/>
        <v>May</v>
      </c>
      <c r="C84" s="5" t="s">
        <v>20</v>
      </c>
      <c r="D84" s="5" t="s">
        <v>26</v>
      </c>
      <c r="E84" s="5">
        <v>18</v>
      </c>
      <c r="F84" s="5">
        <v>142.43</v>
      </c>
      <c r="G84" s="6">
        <f t="shared" si="4"/>
        <v>2563.74</v>
      </c>
      <c r="H84" s="5" t="s">
        <v>77</v>
      </c>
      <c r="I84" s="5" t="s">
        <v>62</v>
      </c>
      <c r="J84" s="5">
        <v>0.05</v>
      </c>
      <c r="K84" s="5" t="s">
        <v>89</v>
      </c>
      <c r="L84" s="6">
        <v>2435.553</v>
      </c>
      <c r="M84" s="5" t="s">
        <v>32</v>
      </c>
      <c r="N84" s="5" t="s">
        <v>64</v>
      </c>
      <c r="O84" s="5">
        <v>1</v>
      </c>
      <c r="P84" s="5" t="s">
        <v>240</v>
      </c>
      <c r="Q84" s="5" t="s">
        <v>241</v>
      </c>
      <c r="R84" s="5">
        <v>12.38</v>
      </c>
      <c r="S84" s="4">
        <v>45073</v>
      </c>
      <c r="T84" s="4">
        <v>45079</v>
      </c>
      <c r="U84" s="5">
        <f t="shared" si="5"/>
        <v>6</v>
      </c>
      <c r="V84" s="5" t="s">
        <v>94</v>
      </c>
      <c r="X84" s="5"/>
    </row>
    <row r="85" spans="1:24">
      <c r="A85" s="4">
        <v>44931</v>
      </c>
      <c r="B85" s="5" t="str">
        <f t="shared" si="3"/>
        <v>January</v>
      </c>
      <c r="C85" s="5" t="s">
        <v>16</v>
      </c>
      <c r="D85" s="5" t="s">
        <v>24</v>
      </c>
      <c r="E85" s="5">
        <v>12</v>
      </c>
      <c r="F85" s="5">
        <v>582.52</v>
      </c>
      <c r="G85" s="6">
        <f t="shared" si="4"/>
        <v>6990.24</v>
      </c>
      <c r="H85" s="5" t="s">
        <v>61</v>
      </c>
      <c r="I85" s="5" t="s">
        <v>54</v>
      </c>
      <c r="J85" s="5">
        <v>0</v>
      </c>
      <c r="K85" s="5" t="s">
        <v>89</v>
      </c>
      <c r="L85" s="6">
        <v>6990.24</v>
      </c>
      <c r="M85" s="5" t="s">
        <v>32</v>
      </c>
      <c r="N85" s="5" t="s">
        <v>56</v>
      </c>
      <c r="O85" s="5">
        <v>0</v>
      </c>
      <c r="P85" s="5" t="s">
        <v>242</v>
      </c>
      <c r="Q85" s="5" t="s">
        <v>243</v>
      </c>
      <c r="R85" s="5">
        <v>41.16</v>
      </c>
      <c r="S85" s="4">
        <v>44931</v>
      </c>
      <c r="T85" s="4">
        <v>44937</v>
      </c>
      <c r="U85" s="5">
        <f t="shared" si="5"/>
        <v>6</v>
      </c>
      <c r="V85" s="5" t="s">
        <v>59</v>
      </c>
      <c r="X85" s="5"/>
    </row>
    <row r="86" spans="1:24">
      <c r="A86" s="4">
        <v>45798</v>
      </c>
      <c r="B86" s="5" t="str">
        <f t="shared" si="3"/>
        <v>May</v>
      </c>
      <c r="C86" s="5" t="s">
        <v>16</v>
      </c>
      <c r="D86" s="5" t="s">
        <v>25</v>
      </c>
      <c r="E86" s="5">
        <v>20</v>
      </c>
      <c r="F86" s="5">
        <v>129.56</v>
      </c>
      <c r="G86" s="6">
        <f t="shared" si="4"/>
        <v>2591.2</v>
      </c>
      <c r="H86" s="5" t="s">
        <v>61</v>
      </c>
      <c r="I86" s="5" t="s">
        <v>62</v>
      </c>
      <c r="J86" s="5">
        <v>0.15</v>
      </c>
      <c r="K86" s="5" t="s">
        <v>82</v>
      </c>
      <c r="L86" s="6">
        <v>2202.52</v>
      </c>
      <c r="M86" s="5" t="s">
        <v>30</v>
      </c>
      <c r="N86" s="5" t="s">
        <v>69</v>
      </c>
      <c r="O86" s="5">
        <v>0</v>
      </c>
      <c r="P86" s="5" t="s">
        <v>244</v>
      </c>
      <c r="Q86" s="5" t="s">
        <v>245</v>
      </c>
      <c r="R86" s="5">
        <v>40.21</v>
      </c>
      <c r="S86" s="4">
        <v>45798</v>
      </c>
      <c r="T86" s="4">
        <v>45800</v>
      </c>
      <c r="U86" s="5">
        <f t="shared" si="5"/>
        <v>2</v>
      </c>
      <c r="V86" s="5" t="s">
        <v>59</v>
      </c>
      <c r="X86" s="5"/>
    </row>
    <row r="87" spans="1:24">
      <c r="A87" s="4">
        <v>45128</v>
      </c>
      <c r="B87" s="5" t="str">
        <f t="shared" si="3"/>
        <v>July</v>
      </c>
      <c r="C87" s="5" t="s">
        <v>19</v>
      </c>
      <c r="D87" s="5" t="s">
        <v>101</v>
      </c>
      <c r="E87" s="5">
        <v>17</v>
      </c>
      <c r="F87" s="5">
        <v>431.82</v>
      </c>
      <c r="G87" s="6">
        <f t="shared" si="4"/>
        <v>7340.94</v>
      </c>
      <c r="H87" s="5" t="s">
        <v>53</v>
      </c>
      <c r="I87" s="5" t="s">
        <v>62</v>
      </c>
      <c r="J87" s="5">
        <v>0</v>
      </c>
      <c r="K87" s="5" t="s">
        <v>55</v>
      </c>
      <c r="L87" s="6">
        <v>7340.94</v>
      </c>
      <c r="M87" s="5" t="s">
        <v>31</v>
      </c>
      <c r="N87" s="5" t="s">
        <v>56</v>
      </c>
      <c r="O87" s="5">
        <v>1</v>
      </c>
      <c r="P87" s="5" t="s">
        <v>246</v>
      </c>
      <c r="Q87" s="5" t="s">
        <v>247</v>
      </c>
      <c r="R87" s="5">
        <v>37.75</v>
      </c>
      <c r="S87" s="4">
        <v>45128</v>
      </c>
      <c r="T87" s="4">
        <v>45132</v>
      </c>
      <c r="U87" s="5">
        <f t="shared" si="5"/>
        <v>4</v>
      </c>
      <c r="V87" s="5" t="s">
        <v>76</v>
      </c>
      <c r="X87" s="5"/>
    </row>
    <row r="88" spans="1:24">
      <c r="A88" s="4">
        <v>45802</v>
      </c>
      <c r="B88" s="5" t="str">
        <f t="shared" si="3"/>
        <v>May</v>
      </c>
      <c r="C88" s="5" t="s">
        <v>16</v>
      </c>
      <c r="D88" s="5" t="s">
        <v>22</v>
      </c>
      <c r="E88" s="5">
        <v>15</v>
      </c>
      <c r="F88" s="5">
        <v>15.85</v>
      </c>
      <c r="G88" s="6">
        <f t="shared" si="4"/>
        <v>237.75</v>
      </c>
      <c r="H88" s="5" t="s">
        <v>77</v>
      </c>
      <c r="I88" s="5" t="s">
        <v>62</v>
      </c>
      <c r="J88" s="5">
        <v>0</v>
      </c>
      <c r="K88" s="5" t="s">
        <v>89</v>
      </c>
      <c r="L88" s="6">
        <v>237.75</v>
      </c>
      <c r="M88" s="5" t="s">
        <v>33</v>
      </c>
      <c r="N88" s="5" t="s">
        <v>69</v>
      </c>
      <c r="O88" s="5">
        <v>0</v>
      </c>
      <c r="P88" s="5" t="s">
        <v>248</v>
      </c>
      <c r="Q88" s="5" t="s">
        <v>249</v>
      </c>
      <c r="R88" s="5">
        <v>23.49</v>
      </c>
      <c r="S88" s="4">
        <v>45802</v>
      </c>
      <c r="T88" s="4">
        <v>45811</v>
      </c>
      <c r="U88" s="5">
        <f t="shared" si="5"/>
        <v>9</v>
      </c>
      <c r="V88" s="5" t="s">
        <v>59</v>
      </c>
      <c r="X88" s="5"/>
    </row>
    <row r="89" spans="1:24">
      <c r="A89" s="4">
        <v>45612</v>
      </c>
      <c r="B89" s="5" t="str">
        <f t="shared" si="3"/>
        <v>November</v>
      </c>
      <c r="C89" s="5" t="s">
        <v>17</v>
      </c>
      <c r="D89" s="5" t="s">
        <v>101</v>
      </c>
      <c r="E89" s="5">
        <v>20</v>
      </c>
      <c r="F89" s="5">
        <v>548.34</v>
      </c>
      <c r="G89" s="6">
        <f t="shared" si="4"/>
        <v>10966.8</v>
      </c>
      <c r="H89" s="5" t="s">
        <v>53</v>
      </c>
      <c r="I89" s="5" t="s">
        <v>62</v>
      </c>
      <c r="J89" s="5">
        <v>0.1</v>
      </c>
      <c r="K89" s="5" t="s">
        <v>89</v>
      </c>
      <c r="L89" s="6">
        <v>9870.12</v>
      </c>
      <c r="M89" s="5" t="s">
        <v>31</v>
      </c>
      <c r="N89" s="5" t="s">
        <v>69</v>
      </c>
      <c r="O89" s="5">
        <v>0</v>
      </c>
      <c r="P89" s="5" t="s">
        <v>250</v>
      </c>
      <c r="Q89" s="5" t="s">
        <v>251</v>
      </c>
      <c r="R89" s="5">
        <v>33.47</v>
      </c>
      <c r="S89" s="4">
        <v>45612</v>
      </c>
      <c r="T89" s="4">
        <v>45618</v>
      </c>
      <c r="U89" s="5">
        <f t="shared" si="5"/>
        <v>6</v>
      </c>
      <c r="V89" s="5" t="s">
        <v>67</v>
      </c>
      <c r="X89" s="5"/>
    </row>
    <row r="90" spans="1:24">
      <c r="A90" s="4">
        <v>45249</v>
      </c>
      <c r="B90" s="5" t="str">
        <f t="shared" si="3"/>
        <v>November</v>
      </c>
      <c r="C90" s="5" t="s">
        <v>18</v>
      </c>
      <c r="D90" s="5" t="s">
        <v>22</v>
      </c>
      <c r="E90" s="5">
        <v>16</v>
      </c>
      <c r="F90" s="5">
        <v>525.83</v>
      </c>
      <c r="G90" s="6">
        <f t="shared" si="4"/>
        <v>8413.28</v>
      </c>
      <c r="H90" s="5" t="s">
        <v>77</v>
      </c>
      <c r="I90" s="5" t="s">
        <v>54</v>
      </c>
      <c r="J90" s="5">
        <v>0.05</v>
      </c>
      <c r="K90" s="5" t="s">
        <v>73</v>
      </c>
      <c r="L90" s="6">
        <v>7992.616</v>
      </c>
      <c r="M90" s="5" t="s">
        <v>30</v>
      </c>
      <c r="N90" s="5"/>
      <c r="O90" s="5">
        <v>0</v>
      </c>
      <c r="P90" s="5" t="s">
        <v>252</v>
      </c>
      <c r="Q90" s="5" t="s">
        <v>253</v>
      </c>
      <c r="R90" s="5">
        <v>36.47</v>
      </c>
      <c r="S90" s="4">
        <v>45249</v>
      </c>
      <c r="T90" s="4">
        <v>45255</v>
      </c>
      <c r="U90" s="5">
        <f t="shared" si="5"/>
        <v>6</v>
      </c>
      <c r="V90" s="5" t="s">
        <v>72</v>
      </c>
      <c r="X90" s="5"/>
    </row>
    <row r="91" spans="1:24">
      <c r="A91" s="4">
        <v>45669</v>
      </c>
      <c r="B91" s="5" t="str">
        <f t="shared" si="3"/>
        <v>January</v>
      </c>
      <c r="C91" s="5" t="s">
        <v>19</v>
      </c>
      <c r="D91" s="5" t="s">
        <v>22</v>
      </c>
      <c r="E91" s="5">
        <v>15</v>
      </c>
      <c r="F91" s="5">
        <v>411.38</v>
      </c>
      <c r="G91" s="6">
        <f t="shared" si="4"/>
        <v>6170.7</v>
      </c>
      <c r="H91" s="5" t="s">
        <v>61</v>
      </c>
      <c r="I91" s="5" t="s">
        <v>54</v>
      </c>
      <c r="J91" s="5">
        <v>0.05</v>
      </c>
      <c r="K91" s="5" t="s">
        <v>89</v>
      </c>
      <c r="L91" s="6">
        <v>5862.165</v>
      </c>
      <c r="M91" s="5" t="s">
        <v>30</v>
      </c>
      <c r="N91" s="5" t="s">
        <v>64</v>
      </c>
      <c r="O91" s="5">
        <v>0</v>
      </c>
      <c r="P91" s="5" t="s">
        <v>254</v>
      </c>
      <c r="Q91" s="5" t="s">
        <v>255</v>
      </c>
      <c r="R91" s="5">
        <v>48.51</v>
      </c>
      <c r="S91" s="4">
        <v>45669</v>
      </c>
      <c r="T91" s="4">
        <v>45678</v>
      </c>
      <c r="U91" s="5">
        <f t="shared" si="5"/>
        <v>9</v>
      </c>
      <c r="V91" s="5" t="s">
        <v>76</v>
      </c>
      <c r="X91" s="5"/>
    </row>
    <row r="92" spans="1:24">
      <c r="A92" s="4">
        <v>45014</v>
      </c>
      <c r="B92" s="5" t="str">
        <f t="shared" si="3"/>
        <v>March</v>
      </c>
      <c r="C92" s="5" t="s">
        <v>18</v>
      </c>
      <c r="D92" s="5" t="s">
        <v>26</v>
      </c>
      <c r="E92" s="5">
        <v>19</v>
      </c>
      <c r="F92" s="5">
        <v>559.95</v>
      </c>
      <c r="G92" s="6">
        <f t="shared" si="4"/>
        <v>10639.05</v>
      </c>
      <c r="H92" s="5" t="s">
        <v>61</v>
      </c>
      <c r="I92" s="5" t="s">
        <v>54</v>
      </c>
      <c r="J92" s="5">
        <v>0.1</v>
      </c>
      <c r="K92" s="5" t="s">
        <v>78</v>
      </c>
      <c r="L92" s="6">
        <v>9575.145</v>
      </c>
      <c r="M92" s="5" t="s">
        <v>32</v>
      </c>
      <c r="N92" s="5" t="s">
        <v>69</v>
      </c>
      <c r="O92" s="5">
        <v>0</v>
      </c>
      <c r="P92" s="5" t="s">
        <v>256</v>
      </c>
      <c r="Q92" s="5" t="s">
        <v>257</v>
      </c>
      <c r="R92" s="5">
        <v>18.3</v>
      </c>
      <c r="S92" s="4">
        <v>45014</v>
      </c>
      <c r="T92" s="4">
        <v>45019</v>
      </c>
      <c r="U92" s="5">
        <f t="shared" si="5"/>
        <v>5</v>
      </c>
      <c r="V92" s="5" t="s">
        <v>72</v>
      </c>
      <c r="X92" s="5"/>
    </row>
    <row r="93" spans="1:24">
      <c r="A93" s="4">
        <v>45717</v>
      </c>
      <c r="B93" s="5" t="str">
        <f t="shared" si="3"/>
        <v>March</v>
      </c>
      <c r="C93" s="5" t="s">
        <v>18</v>
      </c>
      <c r="D93" s="5" t="s">
        <v>24</v>
      </c>
      <c r="E93" s="5">
        <v>8</v>
      </c>
      <c r="F93" s="5">
        <v>179.9</v>
      </c>
      <c r="G93" s="6">
        <f t="shared" si="4"/>
        <v>1439.2</v>
      </c>
      <c r="H93" s="5" t="s">
        <v>77</v>
      </c>
      <c r="I93" s="5" t="s">
        <v>62</v>
      </c>
      <c r="J93" s="5">
        <v>0.05</v>
      </c>
      <c r="K93" s="5" t="s">
        <v>78</v>
      </c>
      <c r="L93" s="6">
        <v>1367.24</v>
      </c>
      <c r="M93" s="5" t="s">
        <v>30</v>
      </c>
      <c r="N93" s="5" t="s">
        <v>64</v>
      </c>
      <c r="O93" s="5">
        <v>0</v>
      </c>
      <c r="P93" s="5" t="s">
        <v>258</v>
      </c>
      <c r="Q93" s="5" t="s">
        <v>259</v>
      </c>
      <c r="R93" s="5">
        <v>14.8</v>
      </c>
      <c r="S93" s="4">
        <v>45717</v>
      </c>
      <c r="T93" s="4">
        <v>45721</v>
      </c>
      <c r="U93" s="5">
        <f t="shared" si="5"/>
        <v>4</v>
      </c>
      <c r="V93" s="5" t="s">
        <v>72</v>
      </c>
      <c r="X93" s="5"/>
    </row>
    <row r="94" spans="1:24">
      <c r="A94" s="4">
        <v>45217</v>
      </c>
      <c r="B94" s="5" t="str">
        <f t="shared" si="3"/>
        <v>October</v>
      </c>
      <c r="C94" s="5" t="s">
        <v>18</v>
      </c>
      <c r="D94" s="5" t="s">
        <v>25</v>
      </c>
      <c r="E94" s="5">
        <v>12</v>
      </c>
      <c r="F94" s="5">
        <v>494.15</v>
      </c>
      <c r="G94" s="6">
        <f t="shared" si="4"/>
        <v>5929.8</v>
      </c>
      <c r="H94" s="5" t="s">
        <v>53</v>
      </c>
      <c r="I94" s="5" t="s">
        <v>54</v>
      </c>
      <c r="J94" s="5">
        <v>0.15</v>
      </c>
      <c r="K94" s="5" t="s">
        <v>82</v>
      </c>
      <c r="L94" s="6">
        <v>5040.33</v>
      </c>
      <c r="M94" s="5" t="s">
        <v>30</v>
      </c>
      <c r="N94" s="5" t="s">
        <v>64</v>
      </c>
      <c r="O94" s="5">
        <v>1</v>
      </c>
      <c r="P94" s="5" t="s">
        <v>260</v>
      </c>
      <c r="Q94" s="5" t="s">
        <v>261</v>
      </c>
      <c r="R94" s="5">
        <v>18.05</v>
      </c>
      <c r="S94" s="4">
        <v>45217</v>
      </c>
      <c r="T94" s="4">
        <v>45219</v>
      </c>
      <c r="U94" s="5">
        <f t="shared" si="5"/>
        <v>2</v>
      </c>
      <c r="V94" s="5" t="s">
        <v>72</v>
      </c>
      <c r="X94" s="5"/>
    </row>
    <row r="95" spans="1:24">
      <c r="A95" s="4">
        <v>45760</v>
      </c>
      <c r="B95" s="5" t="str">
        <f t="shared" si="3"/>
        <v>April</v>
      </c>
      <c r="C95" s="5" t="s">
        <v>16</v>
      </c>
      <c r="D95" s="5" t="s">
        <v>24</v>
      </c>
      <c r="E95" s="5">
        <v>10</v>
      </c>
      <c r="F95" s="5">
        <v>462.99</v>
      </c>
      <c r="G95" s="6">
        <f t="shared" si="4"/>
        <v>4629.9</v>
      </c>
      <c r="H95" s="5" t="s">
        <v>77</v>
      </c>
      <c r="I95" s="5" t="s">
        <v>54</v>
      </c>
      <c r="J95" s="5">
        <v>0</v>
      </c>
      <c r="K95" s="5" t="s">
        <v>89</v>
      </c>
      <c r="L95" s="6">
        <v>4629.9</v>
      </c>
      <c r="M95" s="5" t="s">
        <v>32</v>
      </c>
      <c r="N95" s="5" t="s">
        <v>69</v>
      </c>
      <c r="O95" s="5">
        <v>0</v>
      </c>
      <c r="P95" s="5" t="s">
        <v>262</v>
      </c>
      <c r="Q95" s="5" t="s">
        <v>263</v>
      </c>
      <c r="R95" s="5">
        <v>5.01</v>
      </c>
      <c r="S95" s="4">
        <v>45760</v>
      </c>
      <c r="T95" s="4">
        <v>45762</v>
      </c>
      <c r="U95" s="5">
        <f t="shared" si="5"/>
        <v>2</v>
      </c>
      <c r="V95" s="5" t="s">
        <v>59</v>
      </c>
      <c r="X95" s="5"/>
    </row>
    <row r="96" spans="1:24">
      <c r="A96" s="4">
        <v>45790</v>
      </c>
      <c r="B96" s="5" t="str">
        <f t="shared" si="3"/>
        <v>May</v>
      </c>
      <c r="C96" s="5" t="s">
        <v>19</v>
      </c>
      <c r="D96" s="5" t="s">
        <v>22</v>
      </c>
      <c r="E96" s="5">
        <v>7</v>
      </c>
      <c r="F96" s="5">
        <v>460.24</v>
      </c>
      <c r="G96" s="6">
        <f t="shared" si="4"/>
        <v>3221.68</v>
      </c>
      <c r="H96" s="5" t="s">
        <v>61</v>
      </c>
      <c r="I96" s="5" t="s">
        <v>62</v>
      </c>
      <c r="J96" s="5">
        <v>0.05</v>
      </c>
      <c r="K96" s="5" t="s">
        <v>63</v>
      </c>
      <c r="L96" s="6">
        <v>3060.596</v>
      </c>
      <c r="M96" s="5" t="s">
        <v>34</v>
      </c>
      <c r="N96" s="5" t="s">
        <v>64</v>
      </c>
      <c r="O96" s="5">
        <v>1</v>
      </c>
      <c r="P96" s="5" t="s">
        <v>264</v>
      </c>
      <c r="Q96" s="5" t="s">
        <v>265</v>
      </c>
      <c r="R96" s="5">
        <v>11.54</v>
      </c>
      <c r="S96" s="4">
        <v>45790</v>
      </c>
      <c r="T96" s="4">
        <v>45800</v>
      </c>
      <c r="U96" s="5">
        <f t="shared" si="5"/>
        <v>10</v>
      </c>
      <c r="V96" s="5" t="s">
        <v>76</v>
      </c>
      <c r="X96" s="5"/>
    </row>
    <row r="97" spans="1:24">
      <c r="A97" s="4">
        <v>45403</v>
      </c>
      <c r="B97" s="5" t="str">
        <f t="shared" si="3"/>
        <v>April</v>
      </c>
      <c r="C97" s="5" t="s">
        <v>20</v>
      </c>
      <c r="D97" s="5" t="s">
        <v>27</v>
      </c>
      <c r="E97" s="5">
        <v>17</v>
      </c>
      <c r="F97" s="5">
        <v>309.52</v>
      </c>
      <c r="G97" s="6">
        <f t="shared" si="4"/>
        <v>5261.84</v>
      </c>
      <c r="H97" s="5" t="s">
        <v>53</v>
      </c>
      <c r="I97" s="5" t="s">
        <v>54</v>
      </c>
      <c r="J97" s="5">
        <v>0.05</v>
      </c>
      <c r="K97" s="5" t="s">
        <v>55</v>
      </c>
      <c r="L97" s="6">
        <v>4998.748</v>
      </c>
      <c r="M97" s="5" t="s">
        <v>30</v>
      </c>
      <c r="N97" s="5" t="s">
        <v>56</v>
      </c>
      <c r="O97" s="5">
        <v>0</v>
      </c>
      <c r="P97" s="5" t="s">
        <v>266</v>
      </c>
      <c r="Q97" s="5" t="s">
        <v>267</v>
      </c>
      <c r="R97" s="5">
        <v>6.11</v>
      </c>
      <c r="S97" s="4">
        <v>45403</v>
      </c>
      <c r="T97" s="4">
        <v>45409</v>
      </c>
      <c r="U97" s="5">
        <f t="shared" si="5"/>
        <v>6</v>
      </c>
      <c r="V97" s="5" t="s">
        <v>94</v>
      </c>
      <c r="X97" s="5"/>
    </row>
    <row r="98" spans="1:24">
      <c r="A98" s="4">
        <v>45688</v>
      </c>
      <c r="B98" s="5" t="str">
        <f t="shared" si="3"/>
        <v>January</v>
      </c>
      <c r="C98" s="5" t="s">
        <v>19</v>
      </c>
      <c r="D98" s="5" t="s">
        <v>26</v>
      </c>
      <c r="E98" s="5">
        <v>1</v>
      </c>
      <c r="F98" s="5">
        <v>323.83</v>
      </c>
      <c r="G98" s="6">
        <f t="shared" si="4"/>
        <v>323.83</v>
      </c>
      <c r="H98" s="5" t="s">
        <v>53</v>
      </c>
      <c r="I98" s="5" t="s">
        <v>54</v>
      </c>
      <c r="J98" s="5">
        <v>0.05</v>
      </c>
      <c r="K98" s="5" t="s">
        <v>55</v>
      </c>
      <c r="L98" s="6">
        <v>307.6385</v>
      </c>
      <c r="M98" s="5" t="s">
        <v>32</v>
      </c>
      <c r="N98" s="5" t="s">
        <v>69</v>
      </c>
      <c r="O98" s="5">
        <v>0</v>
      </c>
      <c r="P98" s="5" t="s">
        <v>268</v>
      </c>
      <c r="Q98" s="5" t="s">
        <v>269</v>
      </c>
      <c r="R98" s="5">
        <v>27.48</v>
      </c>
      <c r="S98" s="4">
        <v>45688</v>
      </c>
      <c r="T98" s="4">
        <v>45696</v>
      </c>
      <c r="U98" s="5">
        <f t="shared" si="5"/>
        <v>8</v>
      </c>
      <c r="V98" s="5" t="s">
        <v>76</v>
      </c>
      <c r="X98" s="5"/>
    </row>
    <row r="99" spans="1:24">
      <c r="A99" s="4">
        <v>45730</v>
      </c>
      <c r="B99" s="5" t="str">
        <f t="shared" si="3"/>
        <v>March</v>
      </c>
      <c r="C99" s="5" t="s">
        <v>19</v>
      </c>
      <c r="D99" s="5" t="s">
        <v>25</v>
      </c>
      <c r="E99" s="5">
        <v>10</v>
      </c>
      <c r="F99" s="5">
        <v>503.07</v>
      </c>
      <c r="G99" s="6">
        <f t="shared" si="4"/>
        <v>5030.7</v>
      </c>
      <c r="H99" s="5" t="s">
        <v>77</v>
      </c>
      <c r="I99" s="5" t="s">
        <v>62</v>
      </c>
      <c r="J99" s="5">
        <v>0</v>
      </c>
      <c r="K99" s="5" t="s">
        <v>89</v>
      </c>
      <c r="L99" s="6">
        <v>5030.7</v>
      </c>
      <c r="M99" s="5" t="s">
        <v>32</v>
      </c>
      <c r="N99" s="5" t="s">
        <v>56</v>
      </c>
      <c r="O99" s="5">
        <v>0</v>
      </c>
      <c r="P99" s="5" t="s">
        <v>270</v>
      </c>
      <c r="Q99" s="5" t="s">
        <v>271</v>
      </c>
      <c r="R99" s="5">
        <v>44.61</v>
      </c>
      <c r="S99" s="4">
        <v>45730</v>
      </c>
      <c r="T99" s="4">
        <v>45735</v>
      </c>
      <c r="U99" s="5">
        <f t="shared" si="5"/>
        <v>5</v>
      </c>
      <c r="V99" s="5" t="s">
        <v>76</v>
      </c>
      <c r="X99" s="5"/>
    </row>
    <row r="100" spans="1:24">
      <c r="A100" s="4">
        <v>45438</v>
      </c>
      <c r="B100" s="5" t="str">
        <f t="shared" si="3"/>
        <v>May</v>
      </c>
      <c r="C100" s="5" t="s">
        <v>20</v>
      </c>
      <c r="D100" s="5" t="s">
        <v>22</v>
      </c>
      <c r="E100" s="5">
        <v>20</v>
      </c>
      <c r="F100" s="5">
        <v>491.68</v>
      </c>
      <c r="G100" s="6">
        <f t="shared" si="4"/>
        <v>9833.6</v>
      </c>
      <c r="H100" s="5" t="s">
        <v>81</v>
      </c>
      <c r="I100" s="5" t="s">
        <v>54</v>
      </c>
      <c r="J100" s="5">
        <v>0.15</v>
      </c>
      <c r="K100" s="5" t="s">
        <v>63</v>
      </c>
      <c r="L100" s="6">
        <v>8358.56</v>
      </c>
      <c r="M100" s="5" t="s">
        <v>30</v>
      </c>
      <c r="N100" s="5" t="s">
        <v>64</v>
      </c>
      <c r="O100" s="5">
        <v>1</v>
      </c>
      <c r="P100" s="5" t="s">
        <v>272</v>
      </c>
      <c r="Q100" s="5" t="s">
        <v>273</v>
      </c>
      <c r="R100" s="5">
        <v>43.46</v>
      </c>
      <c r="S100" s="4">
        <v>45438</v>
      </c>
      <c r="T100" s="4">
        <v>45441</v>
      </c>
      <c r="U100" s="5">
        <f t="shared" si="5"/>
        <v>3</v>
      </c>
      <c r="V100" s="5" t="s">
        <v>94</v>
      </c>
      <c r="X100" s="5"/>
    </row>
    <row r="101" spans="1:24">
      <c r="A101" s="4">
        <v>45129</v>
      </c>
      <c r="B101" s="5" t="str">
        <f t="shared" si="3"/>
        <v>July</v>
      </c>
      <c r="C101" s="5" t="s">
        <v>18</v>
      </c>
      <c r="D101" s="5" t="s">
        <v>23</v>
      </c>
      <c r="E101" s="5">
        <v>17</v>
      </c>
      <c r="F101" s="5">
        <v>468.45</v>
      </c>
      <c r="G101" s="6">
        <f t="shared" si="4"/>
        <v>7963.65</v>
      </c>
      <c r="H101" s="5" t="s">
        <v>61</v>
      </c>
      <c r="I101" s="5" t="s">
        <v>62</v>
      </c>
      <c r="J101" s="5">
        <v>0.05</v>
      </c>
      <c r="K101" s="5" t="s">
        <v>78</v>
      </c>
      <c r="L101" s="6">
        <v>7565.4675</v>
      </c>
      <c r="M101" s="5" t="s">
        <v>32</v>
      </c>
      <c r="N101" s="5" t="s">
        <v>56</v>
      </c>
      <c r="O101" s="5">
        <v>0</v>
      </c>
      <c r="P101" s="5" t="s">
        <v>274</v>
      </c>
      <c r="Q101" s="5" t="s">
        <v>275</v>
      </c>
      <c r="R101" s="5">
        <v>17.88</v>
      </c>
      <c r="S101" s="4">
        <v>45129</v>
      </c>
      <c r="T101" s="4">
        <v>45133</v>
      </c>
      <c r="U101" s="5">
        <f t="shared" si="5"/>
        <v>4</v>
      </c>
      <c r="V101" s="5" t="s">
        <v>72</v>
      </c>
      <c r="X101" s="5"/>
    </row>
    <row r="102" spans="1:24">
      <c r="A102" s="4">
        <v>45372</v>
      </c>
      <c r="B102" s="5" t="str">
        <f t="shared" si="3"/>
        <v>March</v>
      </c>
      <c r="C102" s="5" t="s">
        <v>18</v>
      </c>
      <c r="D102" s="5" t="s">
        <v>22</v>
      </c>
      <c r="E102" s="5">
        <v>11</v>
      </c>
      <c r="F102" s="5">
        <v>401.76</v>
      </c>
      <c r="G102" s="6">
        <f t="shared" si="4"/>
        <v>4419.36</v>
      </c>
      <c r="H102" s="5" t="s">
        <v>81</v>
      </c>
      <c r="I102" s="5" t="s">
        <v>62</v>
      </c>
      <c r="J102" s="5">
        <v>0.15</v>
      </c>
      <c r="K102" s="5" t="s">
        <v>73</v>
      </c>
      <c r="L102" s="6">
        <v>3756.456</v>
      </c>
      <c r="M102" s="5" t="s">
        <v>31</v>
      </c>
      <c r="N102" s="5" t="s">
        <v>64</v>
      </c>
      <c r="O102" s="5">
        <v>0</v>
      </c>
      <c r="P102" s="5" t="s">
        <v>276</v>
      </c>
      <c r="Q102" s="5" t="s">
        <v>277</v>
      </c>
      <c r="R102" s="5">
        <v>48.03</v>
      </c>
      <c r="S102" s="4">
        <v>45372</v>
      </c>
      <c r="T102" s="4">
        <v>45381</v>
      </c>
      <c r="U102" s="5">
        <f t="shared" si="5"/>
        <v>9</v>
      </c>
      <c r="V102" s="5" t="s">
        <v>72</v>
      </c>
      <c r="X102" s="5"/>
    </row>
    <row r="103" spans="1:24">
      <c r="A103" s="4">
        <v>45021</v>
      </c>
      <c r="B103" s="5" t="str">
        <f t="shared" si="3"/>
        <v>April</v>
      </c>
      <c r="C103" s="5" t="s">
        <v>20</v>
      </c>
      <c r="D103" s="5" t="s">
        <v>27</v>
      </c>
      <c r="E103" s="5">
        <v>3</v>
      </c>
      <c r="F103" s="5">
        <v>221</v>
      </c>
      <c r="G103" s="6">
        <f t="shared" si="4"/>
        <v>663</v>
      </c>
      <c r="H103" s="5" t="s">
        <v>53</v>
      </c>
      <c r="I103" s="5" t="s">
        <v>54</v>
      </c>
      <c r="J103" s="5">
        <v>0</v>
      </c>
      <c r="K103" s="5" t="s">
        <v>73</v>
      </c>
      <c r="L103" s="6">
        <v>663</v>
      </c>
      <c r="M103" s="5" t="s">
        <v>34</v>
      </c>
      <c r="N103" s="5" t="s">
        <v>56</v>
      </c>
      <c r="O103" s="5">
        <v>0</v>
      </c>
      <c r="P103" s="5" t="s">
        <v>278</v>
      </c>
      <c r="Q103" s="5" t="s">
        <v>279</v>
      </c>
      <c r="R103" s="5">
        <v>32.31</v>
      </c>
      <c r="S103" s="4">
        <v>45021</v>
      </c>
      <c r="T103" s="4">
        <v>45024</v>
      </c>
      <c r="U103" s="5">
        <f t="shared" si="5"/>
        <v>3</v>
      </c>
      <c r="V103" s="5" t="s">
        <v>94</v>
      </c>
      <c r="X103" s="5"/>
    </row>
    <row r="104" spans="1:24">
      <c r="A104" s="4">
        <v>45530</v>
      </c>
      <c r="B104" s="5" t="str">
        <f t="shared" si="3"/>
        <v>August</v>
      </c>
      <c r="C104" s="5" t="s">
        <v>16</v>
      </c>
      <c r="D104" s="5" t="s">
        <v>26</v>
      </c>
      <c r="E104" s="5">
        <v>6</v>
      </c>
      <c r="F104" s="5">
        <v>188.45</v>
      </c>
      <c r="G104" s="6">
        <f t="shared" si="4"/>
        <v>1130.7</v>
      </c>
      <c r="H104" s="5" t="s">
        <v>77</v>
      </c>
      <c r="I104" s="5" t="s">
        <v>54</v>
      </c>
      <c r="J104" s="5">
        <v>0.05</v>
      </c>
      <c r="K104" s="5" t="s">
        <v>63</v>
      </c>
      <c r="L104" s="6">
        <v>1074.165</v>
      </c>
      <c r="M104" s="5" t="s">
        <v>31</v>
      </c>
      <c r="N104" s="5"/>
      <c r="O104" s="5">
        <v>0</v>
      </c>
      <c r="P104" s="5" t="s">
        <v>280</v>
      </c>
      <c r="Q104" s="5" t="s">
        <v>281</v>
      </c>
      <c r="R104" s="5">
        <v>6.77</v>
      </c>
      <c r="S104" s="4">
        <v>45530</v>
      </c>
      <c r="T104" s="4">
        <v>45536</v>
      </c>
      <c r="U104" s="5">
        <f t="shared" si="5"/>
        <v>6</v>
      </c>
      <c r="V104" s="5" t="s">
        <v>59</v>
      </c>
      <c r="X104" s="5"/>
    </row>
    <row r="105" spans="1:24">
      <c r="A105" s="4">
        <v>45480</v>
      </c>
      <c r="B105" s="5" t="str">
        <f t="shared" si="3"/>
        <v>July</v>
      </c>
      <c r="C105" s="5" t="s">
        <v>18</v>
      </c>
      <c r="D105" s="5" t="s">
        <v>24</v>
      </c>
      <c r="E105" s="5">
        <v>3</v>
      </c>
      <c r="F105" s="5">
        <v>566.2</v>
      </c>
      <c r="G105" s="6">
        <f t="shared" si="4"/>
        <v>1698.6</v>
      </c>
      <c r="H105" s="5" t="s">
        <v>81</v>
      </c>
      <c r="I105" s="5" t="s">
        <v>62</v>
      </c>
      <c r="J105" s="5">
        <v>0</v>
      </c>
      <c r="K105" s="5" t="s">
        <v>89</v>
      </c>
      <c r="L105" s="6">
        <v>1698.6</v>
      </c>
      <c r="M105" s="5" t="s">
        <v>31</v>
      </c>
      <c r="N105" s="5" t="s">
        <v>56</v>
      </c>
      <c r="O105" s="5">
        <v>1</v>
      </c>
      <c r="P105" s="5" t="s">
        <v>282</v>
      </c>
      <c r="Q105" s="5" t="s">
        <v>283</v>
      </c>
      <c r="R105" s="5">
        <v>28.97</v>
      </c>
      <c r="S105" s="4">
        <v>45480</v>
      </c>
      <c r="T105" s="4">
        <v>45490</v>
      </c>
      <c r="U105" s="5">
        <f t="shared" si="5"/>
        <v>10</v>
      </c>
      <c r="V105" s="5" t="s">
        <v>72</v>
      </c>
      <c r="X105" s="5"/>
    </row>
    <row r="106" spans="1:24">
      <c r="A106" s="4">
        <v>45198</v>
      </c>
      <c r="B106" s="5" t="str">
        <f t="shared" si="3"/>
        <v>September</v>
      </c>
      <c r="C106" s="5" t="s">
        <v>16</v>
      </c>
      <c r="D106" s="5" t="s">
        <v>26</v>
      </c>
      <c r="E106" s="5">
        <v>14</v>
      </c>
      <c r="F106" s="5">
        <v>167.09</v>
      </c>
      <c r="G106" s="6">
        <f t="shared" si="4"/>
        <v>2339.26</v>
      </c>
      <c r="H106" s="5" t="s">
        <v>81</v>
      </c>
      <c r="I106" s="5" t="s">
        <v>62</v>
      </c>
      <c r="J106" s="5">
        <v>0.05</v>
      </c>
      <c r="K106" s="5" t="s">
        <v>63</v>
      </c>
      <c r="L106" s="6">
        <v>2222.297</v>
      </c>
      <c r="M106" s="5" t="s">
        <v>31</v>
      </c>
      <c r="N106" s="5" t="s">
        <v>64</v>
      </c>
      <c r="O106" s="5">
        <v>1</v>
      </c>
      <c r="P106" s="5" t="s">
        <v>284</v>
      </c>
      <c r="Q106" s="5" t="s">
        <v>285</v>
      </c>
      <c r="R106" s="5">
        <v>47.05</v>
      </c>
      <c r="S106" s="4">
        <v>45198</v>
      </c>
      <c r="T106" s="4">
        <v>45207</v>
      </c>
      <c r="U106" s="5">
        <f t="shared" si="5"/>
        <v>9</v>
      </c>
      <c r="V106" s="5" t="s">
        <v>59</v>
      </c>
      <c r="X106" s="5"/>
    </row>
    <row r="107" spans="1:24">
      <c r="A107" s="4">
        <v>45203</v>
      </c>
      <c r="B107" s="5" t="str">
        <f t="shared" si="3"/>
        <v>October</v>
      </c>
      <c r="C107" s="5" t="s">
        <v>20</v>
      </c>
      <c r="D107" s="5" t="s">
        <v>26</v>
      </c>
      <c r="E107" s="5">
        <v>16</v>
      </c>
      <c r="F107" s="5">
        <v>36.16</v>
      </c>
      <c r="G107" s="6">
        <f t="shared" si="4"/>
        <v>578.56</v>
      </c>
      <c r="H107" s="5" t="s">
        <v>77</v>
      </c>
      <c r="I107" s="5" t="s">
        <v>54</v>
      </c>
      <c r="J107" s="5">
        <v>0.1</v>
      </c>
      <c r="K107" s="5" t="s">
        <v>78</v>
      </c>
      <c r="L107" s="6">
        <v>520.704</v>
      </c>
      <c r="M107" s="5" t="s">
        <v>33</v>
      </c>
      <c r="N107" s="5" t="s">
        <v>56</v>
      </c>
      <c r="O107" s="5">
        <v>0</v>
      </c>
      <c r="P107" s="5" t="s">
        <v>286</v>
      </c>
      <c r="Q107" s="5" t="s">
        <v>287</v>
      </c>
      <c r="R107" s="5">
        <v>26.64</v>
      </c>
      <c r="S107" s="4">
        <v>45203</v>
      </c>
      <c r="T107" s="4">
        <v>45210</v>
      </c>
      <c r="U107" s="5">
        <f t="shared" si="5"/>
        <v>7</v>
      </c>
      <c r="V107" s="5" t="s">
        <v>94</v>
      </c>
      <c r="X107" s="5"/>
    </row>
    <row r="108" spans="1:24">
      <c r="A108" s="4">
        <v>45817</v>
      </c>
      <c r="B108" s="5" t="str">
        <f t="shared" si="3"/>
        <v>June</v>
      </c>
      <c r="C108" s="5" t="s">
        <v>19</v>
      </c>
      <c r="D108" s="5" t="s">
        <v>27</v>
      </c>
      <c r="E108" s="5">
        <v>2</v>
      </c>
      <c r="F108" s="5">
        <v>73.94</v>
      </c>
      <c r="G108" s="6">
        <f t="shared" si="4"/>
        <v>147.88</v>
      </c>
      <c r="H108" s="5" t="s">
        <v>53</v>
      </c>
      <c r="I108" s="5" t="s">
        <v>54</v>
      </c>
      <c r="J108" s="5">
        <v>0.05</v>
      </c>
      <c r="K108" s="5" t="s">
        <v>78</v>
      </c>
      <c r="L108" s="6">
        <v>140.486</v>
      </c>
      <c r="M108" s="5" t="s">
        <v>33</v>
      </c>
      <c r="N108" s="5" t="s">
        <v>64</v>
      </c>
      <c r="O108" s="5">
        <v>0</v>
      </c>
      <c r="P108" s="5" t="s">
        <v>288</v>
      </c>
      <c r="Q108" s="5" t="s">
        <v>289</v>
      </c>
      <c r="R108" s="5">
        <v>28.05</v>
      </c>
      <c r="S108" s="4">
        <v>45817</v>
      </c>
      <c r="T108" s="4">
        <v>45824</v>
      </c>
      <c r="U108" s="5">
        <f t="shared" si="5"/>
        <v>7</v>
      </c>
      <c r="V108" s="5" t="s">
        <v>76</v>
      </c>
      <c r="X108" s="5"/>
    </row>
    <row r="109" spans="1:24">
      <c r="A109" s="4">
        <v>45820</v>
      </c>
      <c r="B109" s="5" t="str">
        <f t="shared" si="3"/>
        <v>June</v>
      </c>
      <c r="C109" s="5" t="s">
        <v>16</v>
      </c>
      <c r="D109" s="5" t="s">
        <v>27</v>
      </c>
      <c r="E109" s="5">
        <v>16</v>
      </c>
      <c r="F109" s="5">
        <v>459.49</v>
      </c>
      <c r="G109" s="6">
        <f t="shared" si="4"/>
        <v>7351.84</v>
      </c>
      <c r="H109" s="5" t="s">
        <v>61</v>
      </c>
      <c r="I109" s="5" t="s">
        <v>54</v>
      </c>
      <c r="J109" s="5">
        <v>0.1</v>
      </c>
      <c r="K109" s="5" t="s">
        <v>55</v>
      </c>
      <c r="L109" s="6">
        <v>6616.656</v>
      </c>
      <c r="M109" s="5" t="s">
        <v>30</v>
      </c>
      <c r="N109" s="5" t="s">
        <v>64</v>
      </c>
      <c r="O109" s="5">
        <v>0</v>
      </c>
      <c r="P109" s="5" t="s">
        <v>290</v>
      </c>
      <c r="Q109" s="5" t="s">
        <v>291</v>
      </c>
      <c r="R109" s="5">
        <v>26.99</v>
      </c>
      <c r="S109" s="4">
        <v>45820</v>
      </c>
      <c r="T109" s="4">
        <v>45822</v>
      </c>
      <c r="U109" s="5">
        <f t="shared" si="5"/>
        <v>2</v>
      </c>
      <c r="V109" s="5" t="s">
        <v>59</v>
      </c>
      <c r="X109" s="5"/>
    </row>
    <row r="110" spans="1:24">
      <c r="A110" s="4">
        <v>45472</v>
      </c>
      <c r="B110" s="5" t="str">
        <f t="shared" si="3"/>
        <v>June</v>
      </c>
      <c r="C110" s="5" t="s">
        <v>16</v>
      </c>
      <c r="D110" s="5" t="s">
        <v>25</v>
      </c>
      <c r="E110" s="5">
        <v>3</v>
      </c>
      <c r="F110" s="5">
        <v>168.05</v>
      </c>
      <c r="G110" s="6">
        <f t="shared" si="4"/>
        <v>504.15</v>
      </c>
      <c r="H110" s="5" t="s">
        <v>61</v>
      </c>
      <c r="I110" s="5" t="s">
        <v>62</v>
      </c>
      <c r="J110" s="5">
        <v>0</v>
      </c>
      <c r="K110" s="5" t="s">
        <v>78</v>
      </c>
      <c r="L110" s="6">
        <v>504.15</v>
      </c>
      <c r="M110" s="5" t="s">
        <v>34</v>
      </c>
      <c r="N110" s="5"/>
      <c r="O110" s="5">
        <v>1</v>
      </c>
      <c r="P110" s="5" t="s">
        <v>292</v>
      </c>
      <c r="Q110" s="5" t="s">
        <v>293</v>
      </c>
      <c r="R110" s="5">
        <v>21.08</v>
      </c>
      <c r="S110" s="4">
        <v>45472</v>
      </c>
      <c r="T110" s="4">
        <v>45479</v>
      </c>
      <c r="U110" s="5">
        <f t="shared" si="5"/>
        <v>7</v>
      </c>
      <c r="V110" s="5" t="s">
        <v>59</v>
      </c>
      <c r="X110" s="5"/>
    </row>
    <row r="111" spans="1:24">
      <c r="A111" s="4">
        <v>45374</v>
      </c>
      <c r="B111" s="5" t="str">
        <f t="shared" si="3"/>
        <v>March</v>
      </c>
      <c r="C111" s="5" t="s">
        <v>18</v>
      </c>
      <c r="D111" s="5" t="s">
        <v>27</v>
      </c>
      <c r="E111" s="5">
        <v>14</v>
      </c>
      <c r="F111" s="5">
        <v>37.54</v>
      </c>
      <c r="G111" s="6">
        <f t="shared" si="4"/>
        <v>525.56</v>
      </c>
      <c r="H111" s="5" t="s">
        <v>53</v>
      </c>
      <c r="I111" s="5" t="s">
        <v>62</v>
      </c>
      <c r="J111" s="5">
        <v>0.15</v>
      </c>
      <c r="K111" s="5" t="s">
        <v>63</v>
      </c>
      <c r="L111" s="6">
        <v>446.726</v>
      </c>
      <c r="M111" s="5" t="s">
        <v>32</v>
      </c>
      <c r="N111" s="5"/>
      <c r="O111" s="5">
        <v>1</v>
      </c>
      <c r="P111" s="5" t="s">
        <v>294</v>
      </c>
      <c r="Q111" s="5" t="s">
        <v>295</v>
      </c>
      <c r="R111" s="5">
        <v>49.6</v>
      </c>
      <c r="S111" s="4">
        <v>45374</v>
      </c>
      <c r="T111" s="4">
        <v>45384</v>
      </c>
      <c r="U111" s="5">
        <f t="shared" si="5"/>
        <v>10</v>
      </c>
      <c r="V111" s="5" t="s">
        <v>72</v>
      </c>
      <c r="X111" s="5"/>
    </row>
    <row r="112" spans="1:24">
      <c r="A112" s="4">
        <v>45487</v>
      </c>
      <c r="B112" s="5" t="str">
        <f t="shared" si="3"/>
        <v>July</v>
      </c>
      <c r="C112" s="5" t="s">
        <v>17</v>
      </c>
      <c r="D112" s="5" t="s">
        <v>101</v>
      </c>
      <c r="E112" s="5">
        <v>4</v>
      </c>
      <c r="F112" s="5">
        <v>151.16</v>
      </c>
      <c r="G112" s="6">
        <f t="shared" si="4"/>
        <v>604.64</v>
      </c>
      <c r="H112" s="5" t="s">
        <v>53</v>
      </c>
      <c r="I112" s="5" t="s">
        <v>54</v>
      </c>
      <c r="J112" s="5">
        <v>0</v>
      </c>
      <c r="K112" s="5" t="s">
        <v>63</v>
      </c>
      <c r="L112" s="6">
        <v>604.64</v>
      </c>
      <c r="M112" s="5" t="s">
        <v>31</v>
      </c>
      <c r="N112" s="5" t="s">
        <v>64</v>
      </c>
      <c r="O112" s="5">
        <v>1</v>
      </c>
      <c r="P112" s="5" t="s">
        <v>296</v>
      </c>
      <c r="Q112" s="5" t="s">
        <v>297</v>
      </c>
      <c r="R112" s="5">
        <v>41.4</v>
      </c>
      <c r="S112" s="4">
        <v>45487</v>
      </c>
      <c r="T112" s="4">
        <v>45494</v>
      </c>
      <c r="U112" s="5">
        <f t="shared" si="5"/>
        <v>7</v>
      </c>
      <c r="V112" s="5" t="s">
        <v>67</v>
      </c>
      <c r="X112" s="5"/>
    </row>
    <row r="113" spans="1:24">
      <c r="A113" s="4">
        <v>45366</v>
      </c>
      <c r="B113" s="5" t="str">
        <f t="shared" si="3"/>
        <v>March</v>
      </c>
      <c r="C113" s="5" t="s">
        <v>17</v>
      </c>
      <c r="D113" s="5" t="s">
        <v>101</v>
      </c>
      <c r="E113" s="5">
        <v>17</v>
      </c>
      <c r="F113" s="5">
        <v>78.58</v>
      </c>
      <c r="G113" s="6">
        <f t="shared" si="4"/>
        <v>1335.86</v>
      </c>
      <c r="H113" s="5" t="s">
        <v>61</v>
      </c>
      <c r="I113" s="5" t="s">
        <v>54</v>
      </c>
      <c r="J113" s="5">
        <v>0.1</v>
      </c>
      <c r="K113" s="5" t="s">
        <v>89</v>
      </c>
      <c r="L113" s="6">
        <v>1202.274</v>
      </c>
      <c r="M113" s="5" t="s">
        <v>31</v>
      </c>
      <c r="N113" s="5" t="s">
        <v>69</v>
      </c>
      <c r="O113" s="5">
        <v>0</v>
      </c>
      <c r="P113" s="5" t="s">
        <v>298</v>
      </c>
      <c r="Q113" s="5" t="s">
        <v>299</v>
      </c>
      <c r="R113" s="5">
        <v>8.02</v>
      </c>
      <c r="S113" s="4">
        <v>45366</v>
      </c>
      <c r="T113" s="4">
        <v>45376</v>
      </c>
      <c r="U113" s="5">
        <f t="shared" si="5"/>
        <v>10</v>
      </c>
      <c r="V113" s="5" t="s">
        <v>67</v>
      </c>
      <c r="X113" s="5"/>
    </row>
    <row r="114" spans="1:24">
      <c r="A114" s="4">
        <v>45766</v>
      </c>
      <c r="B114" s="5" t="str">
        <f t="shared" si="3"/>
        <v>April</v>
      </c>
      <c r="C114" s="5" t="s">
        <v>19</v>
      </c>
      <c r="D114" s="5" t="s">
        <v>25</v>
      </c>
      <c r="E114" s="5">
        <v>15</v>
      </c>
      <c r="F114" s="5">
        <v>37.33</v>
      </c>
      <c r="G114" s="6">
        <f t="shared" si="4"/>
        <v>559.95</v>
      </c>
      <c r="H114" s="5" t="s">
        <v>53</v>
      </c>
      <c r="I114" s="5" t="s">
        <v>62</v>
      </c>
      <c r="J114" s="5">
        <v>0.05</v>
      </c>
      <c r="K114" s="5" t="s">
        <v>78</v>
      </c>
      <c r="L114" s="6">
        <v>531.9525</v>
      </c>
      <c r="M114" s="5" t="s">
        <v>34</v>
      </c>
      <c r="N114" s="5"/>
      <c r="O114" s="5">
        <v>1</v>
      </c>
      <c r="P114" s="5" t="s">
        <v>300</v>
      </c>
      <c r="Q114" s="5" t="s">
        <v>301</v>
      </c>
      <c r="R114" s="5">
        <v>43.69</v>
      </c>
      <c r="S114" s="4">
        <v>45766</v>
      </c>
      <c r="T114" s="4">
        <v>45771</v>
      </c>
      <c r="U114" s="5">
        <f t="shared" si="5"/>
        <v>5</v>
      </c>
      <c r="V114" s="5" t="s">
        <v>76</v>
      </c>
      <c r="X114" s="5"/>
    </row>
    <row r="115" spans="1:24">
      <c r="A115" s="4">
        <v>45337</v>
      </c>
      <c r="B115" s="5" t="str">
        <f t="shared" si="3"/>
        <v>February</v>
      </c>
      <c r="C115" s="5" t="s">
        <v>20</v>
      </c>
      <c r="D115" s="5" t="s">
        <v>101</v>
      </c>
      <c r="E115" s="5">
        <v>18</v>
      </c>
      <c r="F115" s="5">
        <v>537.02</v>
      </c>
      <c r="G115" s="6">
        <f t="shared" si="4"/>
        <v>9666.36</v>
      </c>
      <c r="H115" s="5" t="s">
        <v>61</v>
      </c>
      <c r="I115" s="5" t="s">
        <v>54</v>
      </c>
      <c r="J115" s="5">
        <v>0.15</v>
      </c>
      <c r="K115" s="5" t="s">
        <v>78</v>
      </c>
      <c r="L115" s="6">
        <v>8216.406</v>
      </c>
      <c r="M115" s="5" t="s">
        <v>33</v>
      </c>
      <c r="N115" s="5" t="s">
        <v>64</v>
      </c>
      <c r="O115" s="5">
        <v>0</v>
      </c>
      <c r="P115" s="5" t="s">
        <v>302</v>
      </c>
      <c r="Q115" s="5" t="s">
        <v>303</v>
      </c>
      <c r="R115" s="5">
        <v>23.94</v>
      </c>
      <c r="S115" s="4">
        <v>45337</v>
      </c>
      <c r="T115" s="4">
        <v>45342</v>
      </c>
      <c r="U115" s="5">
        <f t="shared" si="5"/>
        <v>5</v>
      </c>
      <c r="V115" s="5" t="s">
        <v>94</v>
      </c>
      <c r="X115" s="5"/>
    </row>
    <row r="116" spans="1:24">
      <c r="A116" s="4">
        <v>45316</v>
      </c>
      <c r="B116" s="5" t="str">
        <f t="shared" si="3"/>
        <v>January</v>
      </c>
      <c r="C116" s="5" t="s">
        <v>16</v>
      </c>
      <c r="D116" s="5" t="s">
        <v>24</v>
      </c>
      <c r="E116" s="5">
        <v>5</v>
      </c>
      <c r="F116" s="5">
        <v>215.6</v>
      </c>
      <c r="G116" s="6">
        <f t="shared" si="4"/>
        <v>1078</v>
      </c>
      <c r="H116" s="5" t="s">
        <v>77</v>
      </c>
      <c r="I116" s="5" t="s">
        <v>54</v>
      </c>
      <c r="J116" s="5">
        <v>0</v>
      </c>
      <c r="K116" s="5" t="s">
        <v>73</v>
      </c>
      <c r="L116" s="6">
        <v>1078</v>
      </c>
      <c r="M116" s="5" t="s">
        <v>30</v>
      </c>
      <c r="N116" s="5" t="s">
        <v>69</v>
      </c>
      <c r="O116" s="5">
        <v>0</v>
      </c>
      <c r="P116" s="5" t="s">
        <v>304</v>
      </c>
      <c r="Q116" s="5" t="s">
        <v>305</v>
      </c>
      <c r="R116" s="5">
        <v>28.36</v>
      </c>
      <c r="S116" s="4">
        <v>45316</v>
      </c>
      <c r="T116" s="4">
        <v>45326</v>
      </c>
      <c r="U116" s="5">
        <f t="shared" si="5"/>
        <v>10</v>
      </c>
      <c r="V116" s="5" t="s">
        <v>59</v>
      </c>
      <c r="X116" s="5"/>
    </row>
    <row r="117" spans="1:24">
      <c r="A117" s="4">
        <v>45762</v>
      </c>
      <c r="B117" s="5" t="str">
        <f t="shared" si="3"/>
        <v>April</v>
      </c>
      <c r="C117" s="5" t="s">
        <v>19</v>
      </c>
      <c r="D117" s="5" t="s">
        <v>22</v>
      </c>
      <c r="E117" s="5">
        <v>18</v>
      </c>
      <c r="F117" s="5">
        <v>209.5</v>
      </c>
      <c r="G117" s="6">
        <f t="shared" si="4"/>
        <v>3771</v>
      </c>
      <c r="H117" s="5" t="s">
        <v>81</v>
      </c>
      <c r="I117" s="5" t="s">
        <v>54</v>
      </c>
      <c r="J117" s="5">
        <v>0</v>
      </c>
      <c r="K117" s="5" t="s">
        <v>78</v>
      </c>
      <c r="L117" s="6">
        <v>3771</v>
      </c>
      <c r="M117" s="5" t="s">
        <v>32</v>
      </c>
      <c r="N117" s="5" t="s">
        <v>56</v>
      </c>
      <c r="O117" s="5">
        <v>0</v>
      </c>
      <c r="P117" s="5" t="s">
        <v>306</v>
      </c>
      <c r="Q117" s="5" t="s">
        <v>307</v>
      </c>
      <c r="R117" s="5">
        <v>38.23</v>
      </c>
      <c r="S117" s="4">
        <v>45762</v>
      </c>
      <c r="T117" s="4">
        <v>45770</v>
      </c>
      <c r="U117" s="5">
        <f t="shared" si="5"/>
        <v>8</v>
      </c>
      <c r="V117" s="5" t="s">
        <v>76</v>
      </c>
      <c r="X117" s="5"/>
    </row>
    <row r="118" spans="1:24">
      <c r="A118" s="4">
        <v>45762</v>
      </c>
      <c r="B118" s="5" t="str">
        <f t="shared" si="3"/>
        <v>April</v>
      </c>
      <c r="C118" s="5" t="s">
        <v>19</v>
      </c>
      <c r="D118" s="5" t="s">
        <v>25</v>
      </c>
      <c r="E118" s="5">
        <v>8</v>
      </c>
      <c r="F118" s="5">
        <v>348.98</v>
      </c>
      <c r="G118" s="6">
        <f t="shared" si="4"/>
        <v>2791.84</v>
      </c>
      <c r="H118" s="5" t="s">
        <v>61</v>
      </c>
      <c r="I118" s="5" t="s">
        <v>62</v>
      </c>
      <c r="J118" s="5">
        <v>0.1</v>
      </c>
      <c r="K118" s="5" t="s">
        <v>73</v>
      </c>
      <c r="L118" s="6">
        <v>2512.656</v>
      </c>
      <c r="M118" s="5" t="s">
        <v>30</v>
      </c>
      <c r="N118" s="5" t="s">
        <v>56</v>
      </c>
      <c r="O118" s="5">
        <v>0</v>
      </c>
      <c r="P118" s="5" t="s">
        <v>308</v>
      </c>
      <c r="Q118" s="5" t="s">
        <v>309</v>
      </c>
      <c r="R118" s="5">
        <v>19.17</v>
      </c>
      <c r="S118" s="4">
        <v>45762</v>
      </c>
      <c r="T118" s="4">
        <v>45767</v>
      </c>
      <c r="U118" s="5">
        <f t="shared" si="5"/>
        <v>5</v>
      </c>
      <c r="V118" s="5" t="s">
        <v>76</v>
      </c>
      <c r="X118" s="5"/>
    </row>
    <row r="119" spans="1:24">
      <c r="A119" s="4">
        <v>45515</v>
      </c>
      <c r="B119" s="5" t="str">
        <f t="shared" si="3"/>
        <v>August</v>
      </c>
      <c r="C119" s="5" t="s">
        <v>20</v>
      </c>
      <c r="D119" s="5" t="s">
        <v>27</v>
      </c>
      <c r="E119" s="5">
        <v>2</v>
      </c>
      <c r="F119" s="5">
        <v>289.14</v>
      </c>
      <c r="G119" s="6">
        <f t="shared" si="4"/>
        <v>578.28</v>
      </c>
      <c r="H119" s="5" t="s">
        <v>77</v>
      </c>
      <c r="I119" s="5" t="s">
        <v>62</v>
      </c>
      <c r="J119" s="5">
        <v>0.05</v>
      </c>
      <c r="K119" s="5" t="s">
        <v>82</v>
      </c>
      <c r="L119" s="6">
        <v>549.366</v>
      </c>
      <c r="M119" s="5" t="s">
        <v>30</v>
      </c>
      <c r="N119" s="5" t="s">
        <v>64</v>
      </c>
      <c r="O119" s="5">
        <v>0</v>
      </c>
      <c r="P119" s="5" t="s">
        <v>310</v>
      </c>
      <c r="Q119" s="5" t="s">
        <v>311</v>
      </c>
      <c r="R119" s="5">
        <v>5.13</v>
      </c>
      <c r="S119" s="4">
        <v>45515</v>
      </c>
      <c r="T119" s="4">
        <v>45517</v>
      </c>
      <c r="U119" s="5">
        <f t="shared" si="5"/>
        <v>2</v>
      </c>
      <c r="V119" s="5" t="s">
        <v>94</v>
      </c>
      <c r="X119" s="5"/>
    </row>
    <row r="120" spans="1:24">
      <c r="A120" s="4">
        <v>45261</v>
      </c>
      <c r="B120" s="5" t="str">
        <f t="shared" si="3"/>
        <v>December</v>
      </c>
      <c r="C120" s="5" t="s">
        <v>17</v>
      </c>
      <c r="D120" s="5" t="s">
        <v>24</v>
      </c>
      <c r="E120" s="5">
        <v>5</v>
      </c>
      <c r="F120" s="5">
        <v>396.93</v>
      </c>
      <c r="G120" s="6">
        <f t="shared" si="4"/>
        <v>1984.65</v>
      </c>
      <c r="H120" s="5" t="s">
        <v>53</v>
      </c>
      <c r="I120" s="5" t="s">
        <v>54</v>
      </c>
      <c r="J120" s="5">
        <v>0</v>
      </c>
      <c r="K120" s="5" t="s">
        <v>82</v>
      </c>
      <c r="L120" s="6">
        <v>1984.65</v>
      </c>
      <c r="M120" s="5" t="s">
        <v>32</v>
      </c>
      <c r="N120" s="5" t="s">
        <v>56</v>
      </c>
      <c r="O120" s="5">
        <v>0</v>
      </c>
      <c r="P120" s="5" t="s">
        <v>312</v>
      </c>
      <c r="Q120" s="5" t="s">
        <v>313</v>
      </c>
      <c r="R120" s="5">
        <v>48.63</v>
      </c>
      <c r="S120" s="4">
        <v>45261</v>
      </c>
      <c r="T120" s="4">
        <v>45268</v>
      </c>
      <c r="U120" s="5">
        <f t="shared" si="5"/>
        <v>7</v>
      </c>
      <c r="V120" s="5" t="s">
        <v>67</v>
      </c>
      <c r="X120" s="5"/>
    </row>
    <row r="121" spans="1:24">
      <c r="A121" s="4">
        <v>45144</v>
      </c>
      <c r="B121" s="5" t="str">
        <f t="shared" si="3"/>
        <v>August</v>
      </c>
      <c r="C121" s="5" t="s">
        <v>19</v>
      </c>
      <c r="D121" s="5" t="s">
        <v>22</v>
      </c>
      <c r="E121" s="5">
        <v>10</v>
      </c>
      <c r="F121" s="5">
        <v>508.57</v>
      </c>
      <c r="G121" s="6">
        <f t="shared" si="4"/>
        <v>5085.7</v>
      </c>
      <c r="H121" s="5" t="s">
        <v>81</v>
      </c>
      <c r="I121" s="5" t="s">
        <v>62</v>
      </c>
      <c r="J121" s="5">
        <v>0.05</v>
      </c>
      <c r="K121" s="5" t="s">
        <v>89</v>
      </c>
      <c r="L121" s="6">
        <v>4831.415</v>
      </c>
      <c r="M121" s="5" t="s">
        <v>30</v>
      </c>
      <c r="N121" s="5" t="s">
        <v>64</v>
      </c>
      <c r="O121" s="5">
        <v>0</v>
      </c>
      <c r="P121" s="5" t="s">
        <v>314</v>
      </c>
      <c r="Q121" s="5" t="s">
        <v>315</v>
      </c>
      <c r="R121" s="5">
        <v>9.35</v>
      </c>
      <c r="S121" s="4">
        <v>45144</v>
      </c>
      <c r="T121" s="4">
        <v>45149</v>
      </c>
      <c r="U121" s="5">
        <f t="shared" si="5"/>
        <v>5</v>
      </c>
      <c r="V121" s="5" t="s">
        <v>76</v>
      </c>
      <c r="X121" s="5"/>
    </row>
    <row r="122" spans="1:24">
      <c r="A122" s="4">
        <v>45315</v>
      </c>
      <c r="B122" s="5" t="str">
        <f t="shared" si="3"/>
        <v>January</v>
      </c>
      <c r="C122" s="5" t="s">
        <v>19</v>
      </c>
      <c r="D122" s="5" t="s">
        <v>22</v>
      </c>
      <c r="E122" s="5">
        <v>11</v>
      </c>
      <c r="F122" s="5">
        <v>259.61</v>
      </c>
      <c r="G122" s="6">
        <f t="shared" si="4"/>
        <v>2855.71</v>
      </c>
      <c r="H122" s="5" t="s">
        <v>77</v>
      </c>
      <c r="I122" s="5" t="s">
        <v>54</v>
      </c>
      <c r="J122" s="5">
        <v>0.1</v>
      </c>
      <c r="K122" s="5" t="s">
        <v>78</v>
      </c>
      <c r="L122" s="6">
        <v>2570.139</v>
      </c>
      <c r="M122" s="5" t="s">
        <v>34</v>
      </c>
      <c r="N122" s="5" t="s">
        <v>56</v>
      </c>
      <c r="O122" s="5">
        <v>0</v>
      </c>
      <c r="P122" s="5" t="s">
        <v>316</v>
      </c>
      <c r="Q122" s="5" t="s">
        <v>317</v>
      </c>
      <c r="R122" s="5">
        <v>13.73</v>
      </c>
      <c r="S122" s="4">
        <v>45315</v>
      </c>
      <c r="T122" s="4">
        <v>45322</v>
      </c>
      <c r="U122" s="5">
        <f t="shared" si="5"/>
        <v>7</v>
      </c>
      <c r="V122" s="5" t="s">
        <v>76</v>
      </c>
      <c r="X122" s="5"/>
    </row>
    <row r="123" spans="1:24">
      <c r="A123" s="4">
        <v>45358</v>
      </c>
      <c r="B123" s="5" t="str">
        <f t="shared" si="3"/>
        <v>March</v>
      </c>
      <c r="C123" s="5" t="s">
        <v>19</v>
      </c>
      <c r="D123" s="5" t="s">
        <v>25</v>
      </c>
      <c r="E123" s="5">
        <v>9</v>
      </c>
      <c r="F123" s="5">
        <v>313.29</v>
      </c>
      <c r="G123" s="6">
        <f t="shared" si="4"/>
        <v>2819.61</v>
      </c>
      <c r="H123" s="5" t="s">
        <v>81</v>
      </c>
      <c r="I123" s="5" t="s">
        <v>62</v>
      </c>
      <c r="J123" s="5">
        <v>0</v>
      </c>
      <c r="K123" s="5" t="s">
        <v>78</v>
      </c>
      <c r="L123" s="6">
        <v>2819.61</v>
      </c>
      <c r="M123" s="5" t="s">
        <v>30</v>
      </c>
      <c r="N123" s="5" t="s">
        <v>56</v>
      </c>
      <c r="O123" s="5">
        <v>0</v>
      </c>
      <c r="P123" s="5" t="s">
        <v>318</v>
      </c>
      <c r="Q123" s="5" t="s">
        <v>319</v>
      </c>
      <c r="R123" s="5">
        <v>14.04</v>
      </c>
      <c r="S123" s="4">
        <v>45358</v>
      </c>
      <c r="T123" s="4">
        <v>45364</v>
      </c>
      <c r="U123" s="5">
        <f t="shared" si="5"/>
        <v>6</v>
      </c>
      <c r="V123" s="5" t="s">
        <v>76</v>
      </c>
      <c r="X123" s="5"/>
    </row>
    <row r="124" spans="1:24">
      <c r="A124" s="4">
        <v>45313</v>
      </c>
      <c r="B124" s="5" t="str">
        <f t="shared" si="3"/>
        <v>January</v>
      </c>
      <c r="C124" s="5" t="s">
        <v>17</v>
      </c>
      <c r="D124" s="5" t="s">
        <v>101</v>
      </c>
      <c r="E124" s="5">
        <v>5</v>
      </c>
      <c r="F124" s="5">
        <v>106.57</v>
      </c>
      <c r="G124" s="6">
        <f t="shared" si="4"/>
        <v>532.85</v>
      </c>
      <c r="H124" s="5" t="s">
        <v>77</v>
      </c>
      <c r="I124" s="5" t="s">
        <v>54</v>
      </c>
      <c r="J124" s="5">
        <v>0.1</v>
      </c>
      <c r="K124" s="5" t="s">
        <v>78</v>
      </c>
      <c r="L124" s="6">
        <v>479.565</v>
      </c>
      <c r="M124" s="5" t="s">
        <v>33</v>
      </c>
      <c r="N124" s="5" t="s">
        <v>64</v>
      </c>
      <c r="O124" s="5">
        <v>1</v>
      </c>
      <c r="P124" s="5" t="s">
        <v>320</v>
      </c>
      <c r="Q124" s="5" t="s">
        <v>321</v>
      </c>
      <c r="R124" s="5">
        <v>25.24</v>
      </c>
      <c r="S124" s="4">
        <v>45313</v>
      </c>
      <c r="T124" s="4">
        <v>45319</v>
      </c>
      <c r="U124" s="5">
        <f t="shared" si="5"/>
        <v>6</v>
      </c>
      <c r="V124" s="5" t="s">
        <v>67</v>
      </c>
      <c r="X124" s="5"/>
    </row>
    <row r="125" spans="1:24">
      <c r="A125" s="4">
        <v>44980</v>
      </c>
      <c r="B125" s="5" t="str">
        <f t="shared" si="3"/>
        <v>February</v>
      </c>
      <c r="C125" s="5" t="s">
        <v>16</v>
      </c>
      <c r="D125" s="5" t="s">
        <v>27</v>
      </c>
      <c r="E125" s="5">
        <v>1</v>
      </c>
      <c r="F125" s="5">
        <v>109</v>
      </c>
      <c r="G125" s="6">
        <f t="shared" si="4"/>
        <v>109</v>
      </c>
      <c r="H125" s="5" t="s">
        <v>53</v>
      </c>
      <c r="I125" s="5" t="s">
        <v>62</v>
      </c>
      <c r="J125" s="5">
        <v>0.15</v>
      </c>
      <c r="K125" s="5" t="s">
        <v>73</v>
      </c>
      <c r="L125" s="6">
        <v>92.65</v>
      </c>
      <c r="M125" s="5" t="s">
        <v>34</v>
      </c>
      <c r="N125" s="5" t="s">
        <v>69</v>
      </c>
      <c r="O125" s="5">
        <v>1</v>
      </c>
      <c r="P125" s="5" t="s">
        <v>322</v>
      </c>
      <c r="Q125" s="5" t="s">
        <v>323</v>
      </c>
      <c r="R125" s="5">
        <v>8.03</v>
      </c>
      <c r="S125" s="4">
        <v>44980</v>
      </c>
      <c r="T125" s="4">
        <v>44984</v>
      </c>
      <c r="U125" s="5">
        <f t="shared" si="5"/>
        <v>4</v>
      </c>
      <c r="V125" s="5" t="s">
        <v>59</v>
      </c>
      <c r="X125" s="5"/>
    </row>
    <row r="126" spans="1:24">
      <c r="A126" s="4">
        <v>45091</v>
      </c>
      <c r="B126" s="5" t="str">
        <f t="shared" si="3"/>
        <v>June</v>
      </c>
      <c r="C126" s="5" t="s">
        <v>18</v>
      </c>
      <c r="D126" s="5" t="s">
        <v>101</v>
      </c>
      <c r="E126" s="5">
        <v>8</v>
      </c>
      <c r="F126" s="5">
        <v>323.8</v>
      </c>
      <c r="G126" s="6">
        <f t="shared" si="4"/>
        <v>2590.4</v>
      </c>
      <c r="H126" s="5" t="s">
        <v>53</v>
      </c>
      <c r="I126" s="5" t="s">
        <v>62</v>
      </c>
      <c r="J126" s="5">
        <v>0</v>
      </c>
      <c r="K126" s="5" t="s">
        <v>82</v>
      </c>
      <c r="L126" s="6">
        <v>2590.4</v>
      </c>
      <c r="M126" s="5" t="s">
        <v>34</v>
      </c>
      <c r="N126" s="5" t="s">
        <v>64</v>
      </c>
      <c r="O126" s="5">
        <v>1</v>
      </c>
      <c r="P126" s="5" t="s">
        <v>324</v>
      </c>
      <c r="Q126" s="5" t="s">
        <v>325</v>
      </c>
      <c r="R126" s="5">
        <v>35.23</v>
      </c>
      <c r="S126" s="4">
        <v>45091</v>
      </c>
      <c r="T126" s="4">
        <v>45099</v>
      </c>
      <c r="U126" s="5">
        <f t="shared" si="5"/>
        <v>8</v>
      </c>
      <c r="V126" s="5" t="s">
        <v>72</v>
      </c>
      <c r="X126" s="5"/>
    </row>
    <row r="127" spans="1:24">
      <c r="A127" s="4">
        <v>45790</v>
      </c>
      <c r="B127" s="5" t="str">
        <f t="shared" si="3"/>
        <v>May</v>
      </c>
      <c r="C127" s="5" t="s">
        <v>18</v>
      </c>
      <c r="D127" s="5" t="s">
        <v>22</v>
      </c>
      <c r="E127" s="5">
        <v>16</v>
      </c>
      <c r="F127" s="5">
        <v>384.32</v>
      </c>
      <c r="G127" s="6">
        <f t="shared" si="4"/>
        <v>6149.12</v>
      </c>
      <c r="H127" s="5" t="s">
        <v>61</v>
      </c>
      <c r="I127" s="5" t="s">
        <v>62</v>
      </c>
      <c r="J127" s="5">
        <v>0.05</v>
      </c>
      <c r="K127" s="5" t="s">
        <v>73</v>
      </c>
      <c r="L127" s="6">
        <v>5841.664</v>
      </c>
      <c r="M127" s="5" t="s">
        <v>34</v>
      </c>
      <c r="N127" s="5" t="s">
        <v>56</v>
      </c>
      <c r="O127" s="5">
        <v>0</v>
      </c>
      <c r="P127" s="5" t="s">
        <v>326</v>
      </c>
      <c r="Q127" s="5" t="s">
        <v>327</v>
      </c>
      <c r="R127" s="5">
        <v>21.5</v>
      </c>
      <c r="S127" s="4">
        <v>45790</v>
      </c>
      <c r="T127" s="4">
        <v>45792</v>
      </c>
      <c r="U127" s="5">
        <f t="shared" si="5"/>
        <v>2</v>
      </c>
      <c r="V127" s="5" t="s">
        <v>72</v>
      </c>
      <c r="X127" s="5"/>
    </row>
    <row r="128" spans="1:24">
      <c r="A128" s="4">
        <v>45503</v>
      </c>
      <c r="B128" s="5" t="str">
        <f t="shared" si="3"/>
        <v>July</v>
      </c>
      <c r="C128" s="5" t="s">
        <v>19</v>
      </c>
      <c r="D128" s="5" t="s">
        <v>27</v>
      </c>
      <c r="E128" s="5">
        <v>16</v>
      </c>
      <c r="F128" s="5">
        <v>163.86</v>
      </c>
      <c r="G128" s="6">
        <f t="shared" si="4"/>
        <v>2621.76</v>
      </c>
      <c r="H128" s="5" t="s">
        <v>77</v>
      </c>
      <c r="I128" s="5" t="s">
        <v>62</v>
      </c>
      <c r="J128" s="5">
        <v>0.15</v>
      </c>
      <c r="K128" s="5" t="s">
        <v>82</v>
      </c>
      <c r="L128" s="6">
        <v>2228.496</v>
      </c>
      <c r="M128" s="5" t="s">
        <v>31</v>
      </c>
      <c r="N128" s="5" t="s">
        <v>56</v>
      </c>
      <c r="O128" s="5">
        <v>0</v>
      </c>
      <c r="P128" s="5" t="s">
        <v>328</v>
      </c>
      <c r="Q128" s="5" t="s">
        <v>329</v>
      </c>
      <c r="R128" s="5">
        <v>37.95</v>
      </c>
      <c r="S128" s="4">
        <v>45503</v>
      </c>
      <c r="T128" s="4">
        <v>45510</v>
      </c>
      <c r="U128" s="5">
        <f t="shared" si="5"/>
        <v>7</v>
      </c>
      <c r="V128" s="5" t="s">
        <v>76</v>
      </c>
      <c r="X128" s="5"/>
    </row>
    <row r="129" spans="1:24">
      <c r="A129" s="4">
        <v>45491</v>
      </c>
      <c r="B129" s="5" t="str">
        <f t="shared" si="3"/>
        <v>July</v>
      </c>
      <c r="C129" s="5" t="s">
        <v>16</v>
      </c>
      <c r="D129" s="5" t="s">
        <v>101</v>
      </c>
      <c r="E129" s="5">
        <v>5</v>
      </c>
      <c r="F129" s="5">
        <v>23.41</v>
      </c>
      <c r="G129" s="6">
        <f t="shared" si="4"/>
        <v>117.05</v>
      </c>
      <c r="H129" s="5" t="s">
        <v>53</v>
      </c>
      <c r="I129" s="5" t="s">
        <v>54</v>
      </c>
      <c r="J129" s="5">
        <v>0</v>
      </c>
      <c r="K129" s="5" t="s">
        <v>73</v>
      </c>
      <c r="L129" s="6">
        <v>117.05</v>
      </c>
      <c r="M129" s="5" t="s">
        <v>32</v>
      </c>
      <c r="N129" s="5" t="s">
        <v>69</v>
      </c>
      <c r="O129" s="5">
        <v>0</v>
      </c>
      <c r="P129" s="5" t="s">
        <v>330</v>
      </c>
      <c r="Q129" s="5" t="s">
        <v>331</v>
      </c>
      <c r="R129" s="5">
        <v>26.44</v>
      </c>
      <c r="S129" s="4">
        <v>45491</v>
      </c>
      <c r="T129" s="4">
        <v>45500</v>
      </c>
      <c r="U129" s="5">
        <f t="shared" si="5"/>
        <v>9</v>
      </c>
      <c r="V129" s="5" t="s">
        <v>59</v>
      </c>
      <c r="X129" s="5"/>
    </row>
    <row r="130" spans="1:24">
      <c r="A130" s="4">
        <v>45530</v>
      </c>
      <c r="B130" s="5" t="str">
        <f t="shared" si="3"/>
        <v>August</v>
      </c>
      <c r="C130" s="5" t="s">
        <v>16</v>
      </c>
      <c r="D130" s="5" t="s">
        <v>27</v>
      </c>
      <c r="E130" s="5">
        <v>20</v>
      </c>
      <c r="F130" s="5">
        <v>488.9</v>
      </c>
      <c r="G130" s="6">
        <f t="shared" si="4"/>
        <v>9778</v>
      </c>
      <c r="H130" s="5" t="s">
        <v>77</v>
      </c>
      <c r="I130" s="5" t="s">
        <v>54</v>
      </c>
      <c r="J130" s="5">
        <v>0.15</v>
      </c>
      <c r="K130" s="5" t="s">
        <v>55</v>
      </c>
      <c r="L130" s="6">
        <v>8311.3</v>
      </c>
      <c r="M130" s="5" t="s">
        <v>31</v>
      </c>
      <c r="N130" s="5" t="s">
        <v>56</v>
      </c>
      <c r="O130" s="5">
        <v>0</v>
      </c>
      <c r="P130" s="5" t="s">
        <v>332</v>
      </c>
      <c r="Q130" s="5" t="s">
        <v>333</v>
      </c>
      <c r="R130" s="5">
        <v>21.77</v>
      </c>
      <c r="S130" s="4">
        <v>45530</v>
      </c>
      <c r="T130" s="4">
        <v>45536</v>
      </c>
      <c r="U130" s="5">
        <f t="shared" si="5"/>
        <v>6</v>
      </c>
      <c r="V130" s="5" t="s">
        <v>59</v>
      </c>
      <c r="X130" s="5"/>
    </row>
    <row r="131" spans="1:24">
      <c r="A131" s="4">
        <v>45816</v>
      </c>
      <c r="B131" s="5" t="str">
        <f t="shared" ref="B131:B194" si="6">TEXT(A131,"mmmm")</f>
        <v>June</v>
      </c>
      <c r="C131" s="5" t="s">
        <v>20</v>
      </c>
      <c r="D131" s="5" t="s">
        <v>101</v>
      </c>
      <c r="E131" s="5">
        <v>7</v>
      </c>
      <c r="F131" s="5">
        <v>452.56</v>
      </c>
      <c r="G131" s="6">
        <f t="shared" ref="G131:G194" si="7">F131*E131</f>
        <v>3167.92</v>
      </c>
      <c r="H131" s="5" t="s">
        <v>61</v>
      </c>
      <c r="I131" s="5" t="s">
        <v>54</v>
      </c>
      <c r="J131" s="5">
        <v>0.05</v>
      </c>
      <c r="K131" s="5" t="s">
        <v>73</v>
      </c>
      <c r="L131" s="6">
        <v>3009.524</v>
      </c>
      <c r="M131" s="5" t="s">
        <v>31</v>
      </c>
      <c r="N131" s="5" t="s">
        <v>56</v>
      </c>
      <c r="O131" s="5">
        <v>0</v>
      </c>
      <c r="P131" s="5" t="s">
        <v>334</v>
      </c>
      <c r="Q131" s="5" t="s">
        <v>335</v>
      </c>
      <c r="R131" s="5">
        <v>46.97</v>
      </c>
      <c r="S131" s="4">
        <v>45816</v>
      </c>
      <c r="T131" s="4">
        <v>45823</v>
      </c>
      <c r="U131" s="5">
        <f t="shared" ref="U131:U194" si="8">T131-S131</f>
        <v>7</v>
      </c>
      <c r="V131" s="5" t="s">
        <v>94</v>
      </c>
      <c r="X131" s="5"/>
    </row>
    <row r="132" spans="1:24">
      <c r="A132" s="4">
        <v>45793</v>
      </c>
      <c r="B132" s="5" t="str">
        <f t="shared" si="6"/>
        <v>May</v>
      </c>
      <c r="C132" s="5" t="s">
        <v>18</v>
      </c>
      <c r="D132" s="5" t="s">
        <v>24</v>
      </c>
      <c r="E132" s="5">
        <v>11</v>
      </c>
      <c r="F132" s="5">
        <v>465.24</v>
      </c>
      <c r="G132" s="6">
        <f t="shared" si="7"/>
        <v>5117.64</v>
      </c>
      <c r="H132" s="5" t="s">
        <v>61</v>
      </c>
      <c r="I132" s="5" t="s">
        <v>54</v>
      </c>
      <c r="J132" s="5">
        <v>0</v>
      </c>
      <c r="K132" s="5" t="s">
        <v>78</v>
      </c>
      <c r="L132" s="6">
        <v>5117.64</v>
      </c>
      <c r="M132" s="5" t="s">
        <v>33</v>
      </c>
      <c r="N132" s="5"/>
      <c r="O132" s="5">
        <v>1</v>
      </c>
      <c r="P132" s="5" t="s">
        <v>336</v>
      </c>
      <c r="Q132" s="5" t="s">
        <v>337</v>
      </c>
      <c r="R132" s="5">
        <v>17.59</v>
      </c>
      <c r="S132" s="4">
        <v>45793</v>
      </c>
      <c r="T132" s="4">
        <v>45800</v>
      </c>
      <c r="U132" s="5">
        <f t="shared" si="8"/>
        <v>7</v>
      </c>
      <c r="V132" s="5" t="s">
        <v>72</v>
      </c>
      <c r="X132" s="5"/>
    </row>
    <row r="133" spans="1:24">
      <c r="A133" s="4">
        <v>45491</v>
      </c>
      <c r="B133" s="5" t="str">
        <f t="shared" si="6"/>
        <v>July</v>
      </c>
      <c r="C133" s="5" t="s">
        <v>16</v>
      </c>
      <c r="D133" s="5" t="s">
        <v>23</v>
      </c>
      <c r="E133" s="5">
        <v>14</v>
      </c>
      <c r="F133" s="5">
        <v>442.65</v>
      </c>
      <c r="G133" s="6">
        <f t="shared" si="7"/>
        <v>6197.1</v>
      </c>
      <c r="H133" s="5" t="s">
        <v>53</v>
      </c>
      <c r="I133" s="5" t="s">
        <v>62</v>
      </c>
      <c r="J133" s="5">
        <v>0</v>
      </c>
      <c r="K133" s="5" t="s">
        <v>55</v>
      </c>
      <c r="L133" s="6">
        <v>6197.1</v>
      </c>
      <c r="M133" s="5" t="s">
        <v>31</v>
      </c>
      <c r="N133" s="5" t="s">
        <v>64</v>
      </c>
      <c r="O133" s="5">
        <v>0</v>
      </c>
      <c r="P133" s="5" t="s">
        <v>338</v>
      </c>
      <c r="Q133" s="5" t="s">
        <v>339</v>
      </c>
      <c r="R133" s="5">
        <v>28.76</v>
      </c>
      <c r="S133" s="4">
        <v>45491</v>
      </c>
      <c r="T133" s="4">
        <v>45497</v>
      </c>
      <c r="U133" s="5">
        <f t="shared" si="8"/>
        <v>6</v>
      </c>
      <c r="V133" s="5" t="s">
        <v>59</v>
      </c>
      <c r="X133" s="5"/>
    </row>
    <row r="134" spans="1:24">
      <c r="A134" s="4">
        <v>45186</v>
      </c>
      <c r="B134" s="5" t="str">
        <f t="shared" si="6"/>
        <v>September</v>
      </c>
      <c r="C134" s="5" t="s">
        <v>20</v>
      </c>
      <c r="D134" s="5" t="s">
        <v>22</v>
      </c>
      <c r="E134" s="5">
        <v>12</v>
      </c>
      <c r="F134" s="5">
        <v>469.44</v>
      </c>
      <c r="G134" s="6">
        <f t="shared" si="7"/>
        <v>5633.28</v>
      </c>
      <c r="H134" s="5" t="s">
        <v>53</v>
      </c>
      <c r="I134" s="5" t="s">
        <v>54</v>
      </c>
      <c r="J134" s="5">
        <v>0</v>
      </c>
      <c r="K134" s="5" t="s">
        <v>89</v>
      </c>
      <c r="L134" s="6">
        <v>5633.28</v>
      </c>
      <c r="M134" s="5" t="s">
        <v>30</v>
      </c>
      <c r="N134" s="5" t="s">
        <v>56</v>
      </c>
      <c r="O134" s="5">
        <v>0</v>
      </c>
      <c r="P134" s="5" t="s">
        <v>340</v>
      </c>
      <c r="Q134" s="5" t="s">
        <v>341</v>
      </c>
      <c r="R134" s="5">
        <v>33.3</v>
      </c>
      <c r="S134" s="4">
        <v>45186</v>
      </c>
      <c r="T134" s="4">
        <v>45195</v>
      </c>
      <c r="U134" s="5">
        <f t="shared" si="8"/>
        <v>9</v>
      </c>
      <c r="V134" s="5" t="s">
        <v>94</v>
      </c>
      <c r="X134" s="5"/>
    </row>
    <row r="135" spans="1:24">
      <c r="A135" s="4">
        <v>44998</v>
      </c>
      <c r="B135" s="5" t="str">
        <f t="shared" si="6"/>
        <v>March</v>
      </c>
      <c r="C135" s="5" t="s">
        <v>16</v>
      </c>
      <c r="D135" s="5" t="s">
        <v>26</v>
      </c>
      <c r="E135" s="5">
        <v>14</v>
      </c>
      <c r="F135" s="5">
        <v>248.77</v>
      </c>
      <c r="G135" s="6">
        <f t="shared" si="7"/>
        <v>3482.78</v>
      </c>
      <c r="H135" s="5" t="s">
        <v>77</v>
      </c>
      <c r="I135" s="5" t="s">
        <v>54</v>
      </c>
      <c r="J135" s="5">
        <v>0.05</v>
      </c>
      <c r="K135" s="5" t="s">
        <v>89</v>
      </c>
      <c r="L135" s="6">
        <v>3308.641</v>
      </c>
      <c r="M135" s="5" t="s">
        <v>33</v>
      </c>
      <c r="N135" s="5" t="s">
        <v>56</v>
      </c>
      <c r="O135" s="5">
        <v>1</v>
      </c>
      <c r="P135" s="5" t="s">
        <v>342</v>
      </c>
      <c r="Q135" s="5" t="s">
        <v>343</v>
      </c>
      <c r="R135" s="5">
        <v>21.76</v>
      </c>
      <c r="S135" s="4">
        <v>44998</v>
      </c>
      <c r="T135" s="4">
        <v>45004</v>
      </c>
      <c r="U135" s="5">
        <f t="shared" si="8"/>
        <v>6</v>
      </c>
      <c r="V135" s="5" t="s">
        <v>59</v>
      </c>
      <c r="X135" s="5"/>
    </row>
    <row r="136" spans="1:24">
      <c r="A136" s="4">
        <v>45014</v>
      </c>
      <c r="B136" s="5" t="str">
        <f t="shared" si="6"/>
        <v>March</v>
      </c>
      <c r="C136" s="5" t="s">
        <v>17</v>
      </c>
      <c r="D136" s="5" t="s">
        <v>25</v>
      </c>
      <c r="E136" s="5">
        <v>4</v>
      </c>
      <c r="F136" s="5">
        <v>565.29</v>
      </c>
      <c r="G136" s="6">
        <f t="shared" si="7"/>
        <v>2261.16</v>
      </c>
      <c r="H136" s="5" t="s">
        <v>81</v>
      </c>
      <c r="I136" s="5" t="s">
        <v>54</v>
      </c>
      <c r="J136" s="5">
        <v>0.05</v>
      </c>
      <c r="K136" s="5" t="s">
        <v>63</v>
      </c>
      <c r="L136" s="6">
        <v>2148.102</v>
      </c>
      <c r="M136" s="5" t="s">
        <v>34</v>
      </c>
      <c r="N136" s="5"/>
      <c r="O136" s="5">
        <v>0</v>
      </c>
      <c r="P136" s="5" t="s">
        <v>344</v>
      </c>
      <c r="Q136" s="5" t="s">
        <v>345</v>
      </c>
      <c r="R136" s="5">
        <v>27.04</v>
      </c>
      <c r="S136" s="4">
        <v>45014</v>
      </c>
      <c r="T136" s="4">
        <v>45019</v>
      </c>
      <c r="U136" s="5">
        <f t="shared" si="8"/>
        <v>5</v>
      </c>
      <c r="V136" s="5" t="s">
        <v>67</v>
      </c>
      <c r="X136" s="5"/>
    </row>
    <row r="137" spans="1:24">
      <c r="A137" s="4">
        <v>45121</v>
      </c>
      <c r="B137" s="5" t="str">
        <f t="shared" si="6"/>
        <v>July</v>
      </c>
      <c r="C137" s="5" t="s">
        <v>19</v>
      </c>
      <c r="D137" s="5" t="s">
        <v>24</v>
      </c>
      <c r="E137" s="5">
        <v>12</v>
      </c>
      <c r="F137" s="5">
        <v>244.8</v>
      </c>
      <c r="G137" s="6">
        <f t="shared" si="7"/>
        <v>2937.6</v>
      </c>
      <c r="H137" s="5" t="s">
        <v>53</v>
      </c>
      <c r="I137" s="5" t="s">
        <v>54</v>
      </c>
      <c r="J137" s="5">
        <v>0.05</v>
      </c>
      <c r="K137" s="5" t="s">
        <v>73</v>
      </c>
      <c r="L137" s="6">
        <v>2790.72</v>
      </c>
      <c r="M137" s="5" t="s">
        <v>30</v>
      </c>
      <c r="N137" s="5" t="s">
        <v>56</v>
      </c>
      <c r="O137" s="5">
        <v>0</v>
      </c>
      <c r="P137" s="5" t="s">
        <v>346</v>
      </c>
      <c r="Q137" s="5" t="s">
        <v>347</v>
      </c>
      <c r="R137" s="5">
        <v>44.75</v>
      </c>
      <c r="S137" s="4">
        <v>45121</v>
      </c>
      <c r="T137" s="4">
        <v>45130</v>
      </c>
      <c r="U137" s="5">
        <f t="shared" si="8"/>
        <v>9</v>
      </c>
      <c r="V137" s="5" t="s">
        <v>76</v>
      </c>
      <c r="X137" s="5"/>
    </row>
    <row r="138" spans="1:24">
      <c r="A138" s="4">
        <v>45373</v>
      </c>
      <c r="B138" s="5" t="str">
        <f t="shared" si="6"/>
        <v>March</v>
      </c>
      <c r="C138" s="5" t="s">
        <v>20</v>
      </c>
      <c r="D138" s="5" t="s">
        <v>22</v>
      </c>
      <c r="E138" s="5">
        <v>13</v>
      </c>
      <c r="F138" s="5">
        <v>290.93</v>
      </c>
      <c r="G138" s="6">
        <f t="shared" si="7"/>
        <v>3782.09</v>
      </c>
      <c r="H138" s="5" t="s">
        <v>77</v>
      </c>
      <c r="I138" s="5" t="s">
        <v>62</v>
      </c>
      <c r="J138" s="5">
        <v>0.05</v>
      </c>
      <c r="K138" s="5" t="s">
        <v>82</v>
      </c>
      <c r="L138" s="6">
        <v>3592.9855</v>
      </c>
      <c r="M138" s="5" t="s">
        <v>32</v>
      </c>
      <c r="N138" s="5" t="s">
        <v>56</v>
      </c>
      <c r="O138" s="5">
        <v>0</v>
      </c>
      <c r="P138" s="5" t="s">
        <v>348</v>
      </c>
      <c r="Q138" s="5" t="s">
        <v>349</v>
      </c>
      <c r="R138" s="5">
        <v>26.09</v>
      </c>
      <c r="S138" s="4">
        <v>45373</v>
      </c>
      <c r="T138" s="4">
        <v>45382</v>
      </c>
      <c r="U138" s="5">
        <f t="shared" si="8"/>
        <v>9</v>
      </c>
      <c r="V138" s="5" t="s">
        <v>94</v>
      </c>
      <c r="X138" s="5"/>
    </row>
    <row r="139" spans="1:24">
      <c r="A139" s="4">
        <v>45426</v>
      </c>
      <c r="B139" s="5" t="str">
        <f t="shared" si="6"/>
        <v>May</v>
      </c>
      <c r="C139" s="5" t="s">
        <v>19</v>
      </c>
      <c r="D139" s="5" t="s">
        <v>22</v>
      </c>
      <c r="E139" s="5">
        <v>11</v>
      </c>
      <c r="F139" s="5">
        <v>229.49</v>
      </c>
      <c r="G139" s="6">
        <f t="shared" si="7"/>
        <v>2524.39</v>
      </c>
      <c r="H139" s="5" t="s">
        <v>77</v>
      </c>
      <c r="I139" s="5" t="s">
        <v>62</v>
      </c>
      <c r="J139" s="5">
        <v>0.1</v>
      </c>
      <c r="K139" s="5" t="s">
        <v>89</v>
      </c>
      <c r="L139" s="6">
        <v>2271.951</v>
      </c>
      <c r="M139" s="5" t="s">
        <v>34</v>
      </c>
      <c r="N139" s="5"/>
      <c r="O139" s="5">
        <v>0</v>
      </c>
      <c r="P139" s="5" t="s">
        <v>350</v>
      </c>
      <c r="Q139" s="5" t="s">
        <v>351</v>
      </c>
      <c r="R139" s="5">
        <v>35.39</v>
      </c>
      <c r="S139" s="4">
        <v>45426</v>
      </c>
      <c r="T139" s="4">
        <v>45429</v>
      </c>
      <c r="U139" s="5">
        <f t="shared" si="8"/>
        <v>3</v>
      </c>
      <c r="V139" s="5" t="s">
        <v>76</v>
      </c>
      <c r="X139" s="5"/>
    </row>
    <row r="140" spans="1:24">
      <c r="A140" s="4">
        <v>45076</v>
      </c>
      <c r="B140" s="5" t="str">
        <f t="shared" si="6"/>
        <v>May</v>
      </c>
      <c r="C140" s="5" t="s">
        <v>19</v>
      </c>
      <c r="D140" s="5" t="s">
        <v>26</v>
      </c>
      <c r="E140" s="5">
        <v>2</v>
      </c>
      <c r="F140" s="5">
        <v>427.36</v>
      </c>
      <c r="G140" s="6">
        <f t="shared" si="7"/>
        <v>854.72</v>
      </c>
      <c r="H140" s="5" t="s">
        <v>61</v>
      </c>
      <c r="I140" s="5" t="s">
        <v>54</v>
      </c>
      <c r="J140" s="5">
        <v>0.05</v>
      </c>
      <c r="K140" s="5" t="s">
        <v>82</v>
      </c>
      <c r="L140" s="6">
        <v>811.984</v>
      </c>
      <c r="M140" s="5" t="s">
        <v>30</v>
      </c>
      <c r="N140" s="5" t="s">
        <v>64</v>
      </c>
      <c r="O140" s="5">
        <v>0</v>
      </c>
      <c r="P140" s="5" t="s">
        <v>352</v>
      </c>
      <c r="Q140" s="5" t="s">
        <v>353</v>
      </c>
      <c r="R140" s="5">
        <v>19.42</v>
      </c>
      <c r="S140" s="4">
        <v>45076</v>
      </c>
      <c r="T140" s="4">
        <v>45079</v>
      </c>
      <c r="U140" s="5">
        <f t="shared" si="8"/>
        <v>3</v>
      </c>
      <c r="V140" s="5" t="s">
        <v>76</v>
      </c>
      <c r="X140" s="5"/>
    </row>
    <row r="141" spans="1:24">
      <c r="A141" s="4">
        <v>45004</v>
      </c>
      <c r="B141" s="5" t="str">
        <f t="shared" si="6"/>
        <v>March</v>
      </c>
      <c r="C141" s="5" t="s">
        <v>18</v>
      </c>
      <c r="D141" s="5" t="s">
        <v>23</v>
      </c>
      <c r="E141" s="5">
        <v>2</v>
      </c>
      <c r="F141" s="5">
        <v>443.51</v>
      </c>
      <c r="G141" s="6">
        <f t="shared" si="7"/>
        <v>887.02</v>
      </c>
      <c r="H141" s="5" t="s">
        <v>77</v>
      </c>
      <c r="I141" s="5" t="s">
        <v>54</v>
      </c>
      <c r="J141" s="5">
        <v>0.05</v>
      </c>
      <c r="K141" s="5" t="s">
        <v>63</v>
      </c>
      <c r="L141" s="6">
        <v>842.669</v>
      </c>
      <c r="M141" s="5" t="s">
        <v>34</v>
      </c>
      <c r="N141" s="5"/>
      <c r="O141" s="5">
        <v>0</v>
      </c>
      <c r="P141" s="5" t="s">
        <v>354</v>
      </c>
      <c r="Q141" s="5" t="s">
        <v>355</v>
      </c>
      <c r="R141" s="5">
        <v>13.65</v>
      </c>
      <c r="S141" s="4">
        <v>45004</v>
      </c>
      <c r="T141" s="4">
        <v>45007</v>
      </c>
      <c r="U141" s="5">
        <f t="shared" si="8"/>
        <v>3</v>
      </c>
      <c r="V141" s="5" t="s">
        <v>72</v>
      </c>
      <c r="X141" s="5"/>
    </row>
    <row r="142" spans="1:24">
      <c r="A142" s="4">
        <v>45147</v>
      </c>
      <c r="B142" s="5" t="str">
        <f t="shared" si="6"/>
        <v>August</v>
      </c>
      <c r="C142" s="5" t="s">
        <v>19</v>
      </c>
      <c r="D142" s="5" t="s">
        <v>24</v>
      </c>
      <c r="E142" s="5">
        <v>13</v>
      </c>
      <c r="F142" s="5">
        <v>280.63</v>
      </c>
      <c r="G142" s="6">
        <f t="shared" si="7"/>
        <v>3648.19</v>
      </c>
      <c r="H142" s="5" t="s">
        <v>53</v>
      </c>
      <c r="I142" s="5" t="s">
        <v>54</v>
      </c>
      <c r="J142" s="5">
        <v>0.15</v>
      </c>
      <c r="K142" s="5" t="s">
        <v>63</v>
      </c>
      <c r="L142" s="6">
        <v>3100.9615</v>
      </c>
      <c r="M142" s="5" t="s">
        <v>32</v>
      </c>
      <c r="N142" s="5" t="s">
        <v>64</v>
      </c>
      <c r="O142" s="5">
        <v>0</v>
      </c>
      <c r="P142" s="5" t="s">
        <v>356</v>
      </c>
      <c r="Q142" s="5" t="s">
        <v>357</v>
      </c>
      <c r="R142" s="5">
        <v>10.14</v>
      </c>
      <c r="S142" s="4">
        <v>45147</v>
      </c>
      <c r="T142" s="4">
        <v>45152</v>
      </c>
      <c r="U142" s="5">
        <f t="shared" si="8"/>
        <v>5</v>
      </c>
      <c r="V142" s="5" t="s">
        <v>76</v>
      </c>
      <c r="X142" s="5"/>
    </row>
    <row r="143" spans="1:24">
      <c r="A143" s="4">
        <v>45578</v>
      </c>
      <c r="B143" s="5" t="str">
        <f t="shared" si="6"/>
        <v>October</v>
      </c>
      <c r="C143" s="5" t="s">
        <v>18</v>
      </c>
      <c r="D143" s="5" t="s">
        <v>25</v>
      </c>
      <c r="E143" s="5">
        <v>13</v>
      </c>
      <c r="F143" s="5">
        <v>416.66</v>
      </c>
      <c r="G143" s="6">
        <f t="shared" si="7"/>
        <v>5416.58</v>
      </c>
      <c r="H143" s="5" t="s">
        <v>53</v>
      </c>
      <c r="I143" s="5" t="s">
        <v>54</v>
      </c>
      <c r="J143" s="5">
        <v>0.15</v>
      </c>
      <c r="K143" s="5" t="s">
        <v>89</v>
      </c>
      <c r="L143" s="6">
        <v>4604.093</v>
      </c>
      <c r="M143" s="5" t="s">
        <v>32</v>
      </c>
      <c r="N143" s="5" t="s">
        <v>69</v>
      </c>
      <c r="O143" s="5">
        <v>0</v>
      </c>
      <c r="P143" s="5" t="s">
        <v>358</v>
      </c>
      <c r="Q143" s="5" t="s">
        <v>359</v>
      </c>
      <c r="R143" s="5">
        <v>21.74</v>
      </c>
      <c r="S143" s="4">
        <v>45578</v>
      </c>
      <c r="T143" s="4">
        <v>45585</v>
      </c>
      <c r="U143" s="5">
        <f t="shared" si="8"/>
        <v>7</v>
      </c>
      <c r="V143" s="5" t="s">
        <v>72</v>
      </c>
      <c r="X143" s="5"/>
    </row>
    <row r="144" spans="1:24">
      <c r="A144" s="4">
        <v>45705</v>
      </c>
      <c r="B144" s="5" t="str">
        <f t="shared" si="6"/>
        <v>February</v>
      </c>
      <c r="C144" s="5" t="s">
        <v>16</v>
      </c>
      <c r="D144" s="5" t="s">
        <v>25</v>
      </c>
      <c r="E144" s="5">
        <v>11</v>
      </c>
      <c r="F144" s="5">
        <v>589.48</v>
      </c>
      <c r="G144" s="6">
        <f t="shared" si="7"/>
        <v>6484.28</v>
      </c>
      <c r="H144" s="5" t="s">
        <v>53</v>
      </c>
      <c r="I144" s="5" t="s">
        <v>62</v>
      </c>
      <c r="J144" s="5">
        <v>0</v>
      </c>
      <c r="K144" s="5" t="s">
        <v>63</v>
      </c>
      <c r="L144" s="6">
        <v>6484.28</v>
      </c>
      <c r="M144" s="5" t="s">
        <v>30</v>
      </c>
      <c r="N144" s="5" t="s">
        <v>69</v>
      </c>
      <c r="O144" s="5">
        <v>0</v>
      </c>
      <c r="P144" s="5" t="s">
        <v>360</v>
      </c>
      <c r="Q144" s="5" t="s">
        <v>361</v>
      </c>
      <c r="R144" s="5">
        <v>49.93</v>
      </c>
      <c r="S144" s="4">
        <v>45705</v>
      </c>
      <c r="T144" s="4">
        <v>45713</v>
      </c>
      <c r="U144" s="5">
        <f t="shared" si="8"/>
        <v>8</v>
      </c>
      <c r="V144" s="5" t="s">
        <v>59</v>
      </c>
      <c r="X144" s="5"/>
    </row>
    <row r="145" spans="1:24">
      <c r="A145" s="4">
        <v>45819</v>
      </c>
      <c r="B145" s="5" t="str">
        <f t="shared" si="6"/>
        <v>June</v>
      </c>
      <c r="C145" s="5" t="s">
        <v>18</v>
      </c>
      <c r="D145" s="5" t="s">
        <v>23</v>
      </c>
      <c r="E145" s="5">
        <v>18</v>
      </c>
      <c r="F145" s="5">
        <v>152.84</v>
      </c>
      <c r="G145" s="6">
        <f t="shared" si="7"/>
        <v>2751.12</v>
      </c>
      <c r="H145" s="5" t="s">
        <v>77</v>
      </c>
      <c r="I145" s="5" t="s">
        <v>62</v>
      </c>
      <c r="J145" s="5">
        <v>0.15</v>
      </c>
      <c r="K145" s="5" t="s">
        <v>82</v>
      </c>
      <c r="L145" s="6">
        <v>2338.452</v>
      </c>
      <c r="M145" s="5" t="s">
        <v>33</v>
      </c>
      <c r="N145" s="5" t="s">
        <v>56</v>
      </c>
      <c r="O145" s="5">
        <v>1</v>
      </c>
      <c r="P145" s="5" t="s">
        <v>362</v>
      </c>
      <c r="Q145" s="5" t="s">
        <v>363</v>
      </c>
      <c r="R145" s="5">
        <v>20.3</v>
      </c>
      <c r="S145" s="4">
        <v>45819</v>
      </c>
      <c r="T145" s="4">
        <v>45828</v>
      </c>
      <c r="U145" s="5">
        <f t="shared" si="8"/>
        <v>9</v>
      </c>
      <c r="V145" s="5" t="s">
        <v>72</v>
      </c>
      <c r="X145" s="5"/>
    </row>
    <row r="146" spans="1:24">
      <c r="A146" s="4">
        <v>45411</v>
      </c>
      <c r="B146" s="5" t="str">
        <f t="shared" si="6"/>
        <v>April</v>
      </c>
      <c r="C146" s="5" t="s">
        <v>19</v>
      </c>
      <c r="D146" s="5" t="s">
        <v>101</v>
      </c>
      <c r="E146" s="5">
        <v>4</v>
      </c>
      <c r="F146" s="5">
        <v>163.66</v>
      </c>
      <c r="G146" s="6">
        <f t="shared" si="7"/>
        <v>654.64</v>
      </c>
      <c r="H146" s="5" t="s">
        <v>53</v>
      </c>
      <c r="I146" s="5" t="s">
        <v>62</v>
      </c>
      <c r="J146" s="5">
        <v>0</v>
      </c>
      <c r="K146" s="5" t="s">
        <v>89</v>
      </c>
      <c r="L146" s="6">
        <v>654.64</v>
      </c>
      <c r="M146" s="5" t="s">
        <v>31</v>
      </c>
      <c r="N146" s="5" t="s">
        <v>69</v>
      </c>
      <c r="O146" s="5">
        <v>1</v>
      </c>
      <c r="P146" s="5" t="s">
        <v>364</v>
      </c>
      <c r="Q146" s="5" t="s">
        <v>365</v>
      </c>
      <c r="R146" s="5">
        <v>31.8</v>
      </c>
      <c r="S146" s="4">
        <v>45411</v>
      </c>
      <c r="T146" s="4">
        <v>45413</v>
      </c>
      <c r="U146" s="5">
        <f t="shared" si="8"/>
        <v>2</v>
      </c>
      <c r="V146" s="5" t="s">
        <v>76</v>
      </c>
      <c r="X146" s="5"/>
    </row>
    <row r="147" spans="1:24">
      <c r="A147" s="4">
        <v>45003</v>
      </c>
      <c r="B147" s="5" t="str">
        <f t="shared" si="6"/>
        <v>March</v>
      </c>
      <c r="C147" s="5" t="s">
        <v>20</v>
      </c>
      <c r="D147" s="5" t="s">
        <v>22</v>
      </c>
      <c r="E147" s="5">
        <v>19</v>
      </c>
      <c r="F147" s="5">
        <v>484.25</v>
      </c>
      <c r="G147" s="6">
        <f t="shared" si="7"/>
        <v>9200.75</v>
      </c>
      <c r="H147" s="5" t="s">
        <v>77</v>
      </c>
      <c r="I147" s="5" t="s">
        <v>54</v>
      </c>
      <c r="J147" s="5">
        <v>0.15</v>
      </c>
      <c r="K147" s="5" t="s">
        <v>89</v>
      </c>
      <c r="L147" s="6">
        <v>7820.6375</v>
      </c>
      <c r="M147" s="5" t="s">
        <v>33</v>
      </c>
      <c r="N147" s="5" t="s">
        <v>56</v>
      </c>
      <c r="O147" s="5">
        <v>1</v>
      </c>
      <c r="P147" s="5" t="s">
        <v>366</v>
      </c>
      <c r="Q147" s="5" t="s">
        <v>367</v>
      </c>
      <c r="R147" s="5">
        <v>29.51</v>
      </c>
      <c r="S147" s="4">
        <v>45003</v>
      </c>
      <c r="T147" s="4">
        <v>45005</v>
      </c>
      <c r="U147" s="5">
        <f t="shared" si="8"/>
        <v>2</v>
      </c>
      <c r="V147" s="5" t="s">
        <v>94</v>
      </c>
      <c r="X147" s="5"/>
    </row>
    <row r="148" spans="1:24">
      <c r="A148" s="4">
        <v>45647</v>
      </c>
      <c r="B148" s="5" t="str">
        <f t="shared" si="6"/>
        <v>December</v>
      </c>
      <c r="C148" s="5" t="s">
        <v>18</v>
      </c>
      <c r="D148" s="5" t="s">
        <v>25</v>
      </c>
      <c r="E148" s="5">
        <v>9</v>
      </c>
      <c r="F148" s="5">
        <v>380.4</v>
      </c>
      <c r="G148" s="6">
        <f t="shared" si="7"/>
        <v>3423.6</v>
      </c>
      <c r="H148" s="5" t="s">
        <v>53</v>
      </c>
      <c r="I148" s="5" t="s">
        <v>62</v>
      </c>
      <c r="J148" s="5">
        <v>0.1</v>
      </c>
      <c r="K148" s="5" t="s">
        <v>78</v>
      </c>
      <c r="L148" s="6">
        <v>3081.24</v>
      </c>
      <c r="M148" s="5" t="s">
        <v>32</v>
      </c>
      <c r="N148" s="5"/>
      <c r="O148" s="5">
        <v>0</v>
      </c>
      <c r="P148" s="5" t="s">
        <v>368</v>
      </c>
      <c r="Q148" s="5" t="s">
        <v>369</v>
      </c>
      <c r="R148" s="5">
        <v>31</v>
      </c>
      <c r="S148" s="4">
        <v>45647</v>
      </c>
      <c r="T148" s="4">
        <v>45653</v>
      </c>
      <c r="U148" s="5">
        <f t="shared" si="8"/>
        <v>6</v>
      </c>
      <c r="V148" s="5" t="s">
        <v>72</v>
      </c>
      <c r="X148" s="5"/>
    </row>
    <row r="149" spans="1:24">
      <c r="A149" s="4">
        <v>45039</v>
      </c>
      <c r="B149" s="5" t="str">
        <f t="shared" si="6"/>
        <v>April</v>
      </c>
      <c r="C149" s="5" t="s">
        <v>20</v>
      </c>
      <c r="D149" s="5" t="s">
        <v>25</v>
      </c>
      <c r="E149" s="5">
        <v>17</v>
      </c>
      <c r="F149" s="5">
        <v>332.38</v>
      </c>
      <c r="G149" s="6">
        <f t="shared" si="7"/>
        <v>5650.46</v>
      </c>
      <c r="H149" s="5" t="s">
        <v>61</v>
      </c>
      <c r="I149" s="5" t="s">
        <v>62</v>
      </c>
      <c r="J149" s="5">
        <v>0.1</v>
      </c>
      <c r="K149" s="5" t="s">
        <v>73</v>
      </c>
      <c r="L149" s="6">
        <v>5085.414</v>
      </c>
      <c r="M149" s="5" t="s">
        <v>32</v>
      </c>
      <c r="N149" s="5" t="s">
        <v>64</v>
      </c>
      <c r="O149" s="5">
        <v>1</v>
      </c>
      <c r="P149" s="5" t="s">
        <v>370</v>
      </c>
      <c r="Q149" s="5" t="s">
        <v>371</v>
      </c>
      <c r="R149" s="5">
        <v>33.81</v>
      </c>
      <c r="S149" s="4">
        <v>45039</v>
      </c>
      <c r="T149" s="4">
        <v>45048</v>
      </c>
      <c r="U149" s="5">
        <f t="shared" si="8"/>
        <v>9</v>
      </c>
      <c r="V149" s="5" t="s">
        <v>94</v>
      </c>
      <c r="X149" s="5"/>
    </row>
    <row r="150" spans="1:24">
      <c r="A150" s="4">
        <v>45788</v>
      </c>
      <c r="B150" s="5" t="str">
        <f t="shared" si="6"/>
        <v>May</v>
      </c>
      <c r="C150" s="5" t="s">
        <v>19</v>
      </c>
      <c r="D150" s="5" t="s">
        <v>25</v>
      </c>
      <c r="E150" s="5">
        <v>15</v>
      </c>
      <c r="F150" s="5">
        <v>210.94</v>
      </c>
      <c r="G150" s="6">
        <f t="shared" si="7"/>
        <v>3164.1</v>
      </c>
      <c r="H150" s="5" t="s">
        <v>77</v>
      </c>
      <c r="I150" s="5" t="s">
        <v>54</v>
      </c>
      <c r="J150" s="5">
        <v>0.05</v>
      </c>
      <c r="K150" s="5" t="s">
        <v>73</v>
      </c>
      <c r="L150" s="6">
        <v>3005.895</v>
      </c>
      <c r="M150" s="5" t="s">
        <v>30</v>
      </c>
      <c r="N150" s="5" t="s">
        <v>64</v>
      </c>
      <c r="O150" s="5">
        <v>0</v>
      </c>
      <c r="P150" s="5" t="s">
        <v>372</v>
      </c>
      <c r="Q150" s="5" t="s">
        <v>373</v>
      </c>
      <c r="R150" s="5">
        <v>10.91</v>
      </c>
      <c r="S150" s="4">
        <v>45788</v>
      </c>
      <c r="T150" s="4">
        <v>45798</v>
      </c>
      <c r="U150" s="5">
        <f t="shared" si="8"/>
        <v>10</v>
      </c>
      <c r="V150" s="5" t="s">
        <v>76</v>
      </c>
      <c r="X150" s="5"/>
    </row>
    <row r="151" spans="1:24">
      <c r="A151" s="4">
        <v>45354</v>
      </c>
      <c r="B151" s="5" t="str">
        <f t="shared" si="6"/>
        <v>March</v>
      </c>
      <c r="C151" s="5" t="s">
        <v>17</v>
      </c>
      <c r="D151" s="5" t="s">
        <v>23</v>
      </c>
      <c r="E151" s="5">
        <v>9</v>
      </c>
      <c r="F151" s="5">
        <v>382.8</v>
      </c>
      <c r="G151" s="6">
        <f t="shared" si="7"/>
        <v>3445.2</v>
      </c>
      <c r="H151" s="5" t="s">
        <v>81</v>
      </c>
      <c r="I151" s="5" t="s">
        <v>54</v>
      </c>
      <c r="J151" s="5">
        <v>0</v>
      </c>
      <c r="K151" s="5" t="s">
        <v>55</v>
      </c>
      <c r="L151" s="6">
        <v>3445.2</v>
      </c>
      <c r="M151" s="5" t="s">
        <v>34</v>
      </c>
      <c r="N151" s="5"/>
      <c r="O151" s="5">
        <v>0</v>
      </c>
      <c r="P151" s="5" t="s">
        <v>374</v>
      </c>
      <c r="Q151" s="5" t="s">
        <v>375</v>
      </c>
      <c r="R151" s="5">
        <v>47.94</v>
      </c>
      <c r="S151" s="4">
        <v>45354</v>
      </c>
      <c r="T151" s="4">
        <v>45356</v>
      </c>
      <c r="U151" s="5">
        <f t="shared" si="8"/>
        <v>2</v>
      </c>
      <c r="V151" s="5" t="s">
        <v>67</v>
      </c>
      <c r="X151" s="5"/>
    </row>
    <row r="152" spans="1:24">
      <c r="A152" s="4">
        <v>45677</v>
      </c>
      <c r="B152" s="5" t="str">
        <f t="shared" si="6"/>
        <v>January</v>
      </c>
      <c r="C152" s="5" t="s">
        <v>18</v>
      </c>
      <c r="D152" s="5" t="s">
        <v>26</v>
      </c>
      <c r="E152" s="5">
        <v>3</v>
      </c>
      <c r="F152" s="5">
        <v>386.29</v>
      </c>
      <c r="G152" s="6">
        <f t="shared" si="7"/>
        <v>1158.87</v>
      </c>
      <c r="H152" s="5" t="s">
        <v>77</v>
      </c>
      <c r="I152" s="5" t="s">
        <v>62</v>
      </c>
      <c r="J152" s="5">
        <v>0.15</v>
      </c>
      <c r="K152" s="5" t="s">
        <v>78</v>
      </c>
      <c r="L152" s="6">
        <v>985.0395</v>
      </c>
      <c r="M152" s="5" t="s">
        <v>32</v>
      </c>
      <c r="N152" s="5" t="s">
        <v>56</v>
      </c>
      <c r="O152" s="5">
        <v>0</v>
      </c>
      <c r="P152" s="5" t="s">
        <v>376</v>
      </c>
      <c r="Q152" s="5" t="s">
        <v>377</v>
      </c>
      <c r="R152" s="5">
        <v>32.45</v>
      </c>
      <c r="S152" s="4">
        <v>45677</v>
      </c>
      <c r="T152" s="4">
        <v>45687</v>
      </c>
      <c r="U152" s="5">
        <f t="shared" si="8"/>
        <v>10</v>
      </c>
      <c r="V152" s="5" t="s">
        <v>72</v>
      </c>
      <c r="X152" s="5"/>
    </row>
    <row r="153" spans="1:24">
      <c r="A153" s="4">
        <v>45738</v>
      </c>
      <c r="B153" s="5" t="str">
        <f t="shared" si="6"/>
        <v>March</v>
      </c>
      <c r="C153" s="5" t="s">
        <v>18</v>
      </c>
      <c r="D153" s="5" t="s">
        <v>101</v>
      </c>
      <c r="E153" s="5">
        <v>5</v>
      </c>
      <c r="F153" s="5">
        <v>225.99</v>
      </c>
      <c r="G153" s="6">
        <f t="shared" si="7"/>
        <v>1129.95</v>
      </c>
      <c r="H153" s="5" t="s">
        <v>77</v>
      </c>
      <c r="I153" s="5" t="s">
        <v>62</v>
      </c>
      <c r="J153" s="5">
        <v>0</v>
      </c>
      <c r="K153" s="5" t="s">
        <v>55</v>
      </c>
      <c r="L153" s="6">
        <v>1129.95</v>
      </c>
      <c r="M153" s="5" t="s">
        <v>30</v>
      </c>
      <c r="N153" s="5" t="s">
        <v>64</v>
      </c>
      <c r="O153" s="5">
        <v>1</v>
      </c>
      <c r="P153" s="5" t="s">
        <v>378</v>
      </c>
      <c r="Q153" s="5" t="s">
        <v>379</v>
      </c>
      <c r="R153" s="5">
        <v>10.88</v>
      </c>
      <c r="S153" s="4">
        <v>45738</v>
      </c>
      <c r="T153" s="4">
        <v>45746</v>
      </c>
      <c r="U153" s="5">
        <f t="shared" si="8"/>
        <v>8</v>
      </c>
      <c r="V153" s="5" t="s">
        <v>72</v>
      </c>
      <c r="X153" s="5"/>
    </row>
    <row r="154" spans="1:24">
      <c r="A154" s="4">
        <v>45744</v>
      </c>
      <c r="B154" s="5" t="str">
        <f t="shared" si="6"/>
        <v>March</v>
      </c>
      <c r="C154" s="5" t="s">
        <v>17</v>
      </c>
      <c r="D154" s="5" t="s">
        <v>27</v>
      </c>
      <c r="E154" s="5">
        <v>20</v>
      </c>
      <c r="F154" s="5">
        <v>312.56</v>
      </c>
      <c r="G154" s="6">
        <f t="shared" si="7"/>
        <v>6251.2</v>
      </c>
      <c r="H154" s="5" t="s">
        <v>81</v>
      </c>
      <c r="I154" s="5" t="s">
        <v>62</v>
      </c>
      <c r="J154" s="5">
        <v>0.15</v>
      </c>
      <c r="K154" s="5" t="s">
        <v>73</v>
      </c>
      <c r="L154" s="6">
        <v>5313.52</v>
      </c>
      <c r="M154" s="5" t="s">
        <v>31</v>
      </c>
      <c r="N154" s="5" t="s">
        <v>69</v>
      </c>
      <c r="O154" s="5">
        <v>0</v>
      </c>
      <c r="P154" s="5" t="s">
        <v>380</v>
      </c>
      <c r="Q154" s="5" t="s">
        <v>80</v>
      </c>
      <c r="R154" s="5">
        <v>47.39</v>
      </c>
      <c r="S154" s="4">
        <v>45744</v>
      </c>
      <c r="T154" s="4">
        <v>45746</v>
      </c>
      <c r="U154" s="5">
        <f t="shared" si="8"/>
        <v>2</v>
      </c>
      <c r="V154" s="5" t="s">
        <v>67</v>
      </c>
      <c r="X154" s="5"/>
    </row>
    <row r="155" spans="1:24">
      <c r="A155" s="4">
        <v>45705</v>
      </c>
      <c r="B155" s="5" t="str">
        <f t="shared" si="6"/>
        <v>February</v>
      </c>
      <c r="C155" s="5" t="s">
        <v>18</v>
      </c>
      <c r="D155" s="5" t="s">
        <v>23</v>
      </c>
      <c r="E155" s="5">
        <v>13</v>
      </c>
      <c r="F155" s="5">
        <v>433.77</v>
      </c>
      <c r="G155" s="6">
        <f t="shared" si="7"/>
        <v>5639.01</v>
      </c>
      <c r="H155" s="5" t="s">
        <v>77</v>
      </c>
      <c r="I155" s="5" t="s">
        <v>54</v>
      </c>
      <c r="J155" s="5">
        <v>0.05</v>
      </c>
      <c r="K155" s="5" t="s">
        <v>73</v>
      </c>
      <c r="L155" s="6">
        <v>5357.0595</v>
      </c>
      <c r="M155" s="5" t="s">
        <v>34</v>
      </c>
      <c r="N155" s="5" t="s">
        <v>56</v>
      </c>
      <c r="O155" s="5">
        <v>0</v>
      </c>
      <c r="P155" s="5" t="s">
        <v>381</v>
      </c>
      <c r="Q155" s="5" t="s">
        <v>382</v>
      </c>
      <c r="R155" s="5">
        <v>17.61</v>
      </c>
      <c r="S155" s="4">
        <v>45705</v>
      </c>
      <c r="T155" s="4">
        <v>45709</v>
      </c>
      <c r="U155" s="5">
        <f t="shared" si="8"/>
        <v>4</v>
      </c>
      <c r="V155" s="5" t="s">
        <v>72</v>
      </c>
      <c r="X155" s="5"/>
    </row>
    <row r="156" spans="1:24">
      <c r="A156" s="4">
        <v>45604</v>
      </c>
      <c r="B156" s="5" t="str">
        <f t="shared" si="6"/>
        <v>November</v>
      </c>
      <c r="C156" s="5" t="s">
        <v>17</v>
      </c>
      <c r="D156" s="5" t="s">
        <v>101</v>
      </c>
      <c r="E156" s="5">
        <v>20</v>
      </c>
      <c r="F156" s="5">
        <v>159.33</v>
      </c>
      <c r="G156" s="6">
        <f t="shared" si="7"/>
        <v>3186.6</v>
      </c>
      <c r="H156" s="5" t="s">
        <v>61</v>
      </c>
      <c r="I156" s="5" t="s">
        <v>54</v>
      </c>
      <c r="J156" s="5">
        <v>0</v>
      </c>
      <c r="K156" s="5" t="s">
        <v>55</v>
      </c>
      <c r="L156" s="6">
        <v>3186.6</v>
      </c>
      <c r="M156" s="5" t="s">
        <v>30</v>
      </c>
      <c r="N156" s="5" t="s">
        <v>56</v>
      </c>
      <c r="O156" s="5">
        <v>0</v>
      </c>
      <c r="P156" s="5" t="s">
        <v>383</v>
      </c>
      <c r="Q156" s="5" t="s">
        <v>384</v>
      </c>
      <c r="R156" s="5">
        <v>26.32</v>
      </c>
      <c r="S156" s="4">
        <v>45604</v>
      </c>
      <c r="T156" s="4">
        <v>45607</v>
      </c>
      <c r="U156" s="5">
        <f t="shared" si="8"/>
        <v>3</v>
      </c>
      <c r="V156" s="5" t="s">
        <v>67</v>
      </c>
      <c r="X156" s="5"/>
    </row>
    <row r="157" spans="1:24">
      <c r="A157" s="4">
        <v>45368</v>
      </c>
      <c r="B157" s="5" t="str">
        <f t="shared" si="6"/>
        <v>March</v>
      </c>
      <c r="C157" s="5" t="s">
        <v>17</v>
      </c>
      <c r="D157" s="5" t="s">
        <v>23</v>
      </c>
      <c r="E157" s="5">
        <v>18</v>
      </c>
      <c r="F157" s="5">
        <v>32.23</v>
      </c>
      <c r="G157" s="6">
        <f t="shared" si="7"/>
        <v>580.14</v>
      </c>
      <c r="H157" s="5" t="s">
        <v>53</v>
      </c>
      <c r="I157" s="5" t="s">
        <v>62</v>
      </c>
      <c r="J157" s="5">
        <v>0.05</v>
      </c>
      <c r="K157" s="5" t="s">
        <v>89</v>
      </c>
      <c r="L157" s="6">
        <v>551.133</v>
      </c>
      <c r="M157" s="5" t="s">
        <v>32</v>
      </c>
      <c r="N157" s="5" t="s">
        <v>56</v>
      </c>
      <c r="O157" s="5">
        <v>0</v>
      </c>
      <c r="P157" s="5" t="s">
        <v>385</v>
      </c>
      <c r="Q157" s="5" t="s">
        <v>386</v>
      </c>
      <c r="R157" s="5">
        <v>6.04</v>
      </c>
      <c r="S157" s="4">
        <v>45368</v>
      </c>
      <c r="T157" s="4">
        <v>45372</v>
      </c>
      <c r="U157" s="5">
        <f t="shared" si="8"/>
        <v>4</v>
      </c>
      <c r="V157" s="5" t="s">
        <v>67</v>
      </c>
      <c r="X157" s="5"/>
    </row>
    <row r="158" spans="1:24">
      <c r="A158" s="4">
        <v>45167</v>
      </c>
      <c r="B158" s="5" t="str">
        <f t="shared" si="6"/>
        <v>August</v>
      </c>
      <c r="C158" s="5" t="s">
        <v>17</v>
      </c>
      <c r="D158" s="5" t="s">
        <v>26</v>
      </c>
      <c r="E158" s="5">
        <v>3</v>
      </c>
      <c r="F158" s="5">
        <v>527.77</v>
      </c>
      <c r="G158" s="6">
        <f t="shared" si="7"/>
        <v>1583.31</v>
      </c>
      <c r="H158" s="5" t="s">
        <v>77</v>
      </c>
      <c r="I158" s="5" t="s">
        <v>62</v>
      </c>
      <c r="J158" s="5">
        <v>0.1</v>
      </c>
      <c r="K158" s="5" t="s">
        <v>89</v>
      </c>
      <c r="L158" s="6">
        <v>1424.979</v>
      </c>
      <c r="M158" s="5" t="s">
        <v>34</v>
      </c>
      <c r="N158" s="5" t="s">
        <v>56</v>
      </c>
      <c r="O158" s="5">
        <v>0</v>
      </c>
      <c r="P158" s="5" t="s">
        <v>387</v>
      </c>
      <c r="Q158" s="5" t="s">
        <v>388</v>
      </c>
      <c r="R158" s="5">
        <v>48.66</v>
      </c>
      <c r="S158" s="4">
        <v>45167</v>
      </c>
      <c r="T158" s="4">
        <v>45170</v>
      </c>
      <c r="U158" s="5">
        <f t="shared" si="8"/>
        <v>3</v>
      </c>
      <c r="V158" s="5" t="s">
        <v>67</v>
      </c>
      <c r="X158" s="5"/>
    </row>
    <row r="159" spans="1:24">
      <c r="A159" s="4">
        <v>45099</v>
      </c>
      <c r="B159" s="5" t="str">
        <f t="shared" si="6"/>
        <v>June</v>
      </c>
      <c r="C159" s="5" t="s">
        <v>17</v>
      </c>
      <c r="D159" s="5" t="s">
        <v>25</v>
      </c>
      <c r="E159" s="5">
        <v>14</v>
      </c>
      <c r="F159" s="5">
        <v>291.09</v>
      </c>
      <c r="G159" s="6">
        <f t="shared" si="7"/>
        <v>4075.26</v>
      </c>
      <c r="H159" s="5" t="s">
        <v>61</v>
      </c>
      <c r="I159" s="5" t="s">
        <v>62</v>
      </c>
      <c r="J159" s="5">
        <v>0</v>
      </c>
      <c r="K159" s="5" t="s">
        <v>78</v>
      </c>
      <c r="L159" s="6">
        <v>4075.26</v>
      </c>
      <c r="M159" s="5" t="s">
        <v>34</v>
      </c>
      <c r="N159" s="5"/>
      <c r="O159" s="5">
        <v>0</v>
      </c>
      <c r="P159" s="5" t="s">
        <v>389</v>
      </c>
      <c r="Q159" s="5" t="s">
        <v>390</v>
      </c>
      <c r="R159" s="5">
        <v>39.98</v>
      </c>
      <c r="S159" s="4">
        <v>45099</v>
      </c>
      <c r="T159" s="4">
        <v>45107</v>
      </c>
      <c r="U159" s="5">
        <f t="shared" si="8"/>
        <v>8</v>
      </c>
      <c r="V159" s="5" t="s">
        <v>67</v>
      </c>
      <c r="X159" s="5"/>
    </row>
    <row r="160" spans="1:24">
      <c r="A160" s="4">
        <v>45346</v>
      </c>
      <c r="B160" s="5" t="str">
        <f t="shared" si="6"/>
        <v>February</v>
      </c>
      <c r="C160" s="5" t="s">
        <v>17</v>
      </c>
      <c r="D160" s="5" t="s">
        <v>23</v>
      </c>
      <c r="E160" s="5">
        <v>8</v>
      </c>
      <c r="F160" s="5">
        <v>350.12</v>
      </c>
      <c r="G160" s="6">
        <f t="shared" si="7"/>
        <v>2800.96</v>
      </c>
      <c r="H160" s="5" t="s">
        <v>77</v>
      </c>
      <c r="I160" s="5" t="s">
        <v>62</v>
      </c>
      <c r="J160" s="5">
        <v>0</v>
      </c>
      <c r="K160" s="5" t="s">
        <v>63</v>
      </c>
      <c r="L160" s="6">
        <v>2800.96</v>
      </c>
      <c r="M160" s="5" t="s">
        <v>31</v>
      </c>
      <c r="N160" s="5" t="s">
        <v>56</v>
      </c>
      <c r="O160" s="5">
        <v>1</v>
      </c>
      <c r="P160" s="5" t="s">
        <v>391</v>
      </c>
      <c r="Q160" s="5" t="s">
        <v>392</v>
      </c>
      <c r="R160" s="5">
        <v>31.65</v>
      </c>
      <c r="S160" s="4">
        <v>45346</v>
      </c>
      <c r="T160" s="4">
        <v>45352</v>
      </c>
      <c r="U160" s="5">
        <f t="shared" si="8"/>
        <v>6</v>
      </c>
      <c r="V160" s="5" t="s">
        <v>67</v>
      </c>
      <c r="X160" s="5"/>
    </row>
    <row r="161" spans="1:24">
      <c r="A161" s="4">
        <v>45392</v>
      </c>
      <c r="B161" s="5" t="str">
        <f t="shared" si="6"/>
        <v>April</v>
      </c>
      <c r="C161" s="5" t="s">
        <v>18</v>
      </c>
      <c r="D161" s="5" t="s">
        <v>23</v>
      </c>
      <c r="E161" s="5">
        <v>10</v>
      </c>
      <c r="F161" s="5">
        <v>195.26</v>
      </c>
      <c r="G161" s="6">
        <f t="shared" si="7"/>
        <v>1952.6</v>
      </c>
      <c r="H161" s="5" t="s">
        <v>81</v>
      </c>
      <c r="I161" s="5" t="s">
        <v>62</v>
      </c>
      <c r="J161" s="5">
        <v>0.05</v>
      </c>
      <c r="K161" s="5" t="s">
        <v>63</v>
      </c>
      <c r="L161" s="6">
        <v>1854.97</v>
      </c>
      <c r="M161" s="5" t="s">
        <v>32</v>
      </c>
      <c r="N161" s="5" t="s">
        <v>69</v>
      </c>
      <c r="O161" s="5">
        <v>0</v>
      </c>
      <c r="P161" s="5" t="s">
        <v>393</v>
      </c>
      <c r="Q161" s="5" t="s">
        <v>394</v>
      </c>
      <c r="R161" s="5">
        <v>46.91</v>
      </c>
      <c r="S161" s="4">
        <v>45392</v>
      </c>
      <c r="T161" s="4">
        <v>45397</v>
      </c>
      <c r="U161" s="5">
        <f t="shared" si="8"/>
        <v>5</v>
      </c>
      <c r="V161" s="5" t="s">
        <v>72</v>
      </c>
      <c r="X161" s="5"/>
    </row>
    <row r="162" spans="1:24">
      <c r="A162" s="4">
        <v>45060</v>
      </c>
      <c r="B162" s="5" t="str">
        <f t="shared" si="6"/>
        <v>May</v>
      </c>
      <c r="C162" s="5" t="s">
        <v>17</v>
      </c>
      <c r="D162" s="5" t="s">
        <v>26</v>
      </c>
      <c r="E162" s="5">
        <v>13</v>
      </c>
      <c r="F162" s="5">
        <v>291.1</v>
      </c>
      <c r="G162" s="6">
        <f t="shared" si="7"/>
        <v>3784.3</v>
      </c>
      <c r="H162" s="5" t="s">
        <v>61</v>
      </c>
      <c r="I162" s="5" t="s">
        <v>54</v>
      </c>
      <c r="J162" s="5">
        <v>0</v>
      </c>
      <c r="K162" s="5" t="s">
        <v>63</v>
      </c>
      <c r="L162" s="6">
        <v>3784.3</v>
      </c>
      <c r="M162" s="5" t="s">
        <v>30</v>
      </c>
      <c r="N162" s="5" t="s">
        <v>56</v>
      </c>
      <c r="O162" s="5">
        <v>0</v>
      </c>
      <c r="P162" s="5" t="s">
        <v>395</v>
      </c>
      <c r="Q162" s="5" t="s">
        <v>396</v>
      </c>
      <c r="R162" s="5">
        <v>7.66</v>
      </c>
      <c r="S162" s="4">
        <v>45060</v>
      </c>
      <c r="T162" s="4">
        <v>45065</v>
      </c>
      <c r="U162" s="5">
        <f t="shared" si="8"/>
        <v>5</v>
      </c>
      <c r="V162" s="5" t="s">
        <v>67</v>
      </c>
      <c r="X162" s="5"/>
    </row>
    <row r="163" spans="1:24">
      <c r="A163" s="4">
        <v>44996</v>
      </c>
      <c r="B163" s="5" t="str">
        <f t="shared" si="6"/>
        <v>March</v>
      </c>
      <c r="C163" s="5" t="s">
        <v>17</v>
      </c>
      <c r="D163" s="5" t="s">
        <v>26</v>
      </c>
      <c r="E163" s="5">
        <v>6</v>
      </c>
      <c r="F163" s="5">
        <v>93.92</v>
      </c>
      <c r="G163" s="6">
        <f t="shared" si="7"/>
        <v>563.52</v>
      </c>
      <c r="H163" s="5" t="s">
        <v>53</v>
      </c>
      <c r="I163" s="5" t="s">
        <v>54</v>
      </c>
      <c r="J163" s="5">
        <v>0.15</v>
      </c>
      <c r="K163" s="5" t="s">
        <v>55</v>
      </c>
      <c r="L163" s="6">
        <v>478.992</v>
      </c>
      <c r="M163" s="5" t="s">
        <v>32</v>
      </c>
      <c r="N163" s="5" t="s">
        <v>56</v>
      </c>
      <c r="O163" s="5">
        <v>0</v>
      </c>
      <c r="P163" s="5" t="s">
        <v>397</v>
      </c>
      <c r="Q163" s="5" t="s">
        <v>398</v>
      </c>
      <c r="R163" s="5">
        <v>11</v>
      </c>
      <c r="S163" s="4">
        <v>44996</v>
      </c>
      <c r="T163" s="4">
        <v>45003</v>
      </c>
      <c r="U163" s="5">
        <f t="shared" si="8"/>
        <v>7</v>
      </c>
      <c r="V163" s="5" t="s">
        <v>67</v>
      </c>
      <c r="X163" s="5"/>
    </row>
    <row r="164" spans="1:24">
      <c r="A164" s="4">
        <v>45528</v>
      </c>
      <c r="B164" s="5" t="str">
        <f t="shared" si="6"/>
        <v>August</v>
      </c>
      <c r="C164" s="5" t="s">
        <v>19</v>
      </c>
      <c r="D164" s="5" t="s">
        <v>27</v>
      </c>
      <c r="E164" s="5">
        <v>5</v>
      </c>
      <c r="F164" s="5">
        <v>15.92</v>
      </c>
      <c r="G164" s="6">
        <f t="shared" si="7"/>
        <v>79.6</v>
      </c>
      <c r="H164" s="5" t="s">
        <v>81</v>
      </c>
      <c r="I164" s="5" t="s">
        <v>62</v>
      </c>
      <c r="J164" s="5">
        <v>0</v>
      </c>
      <c r="K164" s="5" t="s">
        <v>55</v>
      </c>
      <c r="L164" s="6">
        <v>79.6</v>
      </c>
      <c r="M164" s="5" t="s">
        <v>32</v>
      </c>
      <c r="N164" s="5"/>
      <c r="O164" s="5">
        <v>1</v>
      </c>
      <c r="P164" s="5" t="s">
        <v>399</v>
      </c>
      <c r="Q164" s="5" t="s">
        <v>400</v>
      </c>
      <c r="R164" s="5">
        <v>8.66</v>
      </c>
      <c r="S164" s="4">
        <v>45528</v>
      </c>
      <c r="T164" s="4">
        <v>45530</v>
      </c>
      <c r="U164" s="5">
        <f t="shared" si="8"/>
        <v>2</v>
      </c>
      <c r="V164" s="5" t="s">
        <v>76</v>
      </c>
      <c r="X164" s="5"/>
    </row>
    <row r="165" spans="1:24">
      <c r="A165" s="4">
        <v>45345</v>
      </c>
      <c r="B165" s="5" t="str">
        <f t="shared" si="6"/>
        <v>February</v>
      </c>
      <c r="C165" s="5" t="s">
        <v>17</v>
      </c>
      <c r="D165" s="5" t="s">
        <v>26</v>
      </c>
      <c r="E165" s="5">
        <v>16</v>
      </c>
      <c r="F165" s="5">
        <v>120.22</v>
      </c>
      <c r="G165" s="6">
        <f t="shared" si="7"/>
        <v>1923.52</v>
      </c>
      <c r="H165" s="5" t="s">
        <v>81</v>
      </c>
      <c r="I165" s="5" t="s">
        <v>62</v>
      </c>
      <c r="J165" s="5">
        <v>0.15</v>
      </c>
      <c r="K165" s="5" t="s">
        <v>89</v>
      </c>
      <c r="L165" s="6">
        <v>1634.992</v>
      </c>
      <c r="M165" s="5" t="s">
        <v>34</v>
      </c>
      <c r="N165" s="5" t="s">
        <v>64</v>
      </c>
      <c r="O165" s="5">
        <v>0</v>
      </c>
      <c r="P165" s="5" t="s">
        <v>401</v>
      </c>
      <c r="Q165" s="5" t="s">
        <v>402</v>
      </c>
      <c r="R165" s="5">
        <v>8.42</v>
      </c>
      <c r="S165" s="4">
        <v>45345</v>
      </c>
      <c r="T165" s="4">
        <v>45352</v>
      </c>
      <c r="U165" s="5">
        <f t="shared" si="8"/>
        <v>7</v>
      </c>
      <c r="V165" s="5" t="s">
        <v>67</v>
      </c>
      <c r="X165" s="5"/>
    </row>
    <row r="166" spans="1:24">
      <c r="A166" s="4">
        <v>45321</v>
      </c>
      <c r="B166" s="5" t="str">
        <f t="shared" si="6"/>
        <v>January</v>
      </c>
      <c r="C166" s="5" t="s">
        <v>18</v>
      </c>
      <c r="D166" s="5" t="s">
        <v>26</v>
      </c>
      <c r="E166" s="5">
        <v>11</v>
      </c>
      <c r="F166" s="5">
        <v>118.8</v>
      </c>
      <c r="G166" s="6">
        <f t="shared" si="7"/>
        <v>1306.8</v>
      </c>
      <c r="H166" s="5" t="s">
        <v>61</v>
      </c>
      <c r="I166" s="5" t="s">
        <v>62</v>
      </c>
      <c r="J166" s="5">
        <v>0.05</v>
      </c>
      <c r="K166" s="5" t="s">
        <v>55</v>
      </c>
      <c r="L166" s="6">
        <v>1241.46</v>
      </c>
      <c r="M166" s="5" t="s">
        <v>30</v>
      </c>
      <c r="N166" s="5" t="s">
        <v>64</v>
      </c>
      <c r="O166" s="5">
        <v>0</v>
      </c>
      <c r="P166" s="5" t="s">
        <v>403</v>
      </c>
      <c r="Q166" s="5" t="s">
        <v>404</v>
      </c>
      <c r="R166" s="5">
        <v>39.32</v>
      </c>
      <c r="S166" s="4">
        <v>45321</v>
      </c>
      <c r="T166" s="4">
        <v>45328</v>
      </c>
      <c r="U166" s="5">
        <f t="shared" si="8"/>
        <v>7</v>
      </c>
      <c r="V166" s="5" t="s">
        <v>72</v>
      </c>
      <c r="X166" s="5"/>
    </row>
    <row r="167" spans="1:24">
      <c r="A167" s="4">
        <v>45314</v>
      </c>
      <c r="B167" s="5" t="str">
        <f t="shared" si="6"/>
        <v>January</v>
      </c>
      <c r="C167" s="5" t="s">
        <v>16</v>
      </c>
      <c r="D167" s="5" t="s">
        <v>101</v>
      </c>
      <c r="E167" s="5">
        <v>10</v>
      </c>
      <c r="F167" s="5">
        <v>92.45</v>
      </c>
      <c r="G167" s="6">
        <f t="shared" si="7"/>
        <v>924.5</v>
      </c>
      <c r="H167" s="5" t="s">
        <v>77</v>
      </c>
      <c r="I167" s="5" t="s">
        <v>54</v>
      </c>
      <c r="J167" s="5">
        <v>0.1</v>
      </c>
      <c r="K167" s="5" t="s">
        <v>73</v>
      </c>
      <c r="L167" s="6">
        <v>832.05</v>
      </c>
      <c r="M167" s="5" t="s">
        <v>34</v>
      </c>
      <c r="N167" s="5" t="s">
        <v>69</v>
      </c>
      <c r="O167" s="5">
        <v>1</v>
      </c>
      <c r="P167" s="5" t="s">
        <v>405</v>
      </c>
      <c r="Q167" s="5" t="s">
        <v>406</v>
      </c>
      <c r="R167" s="5">
        <v>42.61</v>
      </c>
      <c r="S167" s="4">
        <v>45314</v>
      </c>
      <c r="T167" s="4">
        <v>45320</v>
      </c>
      <c r="U167" s="5">
        <f t="shared" si="8"/>
        <v>6</v>
      </c>
      <c r="V167" s="5" t="s">
        <v>59</v>
      </c>
      <c r="X167" s="5"/>
    </row>
    <row r="168" spans="1:24">
      <c r="A168" s="4">
        <v>44931</v>
      </c>
      <c r="B168" s="5" t="str">
        <f t="shared" si="6"/>
        <v>January</v>
      </c>
      <c r="C168" s="5" t="s">
        <v>18</v>
      </c>
      <c r="D168" s="5" t="s">
        <v>22</v>
      </c>
      <c r="E168" s="5">
        <v>19</v>
      </c>
      <c r="F168" s="5">
        <v>463.51</v>
      </c>
      <c r="G168" s="6">
        <f t="shared" si="7"/>
        <v>8806.69</v>
      </c>
      <c r="H168" s="5" t="s">
        <v>53</v>
      </c>
      <c r="I168" s="5" t="s">
        <v>62</v>
      </c>
      <c r="J168" s="5">
        <v>0</v>
      </c>
      <c r="K168" s="5" t="s">
        <v>89</v>
      </c>
      <c r="L168" s="6">
        <v>8806.69</v>
      </c>
      <c r="M168" s="5" t="s">
        <v>34</v>
      </c>
      <c r="N168" s="5" t="s">
        <v>56</v>
      </c>
      <c r="O168" s="5">
        <v>0</v>
      </c>
      <c r="P168" s="5" t="s">
        <v>407</v>
      </c>
      <c r="Q168" s="5" t="s">
        <v>408</v>
      </c>
      <c r="R168" s="5">
        <v>49.38</v>
      </c>
      <c r="S168" s="4">
        <v>44931</v>
      </c>
      <c r="T168" s="4">
        <v>44934</v>
      </c>
      <c r="U168" s="5">
        <f t="shared" si="8"/>
        <v>3</v>
      </c>
      <c r="V168" s="5" t="s">
        <v>72</v>
      </c>
      <c r="X168" s="5"/>
    </row>
    <row r="169" spans="1:24">
      <c r="A169" s="4">
        <v>45281</v>
      </c>
      <c r="B169" s="5" t="str">
        <f t="shared" si="6"/>
        <v>December</v>
      </c>
      <c r="C169" s="5" t="s">
        <v>18</v>
      </c>
      <c r="D169" s="5" t="s">
        <v>24</v>
      </c>
      <c r="E169" s="5">
        <v>7</v>
      </c>
      <c r="F169" s="5">
        <v>284.7</v>
      </c>
      <c r="G169" s="6">
        <f t="shared" si="7"/>
        <v>1992.9</v>
      </c>
      <c r="H169" s="5" t="s">
        <v>81</v>
      </c>
      <c r="I169" s="5" t="s">
        <v>54</v>
      </c>
      <c r="J169" s="5">
        <v>0.05</v>
      </c>
      <c r="K169" s="5" t="s">
        <v>89</v>
      </c>
      <c r="L169" s="6">
        <v>1893.255</v>
      </c>
      <c r="M169" s="5" t="s">
        <v>31</v>
      </c>
      <c r="N169" s="5"/>
      <c r="O169" s="5">
        <v>0</v>
      </c>
      <c r="P169" s="5" t="s">
        <v>409</v>
      </c>
      <c r="Q169" s="5" t="s">
        <v>410</v>
      </c>
      <c r="R169" s="5">
        <v>5.36</v>
      </c>
      <c r="S169" s="4">
        <v>45281</v>
      </c>
      <c r="T169" s="4">
        <v>45290</v>
      </c>
      <c r="U169" s="5">
        <f t="shared" si="8"/>
        <v>9</v>
      </c>
      <c r="V169" s="5" t="s">
        <v>72</v>
      </c>
      <c r="X169" s="5"/>
    </row>
    <row r="170" spans="1:24">
      <c r="A170" s="4">
        <v>45071</v>
      </c>
      <c r="B170" s="5" t="str">
        <f t="shared" si="6"/>
        <v>May</v>
      </c>
      <c r="C170" s="5" t="s">
        <v>20</v>
      </c>
      <c r="D170" s="5" t="s">
        <v>22</v>
      </c>
      <c r="E170" s="5">
        <v>20</v>
      </c>
      <c r="F170" s="5">
        <v>343.25</v>
      </c>
      <c r="G170" s="6">
        <f t="shared" si="7"/>
        <v>6865</v>
      </c>
      <c r="H170" s="5" t="s">
        <v>77</v>
      </c>
      <c r="I170" s="5" t="s">
        <v>54</v>
      </c>
      <c r="J170" s="5">
        <v>0.05</v>
      </c>
      <c r="K170" s="5" t="s">
        <v>63</v>
      </c>
      <c r="L170" s="6">
        <v>6521.75</v>
      </c>
      <c r="M170" s="5" t="s">
        <v>33</v>
      </c>
      <c r="N170" s="5" t="s">
        <v>56</v>
      </c>
      <c r="O170" s="5">
        <v>0</v>
      </c>
      <c r="P170" s="5" t="s">
        <v>411</v>
      </c>
      <c r="Q170" s="5" t="s">
        <v>412</v>
      </c>
      <c r="R170" s="5">
        <v>28.77</v>
      </c>
      <c r="S170" s="4">
        <v>45071</v>
      </c>
      <c r="T170" s="4">
        <v>45079</v>
      </c>
      <c r="U170" s="5">
        <f t="shared" si="8"/>
        <v>8</v>
      </c>
      <c r="V170" s="5" t="s">
        <v>94</v>
      </c>
      <c r="X170" s="5"/>
    </row>
    <row r="171" spans="1:24">
      <c r="A171" s="4">
        <v>45838</v>
      </c>
      <c r="B171" s="5" t="str">
        <f t="shared" si="6"/>
        <v>June</v>
      </c>
      <c r="C171" s="5" t="s">
        <v>19</v>
      </c>
      <c r="D171" s="5" t="s">
        <v>25</v>
      </c>
      <c r="E171" s="5">
        <v>6</v>
      </c>
      <c r="F171" s="5">
        <v>95.24</v>
      </c>
      <c r="G171" s="6">
        <f t="shared" si="7"/>
        <v>571.44</v>
      </c>
      <c r="H171" s="5" t="s">
        <v>81</v>
      </c>
      <c r="I171" s="5" t="s">
        <v>54</v>
      </c>
      <c r="J171" s="5">
        <v>0.15</v>
      </c>
      <c r="K171" s="5" t="s">
        <v>82</v>
      </c>
      <c r="L171" s="6">
        <v>485.724</v>
      </c>
      <c r="M171" s="5" t="s">
        <v>31</v>
      </c>
      <c r="N171" s="5" t="s">
        <v>56</v>
      </c>
      <c r="O171" s="5">
        <v>0</v>
      </c>
      <c r="P171" s="5" t="s">
        <v>413</v>
      </c>
      <c r="Q171" s="5" t="s">
        <v>414</v>
      </c>
      <c r="R171" s="5">
        <v>18.72</v>
      </c>
      <c r="S171" s="4">
        <v>45838</v>
      </c>
      <c r="T171" s="4">
        <v>45846</v>
      </c>
      <c r="U171" s="5">
        <f t="shared" si="8"/>
        <v>8</v>
      </c>
      <c r="V171" s="5" t="s">
        <v>76</v>
      </c>
      <c r="X171" s="5"/>
    </row>
    <row r="172" spans="1:24">
      <c r="A172" s="4">
        <v>45700</v>
      </c>
      <c r="B172" s="5" t="str">
        <f t="shared" si="6"/>
        <v>February</v>
      </c>
      <c r="C172" s="5" t="s">
        <v>20</v>
      </c>
      <c r="D172" s="5" t="s">
        <v>24</v>
      </c>
      <c r="E172" s="5">
        <v>13</v>
      </c>
      <c r="F172" s="5">
        <v>104.8</v>
      </c>
      <c r="G172" s="6">
        <f t="shared" si="7"/>
        <v>1362.4</v>
      </c>
      <c r="H172" s="5" t="s">
        <v>53</v>
      </c>
      <c r="I172" s="5" t="s">
        <v>62</v>
      </c>
      <c r="J172" s="5">
        <v>0.05</v>
      </c>
      <c r="K172" s="5" t="s">
        <v>82</v>
      </c>
      <c r="L172" s="6">
        <v>1294.28</v>
      </c>
      <c r="M172" s="5" t="s">
        <v>32</v>
      </c>
      <c r="N172" s="5" t="s">
        <v>69</v>
      </c>
      <c r="O172" s="5">
        <v>0</v>
      </c>
      <c r="P172" s="5" t="s">
        <v>415</v>
      </c>
      <c r="Q172" s="5" t="s">
        <v>416</v>
      </c>
      <c r="R172" s="5">
        <v>7.79</v>
      </c>
      <c r="S172" s="4">
        <v>45700</v>
      </c>
      <c r="T172" s="4">
        <v>45707</v>
      </c>
      <c r="U172" s="5">
        <f t="shared" si="8"/>
        <v>7</v>
      </c>
      <c r="V172" s="5" t="s">
        <v>94</v>
      </c>
      <c r="X172" s="5"/>
    </row>
    <row r="173" spans="1:24">
      <c r="A173" s="4">
        <v>45294</v>
      </c>
      <c r="B173" s="5" t="str">
        <f t="shared" si="6"/>
        <v>January</v>
      </c>
      <c r="C173" s="5" t="s">
        <v>20</v>
      </c>
      <c r="D173" s="5" t="s">
        <v>101</v>
      </c>
      <c r="E173" s="5">
        <v>12</v>
      </c>
      <c r="F173" s="5">
        <v>164.31</v>
      </c>
      <c r="G173" s="6">
        <f t="shared" si="7"/>
        <v>1971.72</v>
      </c>
      <c r="H173" s="5" t="s">
        <v>53</v>
      </c>
      <c r="I173" s="5" t="s">
        <v>54</v>
      </c>
      <c r="J173" s="5">
        <v>0.1</v>
      </c>
      <c r="K173" s="5" t="s">
        <v>55</v>
      </c>
      <c r="L173" s="6">
        <v>1774.548</v>
      </c>
      <c r="M173" s="5" t="s">
        <v>34</v>
      </c>
      <c r="N173" s="5"/>
      <c r="O173" s="5">
        <v>1</v>
      </c>
      <c r="P173" s="5" t="s">
        <v>417</v>
      </c>
      <c r="Q173" s="5" t="s">
        <v>418</v>
      </c>
      <c r="R173" s="5">
        <v>38.9</v>
      </c>
      <c r="S173" s="4">
        <v>45294</v>
      </c>
      <c r="T173" s="4">
        <v>45298</v>
      </c>
      <c r="U173" s="5">
        <f t="shared" si="8"/>
        <v>4</v>
      </c>
      <c r="V173" s="5" t="s">
        <v>94</v>
      </c>
      <c r="X173" s="5"/>
    </row>
    <row r="174" spans="1:24">
      <c r="A174" s="4">
        <v>44960</v>
      </c>
      <c r="B174" s="5" t="str">
        <f t="shared" si="6"/>
        <v>February</v>
      </c>
      <c r="C174" s="5" t="s">
        <v>17</v>
      </c>
      <c r="D174" s="5" t="s">
        <v>101</v>
      </c>
      <c r="E174" s="5">
        <v>10</v>
      </c>
      <c r="F174" s="5">
        <v>325.18</v>
      </c>
      <c r="G174" s="6">
        <f t="shared" si="7"/>
        <v>3251.8</v>
      </c>
      <c r="H174" s="5" t="s">
        <v>77</v>
      </c>
      <c r="I174" s="5" t="s">
        <v>54</v>
      </c>
      <c r="J174" s="5">
        <v>0.1</v>
      </c>
      <c r="K174" s="5" t="s">
        <v>63</v>
      </c>
      <c r="L174" s="6">
        <v>2926.62</v>
      </c>
      <c r="M174" s="5" t="s">
        <v>34</v>
      </c>
      <c r="N174" s="5" t="s">
        <v>69</v>
      </c>
      <c r="O174" s="5">
        <v>0</v>
      </c>
      <c r="P174" s="5" t="s">
        <v>419</v>
      </c>
      <c r="Q174" s="5" t="s">
        <v>420</v>
      </c>
      <c r="R174" s="5">
        <v>47.39</v>
      </c>
      <c r="S174" s="4">
        <v>44960</v>
      </c>
      <c r="T174" s="4">
        <v>44970</v>
      </c>
      <c r="U174" s="5">
        <f t="shared" si="8"/>
        <v>10</v>
      </c>
      <c r="V174" s="5" t="s">
        <v>67</v>
      </c>
      <c r="X174" s="5"/>
    </row>
    <row r="175" spans="1:24">
      <c r="A175" s="4">
        <v>45352</v>
      </c>
      <c r="B175" s="5" t="str">
        <f t="shared" si="6"/>
        <v>March</v>
      </c>
      <c r="C175" s="5" t="s">
        <v>16</v>
      </c>
      <c r="D175" s="5" t="s">
        <v>26</v>
      </c>
      <c r="E175" s="5">
        <v>17</v>
      </c>
      <c r="F175" s="5">
        <v>542.82</v>
      </c>
      <c r="G175" s="6">
        <f t="shared" si="7"/>
        <v>9227.94</v>
      </c>
      <c r="H175" s="5" t="s">
        <v>61</v>
      </c>
      <c r="I175" s="5" t="s">
        <v>54</v>
      </c>
      <c r="J175" s="5">
        <v>0</v>
      </c>
      <c r="K175" s="5" t="s">
        <v>63</v>
      </c>
      <c r="L175" s="6">
        <v>9227.94</v>
      </c>
      <c r="M175" s="5" t="s">
        <v>33</v>
      </c>
      <c r="N175" s="5" t="s">
        <v>69</v>
      </c>
      <c r="O175" s="5">
        <v>1</v>
      </c>
      <c r="P175" s="5" t="s">
        <v>421</v>
      </c>
      <c r="Q175" s="5" t="s">
        <v>422</v>
      </c>
      <c r="R175" s="5">
        <v>7.13</v>
      </c>
      <c r="S175" s="4">
        <v>45352</v>
      </c>
      <c r="T175" s="4">
        <v>45359</v>
      </c>
      <c r="U175" s="5">
        <f t="shared" si="8"/>
        <v>7</v>
      </c>
      <c r="V175" s="5" t="s">
        <v>59</v>
      </c>
      <c r="X175" s="5"/>
    </row>
    <row r="176" spans="1:24">
      <c r="A176" s="4">
        <v>45070</v>
      </c>
      <c r="B176" s="5" t="str">
        <f t="shared" si="6"/>
        <v>May</v>
      </c>
      <c r="C176" s="5" t="s">
        <v>18</v>
      </c>
      <c r="D176" s="5" t="s">
        <v>101</v>
      </c>
      <c r="E176" s="5">
        <v>14</v>
      </c>
      <c r="F176" s="5">
        <v>207.48</v>
      </c>
      <c r="G176" s="6">
        <f t="shared" si="7"/>
        <v>2904.72</v>
      </c>
      <c r="H176" s="5" t="s">
        <v>77</v>
      </c>
      <c r="I176" s="5" t="s">
        <v>54</v>
      </c>
      <c r="J176" s="5">
        <v>0.05</v>
      </c>
      <c r="K176" s="5" t="s">
        <v>55</v>
      </c>
      <c r="L176" s="6">
        <v>2759.484</v>
      </c>
      <c r="M176" s="5" t="s">
        <v>30</v>
      </c>
      <c r="N176" s="5"/>
      <c r="O176" s="5">
        <v>0</v>
      </c>
      <c r="P176" s="5" t="s">
        <v>423</v>
      </c>
      <c r="Q176" s="5" t="s">
        <v>424</v>
      </c>
      <c r="R176" s="5">
        <v>5.7</v>
      </c>
      <c r="S176" s="4">
        <v>45070</v>
      </c>
      <c r="T176" s="4">
        <v>45079</v>
      </c>
      <c r="U176" s="5">
        <f t="shared" si="8"/>
        <v>9</v>
      </c>
      <c r="V176" s="5" t="s">
        <v>72</v>
      </c>
      <c r="X176" s="5"/>
    </row>
    <row r="177" spans="1:24">
      <c r="A177" s="4">
        <v>45830</v>
      </c>
      <c r="B177" s="5" t="str">
        <f t="shared" si="6"/>
        <v>June</v>
      </c>
      <c r="C177" s="5" t="s">
        <v>18</v>
      </c>
      <c r="D177" s="5" t="s">
        <v>27</v>
      </c>
      <c r="E177" s="5">
        <v>17</v>
      </c>
      <c r="F177" s="5">
        <v>527.88</v>
      </c>
      <c r="G177" s="6">
        <f t="shared" si="7"/>
        <v>8973.96</v>
      </c>
      <c r="H177" s="5" t="s">
        <v>81</v>
      </c>
      <c r="I177" s="5" t="s">
        <v>62</v>
      </c>
      <c r="J177" s="5">
        <v>0.05</v>
      </c>
      <c r="K177" s="5" t="s">
        <v>89</v>
      </c>
      <c r="L177" s="6">
        <v>8525.262</v>
      </c>
      <c r="M177" s="5" t="s">
        <v>34</v>
      </c>
      <c r="N177" s="5" t="s">
        <v>69</v>
      </c>
      <c r="O177" s="5">
        <v>0</v>
      </c>
      <c r="P177" s="5" t="s">
        <v>425</v>
      </c>
      <c r="Q177" s="5" t="s">
        <v>426</v>
      </c>
      <c r="R177" s="5">
        <v>21.32</v>
      </c>
      <c r="S177" s="4">
        <v>45830</v>
      </c>
      <c r="T177" s="4">
        <v>45836</v>
      </c>
      <c r="U177" s="5">
        <f t="shared" si="8"/>
        <v>6</v>
      </c>
      <c r="V177" s="5" t="s">
        <v>72</v>
      </c>
      <c r="X177" s="5"/>
    </row>
    <row r="178" spans="1:24">
      <c r="A178" s="4">
        <v>45026</v>
      </c>
      <c r="B178" s="5" t="str">
        <f t="shared" si="6"/>
        <v>April</v>
      </c>
      <c r="C178" s="5" t="s">
        <v>18</v>
      </c>
      <c r="D178" s="5" t="s">
        <v>25</v>
      </c>
      <c r="E178" s="5">
        <v>11</v>
      </c>
      <c r="F178" s="5">
        <v>71.21</v>
      </c>
      <c r="G178" s="6">
        <f t="shared" si="7"/>
        <v>783.31</v>
      </c>
      <c r="H178" s="5" t="s">
        <v>53</v>
      </c>
      <c r="I178" s="5" t="s">
        <v>62</v>
      </c>
      <c r="J178" s="5">
        <v>0.05</v>
      </c>
      <c r="K178" s="5" t="s">
        <v>82</v>
      </c>
      <c r="L178" s="6">
        <v>744.1445</v>
      </c>
      <c r="M178" s="5" t="s">
        <v>30</v>
      </c>
      <c r="N178" s="5"/>
      <c r="O178" s="5">
        <v>1</v>
      </c>
      <c r="P178" s="5" t="s">
        <v>427</v>
      </c>
      <c r="Q178" s="5" t="s">
        <v>428</v>
      </c>
      <c r="R178" s="5">
        <v>44.2</v>
      </c>
      <c r="S178" s="4">
        <v>45026</v>
      </c>
      <c r="T178" s="4">
        <v>45030</v>
      </c>
      <c r="U178" s="5">
        <f t="shared" si="8"/>
        <v>4</v>
      </c>
      <c r="V178" s="5" t="s">
        <v>72</v>
      </c>
      <c r="X178" s="5"/>
    </row>
    <row r="179" spans="1:24">
      <c r="A179" s="4">
        <v>45720</v>
      </c>
      <c r="B179" s="5" t="str">
        <f t="shared" si="6"/>
        <v>March</v>
      </c>
      <c r="C179" s="5" t="s">
        <v>19</v>
      </c>
      <c r="D179" s="5" t="s">
        <v>27</v>
      </c>
      <c r="E179" s="5">
        <v>8</v>
      </c>
      <c r="F179" s="5">
        <v>486.07</v>
      </c>
      <c r="G179" s="6">
        <f t="shared" si="7"/>
        <v>3888.56</v>
      </c>
      <c r="H179" s="5" t="s">
        <v>53</v>
      </c>
      <c r="I179" s="5" t="s">
        <v>62</v>
      </c>
      <c r="J179" s="5">
        <v>0</v>
      </c>
      <c r="K179" s="5" t="s">
        <v>78</v>
      </c>
      <c r="L179" s="6">
        <v>3888.56</v>
      </c>
      <c r="M179" s="5" t="s">
        <v>33</v>
      </c>
      <c r="N179" s="5" t="s">
        <v>56</v>
      </c>
      <c r="O179" s="5">
        <v>0</v>
      </c>
      <c r="P179" s="5" t="s">
        <v>429</v>
      </c>
      <c r="Q179" s="5" t="s">
        <v>430</v>
      </c>
      <c r="R179" s="5">
        <v>10.68</v>
      </c>
      <c r="S179" s="4">
        <v>45720</v>
      </c>
      <c r="T179" s="4">
        <v>45726</v>
      </c>
      <c r="U179" s="5">
        <f t="shared" si="8"/>
        <v>6</v>
      </c>
      <c r="V179" s="5" t="s">
        <v>76</v>
      </c>
      <c r="X179" s="5"/>
    </row>
    <row r="180" spans="1:24">
      <c r="A180" s="4">
        <v>45484</v>
      </c>
      <c r="B180" s="5" t="str">
        <f t="shared" si="6"/>
        <v>July</v>
      </c>
      <c r="C180" s="5" t="s">
        <v>16</v>
      </c>
      <c r="D180" s="5" t="s">
        <v>22</v>
      </c>
      <c r="E180" s="5">
        <v>6</v>
      </c>
      <c r="F180" s="5">
        <v>555.03</v>
      </c>
      <c r="G180" s="6">
        <f t="shared" si="7"/>
        <v>3330.18</v>
      </c>
      <c r="H180" s="5" t="s">
        <v>77</v>
      </c>
      <c r="I180" s="5" t="s">
        <v>62</v>
      </c>
      <c r="J180" s="5">
        <v>0.1</v>
      </c>
      <c r="K180" s="5" t="s">
        <v>73</v>
      </c>
      <c r="L180" s="6">
        <v>2997.162</v>
      </c>
      <c r="M180" s="5" t="s">
        <v>32</v>
      </c>
      <c r="N180" s="5"/>
      <c r="O180" s="5">
        <v>1</v>
      </c>
      <c r="P180" s="5" t="s">
        <v>431</v>
      </c>
      <c r="Q180" s="5" t="s">
        <v>432</v>
      </c>
      <c r="R180" s="5">
        <v>23.69</v>
      </c>
      <c r="S180" s="4">
        <v>45484</v>
      </c>
      <c r="T180" s="4">
        <v>45493</v>
      </c>
      <c r="U180" s="5">
        <f t="shared" si="8"/>
        <v>9</v>
      </c>
      <c r="V180" s="5" t="s">
        <v>59</v>
      </c>
      <c r="X180" s="5"/>
    </row>
    <row r="181" spans="1:24">
      <c r="A181" s="4">
        <v>45521</v>
      </c>
      <c r="B181" s="5" t="str">
        <f t="shared" si="6"/>
        <v>August</v>
      </c>
      <c r="C181" s="5" t="s">
        <v>16</v>
      </c>
      <c r="D181" s="5" t="s">
        <v>24</v>
      </c>
      <c r="E181" s="5">
        <v>13</v>
      </c>
      <c r="F181" s="5">
        <v>421.08</v>
      </c>
      <c r="G181" s="6">
        <f t="shared" si="7"/>
        <v>5474.04</v>
      </c>
      <c r="H181" s="5" t="s">
        <v>53</v>
      </c>
      <c r="I181" s="5" t="s">
        <v>54</v>
      </c>
      <c r="J181" s="5">
        <v>0</v>
      </c>
      <c r="K181" s="5" t="s">
        <v>89</v>
      </c>
      <c r="L181" s="6">
        <v>5474.04</v>
      </c>
      <c r="M181" s="5" t="s">
        <v>34</v>
      </c>
      <c r="N181" s="5"/>
      <c r="O181" s="5">
        <v>0</v>
      </c>
      <c r="P181" s="5" t="s">
        <v>433</v>
      </c>
      <c r="Q181" s="5" t="s">
        <v>434</v>
      </c>
      <c r="R181" s="5">
        <v>24.51</v>
      </c>
      <c r="S181" s="4">
        <v>45521</v>
      </c>
      <c r="T181" s="4">
        <v>45524</v>
      </c>
      <c r="U181" s="5">
        <f t="shared" si="8"/>
        <v>3</v>
      </c>
      <c r="V181" s="5" t="s">
        <v>59</v>
      </c>
      <c r="X181" s="5"/>
    </row>
    <row r="182" spans="1:24">
      <c r="A182" s="4">
        <v>45838</v>
      </c>
      <c r="B182" s="5" t="str">
        <f t="shared" si="6"/>
        <v>June</v>
      </c>
      <c r="C182" s="5" t="s">
        <v>18</v>
      </c>
      <c r="D182" s="5" t="s">
        <v>22</v>
      </c>
      <c r="E182" s="5">
        <v>16</v>
      </c>
      <c r="F182" s="5">
        <v>76.17</v>
      </c>
      <c r="G182" s="6">
        <f t="shared" si="7"/>
        <v>1218.72</v>
      </c>
      <c r="H182" s="5" t="s">
        <v>81</v>
      </c>
      <c r="I182" s="5" t="s">
        <v>54</v>
      </c>
      <c r="J182" s="5">
        <v>0.1</v>
      </c>
      <c r="K182" s="5" t="s">
        <v>63</v>
      </c>
      <c r="L182" s="6">
        <v>1096.848</v>
      </c>
      <c r="M182" s="5" t="s">
        <v>34</v>
      </c>
      <c r="N182" s="5" t="s">
        <v>69</v>
      </c>
      <c r="O182" s="5">
        <v>0</v>
      </c>
      <c r="P182" s="5" t="s">
        <v>435</v>
      </c>
      <c r="Q182" s="5" t="s">
        <v>436</v>
      </c>
      <c r="R182" s="5">
        <v>41.88</v>
      </c>
      <c r="S182" s="4">
        <v>45838</v>
      </c>
      <c r="T182" s="4">
        <v>45847</v>
      </c>
      <c r="U182" s="5">
        <f t="shared" si="8"/>
        <v>9</v>
      </c>
      <c r="V182" s="5" t="s">
        <v>72</v>
      </c>
      <c r="X182" s="5"/>
    </row>
    <row r="183" spans="1:24">
      <c r="A183" s="4">
        <v>45602</v>
      </c>
      <c r="B183" s="5" t="str">
        <f t="shared" si="6"/>
        <v>November</v>
      </c>
      <c r="C183" s="5" t="s">
        <v>17</v>
      </c>
      <c r="D183" s="5" t="s">
        <v>27</v>
      </c>
      <c r="E183" s="5">
        <v>3</v>
      </c>
      <c r="F183" s="5">
        <v>503.55</v>
      </c>
      <c r="G183" s="6">
        <f t="shared" si="7"/>
        <v>1510.65</v>
      </c>
      <c r="H183" s="5" t="s">
        <v>77</v>
      </c>
      <c r="I183" s="5" t="s">
        <v>54</v>
      </c>
      <c r="J183" s="5">
        <v>0.1</v>
      </c>
      <c r="K183" s="5" t="s">
        <v>89</v>
      </c>
      <c r="L183" s="6">
        <v>1359.585</v>
      </c>
      <c r="M183" s="5" t="s">
        <v>32</v>
      </c>
      <c r="N183" s="5" t="s">
        <v>69</v>
      </c>
      <c r="O183" s="5">
        <v>0</v>
      </c>
      <c r="P183" s="5" t="s">
        <v>437</v>
      </c>
      <c r="Q183" s="5" t="s">
        <v>438</v>
      </c>
      <c r="R183" s="5">
        <v>37.49</v>
      </c>
      <c r="S183" s="4">
        <v>45602</v>
      </c>
      <c r="T183" s="4">
        <v>45609</v>
      </c>
      <c r="U183" s="5">
        <f t="shared" si="8"/>
        <v>7</v>
      </c>
      <c r="V183" s="5" t="s">
        <v>67</v>
      </c>
      <c r="X183" s="5"/>
    </row>
    <row r="184" spans="1:24">
      <c r="A184" s="4">
        <v>45748</v>
      </c>
      <c r="B184" s="5" t="str">
        <f t="shared" si="6"/>
        <v>April</v>
      </c>
      <c r="C184" s="5" t="s">
        <v>16</v>
      </c>
      <c r="D184" s="5" t="s">
        <v>101</v>
      </c>
      <c r="E184" s="5">
        <v>5</v>
      </c>
      <c r="F184" s="5">
        <v>31.56</v>
      </c>
      <c r="G184" s="6">
        <f t="shared" si="7"/>
        <v>157.8</v>
      </c>
      <c r="H184" s="5" t="s">
        <v>81</v>
      </c>
      <c r="I184" s="5" t="s">
        <v>62</v>
      </c>
      <c r="J184" s="5">
        <v>0</v>
      </c>
      <c r="K184" s="5" t="s">
        <v>82</v>
      </c>
      <c r="L184" s="6">
        <v>157.8</v>
      </c>
      <c r="M184" s="5" t="s">
        <v>30</v>
      </c>
      <c r="N184" s="5" t="s">
        <v>64</v>
      </c>
      <c r="O184" s="5">
        <v>1</v>
      </c>
      <c r="P184" s="5" t="s">
        <v>439</v>
      </c>
      <c r="Q184" s="5" t="s">
        <v>440</v>
      </c>
      <c r="R184" s="5">
        <v>29.56</v>
      </c>
      <c r="S184" s="4">
        <v>45748</v>
      </c>
      <c r="T184" s="4">
        <v>45751</v>
      </c>
      <c r="U184" s="5">
        <f t="shared" si="8"/>
        <v>3</v>
      </c>
      <c r="V184" s="5" t="s">
        <v>59</v>
      </c>
      <c r="X184" s="5"/>
    </row>
    <row r="185" spans="1:24">
      <c r="A185" s="4">
        <v>45474</v>
      </c>
      <c r="B185" s="5" t="str">
        <f t="shared" si="6"/>
        <v>July</v>
      </c>
      <c r="C185" s="5" t="s">
        <v>20</v>
      </c>
      <c r="D185" s="5" t="s">
        <v>22</v>
      </c>
      <c r="E185" s="5">
        <v>16</v>
      </c>
      <c r="F185" s="5">
        <v>72.92</v>
      </c>
      <c r="G185" s="6">
        <f t="shared" si="7"/>
        <v>1166.72</v>
      </c>
      <c r="H185" s="5" t="s">
        <v>77</v>
      </c>
      <c r="I185" s="5" t="s">
        <v>54</v>
      </c>
      <c r="J185" s="5">
        <v>0.05</v>
      </c>
      <c r="K185" s="5" t="s">
        <v>73</v>
      </c>
      <c r="L185" s="6">
        <v>1108.384</v>
      </c>
      <c r="M185" s="5" t="s">
        <v>34</v>
      </c>
      <c r="N185" s="5" t="s">
        <v>56</v>
      </c>
      <c r="O185" s="5">
        <v>0</v>
      </c>
      <c r="P185" s="5" t="s">
        <v>441</v>
      </c>
      <c r="Q185" s="5" t="s">
        <v>442</v>
      </c>
      <c r="R185" s="5">
        <v>5.7</v>
      </c>
      <c r="S185" s="4">
        <v>45474</v>
      </c>
      <c r="T185" s="4">
        <v>45479</v>
      </c>
      <c r="U185" s="5">
        <f t="shared" si="8"/>
        <v>5</v>
      </c>
      <c r="V185" s="5" t="s">
        <v>94</v>
      </c>
      <c r="X185" s="5"/>
    </row>
    <row r="186" spans="1:24">
      <c r="A186" s="4">
        <v>45269</v>
      </c>
      <c r="B186" s="5" t="str">
        <f t="shared" si="6"/>
        <v>December</v>
      </c>
      <c r="C186" s="5" t="s">
        <v>20</v>
      </c>
      <c r="D186" s="5" t="s">
        <v>27</v>
      </c>
      <c r="E186" s="5">
        <v>18</v>
      </c>
      <c r="F186" s="5">
        <v>421.93</v>
      </c>
      <c r="G186" s="6">
        <f t="shared" si="7"/>
        <v>7594.74</v>
      </c>
      <c r="H186" s="5" t="s">
        <v>81</v>
      </c>
      <c r="I186" s="5" t="s">
        <v>62</v>
      </c>
      <c r="J186" s="5">
        <v>0.05</v>
      </c>
      <c r="K186" s="5" t="s">
        <v>89</v>
      </c>
      <c r="L186" s="6">
        <v>7215.003</v>
      </c>
      <c r="M186" s="5" t="s">
        <v>31</v>
      </c>
      <c r="N186" s="5" t="s">
        <v>69</v>
      </c>
      <c r="O186" s="5">
        <v>0</v>
      </c>
      <c r="P186" s="5" t="s">
        <v>443</v>
      </c>
      <c r="Q186" s="5" t="s">
        <v>444</v>
      </c>
      <c r="R186" s="5">
        <v>23.42</v>
      </c>
      <c r="S186" s="4">
        <v>45269</v>
      </c>
      <c r="T186" s="4">
        <v>45278</v>
      </c>
      <c r="U186" s="5">
        <f t="shared" si="8"/>
        <v>9</v>
      </c>
      <c r="V186" s="5" t="s">
        <v>94</v>
      </c>
      <c r="X186" s="5"/>
    </row>
    <row r="187" spans="1:24">
      <c r="A187" s="4">
        <v>45104</v>
      </c>
      <c r="B187" s="5" t="str">
        <f t="shared" si="6"/>
        <v>June</v>
      </c>
      <c r="C187" s="5" t="s">
        <v>18</v>
      </c>
      <c r="D187" s="5" t="s">
        <v>24</v>
      </c>
      <c r="E187" s="5">
        <v>15</v>
      </c>
      <c r="F187" s="5">
        <v>478.41</v>
      </c>
      <c r="G187" s="6">
        <f t="shared" si="7"/>
        <v>7176.15</v>
      </c>
      <c r="H187" s="5" t="s">
        <v>53</v>
      </c>
      <c r="I187" s="5" t="s">
        <v>62</v>
      </c>
      <c r="J187" s="5">
        <v>0.1</v>
      </c>
      <c r="K187" s="5" t="s">
        <v>78</v>
      </c>
      <c r="L187" s="6">
        <v>6458.535</v>
      </c>
      <c r="M187" s="5" t="s">
        <v>33</v>
      </c>
      <c r="N187" s="5" t="s">
        <v>56</v>
      </c>
      <c r="O187" s="5">
        <v>0</v>
      </c>
      <c r="P187" s="5" t="s">
        <v>445</v>
      </c>
      <c r="Q187" s="5" t="s">
        <v>446</v>
      </c>
      <c r="R187" s="5">
        <v>35.63</v>
      </c>
      <c r="S187" s="4">
        <v>45104</v>
      </c>
      <c r="T187" s="4">
        <v>45107</v>
      </c>
      <c r="U187" s="5">
        <f t="shared" si="8"/>
        <v>3</v>
      </c>
      <c r="V187" s="5" t="s">
        <v>72</v>
      </c>
      <c r="X187" s="5"/>
    </row>
    <row r="188" spans="1:24">
      <c r="A188" s="4">
        <v>45121</v>
      </c>
      <c r="B188" s="5" t="str">
        <f t="shared" si="6"/>
        <v>July</v>
      </c>
      <c r="C188" s="5" t="s">
        <v>17</v>
      </c>
      <c r="D188" s="5" t="s">
        <v>25</v>
      </c>
      <c r="E188" s="5">
        <v>9</v>
      </c>
      <c r="F188" s="5">
        <v>501.74</v>
      </c>
      <c r="G188" s="6">
        <f t="shared" si="7"/>
        <v>4515.66</v>
      </c>
      <c r="H188" s="5" t="s">
        <v>81</v>
      </c>
      <c r="I188" s="5" t="s">
        <v>62</v>
      </c>
      <c r="J188" s="5">
        <v>0</v>
      </c>
      <c r="K188" s="5" t="s">
        <v>89</v>
      </c>
      <c r="L188" s="6">
        <v>4515.66</v>
      </c>
      <c r="M188" s="5" t="s">
        <v>30</v>
      </c>
      <c r="N188" s="5" t="s">
        <v>64</v>
      </c>
      <c r="O188" s="5">
        <v>1</v>
      </c>
      <c r="P188" s="5" t="s">
        <v>447</v>
      </c>
      <c r="Q188" s="5" t="s">
        <v>448</v>
      </c>
      <c r="R188" s="5">
        <v>39.74</v>
      </c>
      <c r="S188" s="4">
        <v>45121</v>
      </c>
      <c r="T188" s="4">
        <v>45124</v>
      </c>
      <c r="U188" s="5">
        <f t="shared" si="8"/>
        <v>3</v>
      </c>
      <c r="V188" s="5" t="s">
        <v>67</v>
      </c>
      <c r="X188" s="5"/>
    </row>
    <row r="189" spans="1:24">
      <c r="A189" s="4">
        <v>44965</v>
      </c>
      <c r="B189" s="5" t="str">
        <f t="shared" si="6"/>
        <v>February</v>
      </c>
      <c r="C189" s="5" t="s">
        <v>17</v>
      </c>
      <c r="D189" s="5" t="s">
        <v>101</v>
      </c>
      <c r="E189" s="5">
        <v>7</v>
      </c>
      <c r="F189" s="5">
        <v>247.53</v>
      </c>
      <c r="G189" s="6">
        <f t="shared" si="7"/>
        <v>1732.71</v>
      </c>
      <c r="H189" s="5" t="s">
        <v>77</v>
      </c>
      <c r="I189" s="5" t="s">
        <v>54</v>
      </c>
      <c r="J189" s="5">
        <v>0.15</v>
      </c>
      <c r="K189" s="5" t="s">
        <v>63</v>
      </c>
      <c r="L189" s="6">
        <v>1472.8035</v>
      </c>
      <c r="M189" s="5" t="s">
        <v>31</v>
      </c>
      <c r="N189" s="5" t="s">
        <v>56</v>
      </c>
      <c r="O189" s="5">
        <v>0</v>
      </c>
      <c r="P189" s="5" t="s">
        <v>449</v>
      </c>
      <c r="Q189" s="5" t="s">
        <v>450</v>
      </c>
      <c r="R189" s="5">
        <v>13.63</v>
      </c>
      <c r="S189" s="4">
        <v>44965</v>
      </c>
      <c r="T189" s="4">
        <v>44973</v>
      </c>
      <c r="U189" s="5">
        <f t="shared" si="8"/>
        <v>8</v>
      </c>
      <c r="V189" s="5" t="s">
        <v>67</v>
      </c>
      <c r="X189" s="5"/>
    </row>
    <row r="190" spans="1:24">
      <c r="A190" s="4">
        <v>45471</v>
      </c>
      <c r="B190" s="5" t="str">
        <f t="shared" si="6"/>
        <v>June</v>
      </c>
      <c r="C190" s="5" t="s">
        <v>20</v>
      </c>
      <c r="D190" s="5" t="s">
        <v>101</v>
      </c>
      <c r="E190" s="5">
        <v>6</v>
      </c>
      <c r="F190" s="5">
        <v>176.51</v>
      </c>
      <c r="G190" s="6">
        <f t="shared" si="7"/>
        <v>1059.06</v>
      </c>
      <c r="H190" s="5" t="s">
        <v>77</v>
      </c>
      <c r="I190" s="5" t="s">
        <v>54</v>
      </c>
      <c r="J190" s="5">
        <v>0.15</v>
      </c>
      <c r="K190" s="5" t="s">
        <v>78</v>
      </c>
      <c r="L190" s="6">
        <v>900.201</v>
      </c>
      <c r="M190" s="5" t="s">
        <v>33</v>
      </c>
      <c r="N190" s="5" t="s">
        <v>56</v>
      </c>
      <c r="O190" s="5">
        <v>1</v>
      </c>
      <c r="P190" s="5" t="s">
        <v>451</v>
      </c>
      <c r="Q190" s="5" t="s">
        <v>452</v>
      </c>
      <c r="R190" s="5">
        <v>31.02</v>
      </c>
      <c r="S190" s="4">
        <v>45471</v>
      </c>
      <c r="T190" s="4">
        <v>45480</v>
      </c>
      <c r="U190" s="5">
        <f t="shared" si="8"/>
        <v>9</v>
      </c>
      <c r="V190" s="5" t="s">
        <v>94</v>
      </c>
      <c r="X190" s="5"/>
    </row>
    <row r="191" spans="1:24">
      <c r="A191" s="4">
        <v>45397</v>
      </c>
      <c r="B191" s="5" t="str">
        <f t="shared" si="6"/>
        <v>April</v>
      </c>
      <c r="C191" s="5" t="s">
        <v>20</v>
      </c>
      <c r="D191" s="5" t="s">
        <v>22</v>
      </c>
      <c r="E191" s="5">
        <v>2</v>
      </c>
      <c r="F191" s="5">
        <v>143.43</v>
      </c>
      <c r="G191" s="6">
        <f t="shared" si="7"/>
        <v>286.86</v>
      </c>
      <c r="H191" s="5" t="s">
        <v>81</v>
      </c>
      <c r="I191" s="5" t="s">
        <v>54</v>
      </c>
      <c r="J191" s="5">
        <v>0</v>
      </c>
      <c r="K191" s="5" t="s">
        <v>89</v>
      </c>
      <c r="L191" s="6">
        <v>286.86</v>
      </c>
      <c r="M191" s="5" t="s">
        <v>32</v>
      </c>
      <c r="N191" s="5"/>
      <c r="O191" s="5">
        <v>0</v>
      </c>
      <c r="P191" s="5" t="s">
        <v>453</v>
      </c>
      <c r="Q191" s="5" t="s">
        <v>454</v>
      </c>
      <c r="R191" s="5">
        <v>36.94</v>
      </c>
      <c r="S191" s="4">
        <v>45397</v>
      </c>
      <c r="T191" s="4">
        <v>45404</v>
      </c>
      <c r="U191" s="5">
        <f t="shared" si="8"/>
        <v>7</v>
      </c>
      <c r="V191" s="5" t="s">
        <v>94</v>
      </c>
      <c r="X191" s="5"/>
    </row>
    <row r="192" spans="1:24">
      <c r="A192" s="4">
        <v>45257</v>
      </c>
      <c r="B192" s="5" t="str">
        <f t="shared" si="6"/>
        <v>November</v>
      </c>
      <c r="C192" s="5" t="s">
        <v>16</v>
      </c>
      <c r="D192" s="5" t="s">
        <v>26</v>
      </c>
      <c r="E192" s="5">
        <v>12</v>
      </c>
      <c r="F192" s="5">
        <v>538.5</v>
      </c>
      <c r="G192" s="6">
        <f t="shared" si="7"/>
        <v>6462</v>
      </c>
      <c r="H192" s="5" t="s">
        <v>77</v>
      </c>
      <c r="I192" s="5" t="s">
        <v>54</v>
      </c>
      <c r="J192" s="5">
        <v>0.05</v>
      </c>
      <c r="K192" s="5" t="s">
        <v>63</v>
      </c>
      <c r="L192" s="6">
        <v>6138.9</v>
      </c>
      <c r="M192" s="5" t="s">
        <v>34</v>
      </c>
      <c r="N192" s="5" t="s">
        <v>64</v>
      </c>
      <c r="O192" s="5">
        <v>0</v>
      </c>
      <c r="P192" s="5" t="s">
        <v>455</v>
      </c>
      <c r="Q192" s="5" t="s">
        <v>456</v>
      </c>
      <c r="R192" s="5">
        <v>18.54</v>
      </c>
      <c r="S192" s="4">
        <v>45257</v>
      </c>
      <c r="T192" s="4">
        <v>45266</v>
      </c>
      <c r="U192" s="5">
        <f t="shared" si="8"/>
        <v>9</v>
      </c>
      <c r="V192" s="5" t="s">
        <v>59</v>
      </c>
      <c r="X192" s="5"/>
    </row>
    <row r="193" spans="1:24">
      <c r="A193" s="4">
        <v>45743</v>
      </c>
      <c r="B193" s="5" t="str">
        <f t="shared" si="6"/>
        <v>March</v>
      </c>
      <c r="C193" s="5" t="s">
        <v>16</v>
      </c>
      <c r="D193" s="5" t="s">
        <v>27</v>
      </c>
      <c r="E193" s="5">
        <v>5</v>
      </c>
      <c r="F193" s="5">
        <v>87.17</v>
      </c>
      <c r="G193" s="6">
        <f t="shared" si="7"/>
        <v>435.85</v>
      </c>
      <c r="H193" s="5" t="s">
        <v>81</v>
      </c>
      <c r="I193" s="5" t="s">
        <v>54</v>
      </c>
      <c r="J193" s="5">
        <v>0</v>
      </c>
      <c r="K193" s="5" t="s">
        <v>78</v>
      </c>
      <c r="L193" s="6">
        <v>435.85</v>
      </c>
      <c r="M193" s="5" t="s">
        <v>33</v>
      </c>
      <c r="N193" s="5"/>
      <c r="O193" s="5">
        <v>0</v>
      </c>
      <c r="P193" s="5" t="s">
        <v>457</v>
      </c>
      <c r="Q193" s="5" t="s">
        <v>458</v>
      </c>
      <c r="R193" s="5">
        <v>13.01</v>
      </c>
      <c r="S193" s="4">
        <v>45743</v>
      </c>
      <c r="T193" s="4">
        <v>45745</v>
      </c>
      <c r="U193" s="5">
        <f t="shared" si="8"/>
        <v>2</v>
      </c>
      <c r="V193" s="5" t="s">
        <v>59</v>
      </c>
      <c r="X193" s="5"/>
    </row>
    <row r="194" spans="1:24">
      <c r="A194" s="4">
        <v>45144</v>
      </c>
      <c r="B194" s="5" t="str">
        <f t="shared" si="6"/>
        <v>August</v>
      </c>
      <c r="C194" s="5" t="s">
        <v>17</v>
      </c>
      <c r="D194" s="5" t="s">
        <v>26</v>
      </c>
      <c r="E194" s="5">
        <v>7</v>
      </c>
      <c r="F194" s="5">
        <v>498.32</v>
      </c>
      <c r="G194" s="6">
        <f t="shared" si="7"/>
        <v>3488.24</v>
      </c>
      <c r="H194" s="5" t="s">
        <v>53</v>
      </c>
      <c r="I194" s="5" t="s">
        <v>54</v>
      </c>
      <c r="J194" s="5">
        <v>0.1</v>
      </c>
      <c r="K194" s="5" t="s">
        <v>63</v>
      </c>
      <c r="L194" s="6">
        <v>3139.416</v>
      </c>
      <c r="M194" s="5" t="s">
        <v>32</v>
      </c>
      <c r="N194" s="5" t="s">
        <v>69</v>
      </c>
      <c r="O194" s="5">
        <v>1</v>
      </c>
      <c r="P194" s="5" t="s">
        <v>459</v>
      </c>
      <c r="Q194" s="5" t="s">
        <v>460</v>
      </c>
      <c r="R194" s="5">
        <v>27.65</v>
      </c>
      <c r="S194" s="4">
        <v>45144</v>
      </c>
      <c r="T194" s="4">
        <v>45148</v>
      </c>
      <c r="U194" s="5">
        <f t="shared" si="8"/>
        <v>4</v>
      </c>
      <c r="V194" s="5" t="s">
        <v>67</v>
      </c>
      <c r="X194" s="5"/>
    </row>
    <row r="195" spans="1:24">
      <c r="A195" s="4">
        <v>45639</v>
      </c>
      <c r="B195" s="5" t="str">
        <f t="shared" ref="B195:B258" si="9">TEXT(A195,"mmmm")</f>
        <v>December</v>
      </c>
      <c r="C195" s="5" t="s">
        <v>17</v>
      </c>
      <c r="D195" s="5" t="s">
        <v>27</v>
      </c>
      <c r="E195" s="5">
        <v>15</v>
      </c>
      <c r="F195" s="5">
        <v>57.14</v>
      </c>
      <c r="G195" s="6">
        <f t="shared" ref="G195:G258" si="10">F195*E195</f>
        <v>857.1</v>
      </c>
      <c r="H195" s="5" t="s">
        <v>53</v>
      </c>
      <c r="I195" s="5" t="s">
        <v>54</v>
      </c>
      <c r="J195" s="5">
        <v>0.15</v>
      </c>
      <c r="K195" s="5" t="s">
        <v>78</v>
      </c>
      <c r="L195" s="6">
        <v>728.535</v>
      </c>
      <c r="M195" s="5" t="s">
        <v>33</v>
      </c>
      <c r="N195" s="5" t="s">
        <v>56</v>
      </c>
      <c r="O195" s="5">
        <v>0</v>
      </c>
      <c r="P195" s="5" t="s">
        <v>461</v>
      </c>
      <c r="Q195" s="5" t="s">
        <v>462</v>
      </c>
      <c r="R195" s="5">
        <v>7.02</v>
      </c>
      <c r="S195" s="4">
        <v>45639</v>
      </c>
      <c r="T195" s="4">
        <v>45648</v>
      </c>
      <c r="U195" s="5">
        <f t="shared" ref="U195:U258" si="11">T195-S195</f>
        <v>9</v>
      </c>
      <c r="V195" s="5" t="s">
        <v>67</v>
      </c>
      <c r="X195" s="5"/>
    </row>
    <row r="196" spans="1:24">
      <c r="A196" s="4">
        <v>45674</v>
      </c>
      <c r="B196" s="5" t="str">
        <f t="shared" si="9"/>
        <v>January</v>
      </c>
      <c r="C196" s="5" t="s">
        <v>19</v>
      </c>
      <c r="D196" s="5" t="s">
        <v>101</v>
      </c>
      <c r="E196" s="5">
        <v>18</v>
      </c>
      <c r="F196" s="5">
        <v>124.18</v>
      </c>
      <c r="G196" s="6">
        <f t="shared" si="10"/>
        <v>2235.24</v>
      </c>
      <c r="H196" s="5" t="s">
        <v>53</v>
      </c>
      <c r="I196" s="5" t="s">
        <v>54</v>
      </c>
      <c r="J196" s="5">
        <v>0.15</v>
      </c>
      <c r="K196" s="5" t="s">
        <v>78</v>
      </c>
      <c r="L196" s="6">
        <v>1899.954</v>
      </c>
      <c r="M196" s="5" t="s">
        <v>33</v>
      </c>
      <c r="N196" s="5" t="s">
        <v>64</v>
      </c>
      <c r="O196" s="5">
        <v>0</v>
      </c>
      <c r="P196" s="5" t="s">
        <v>463</v>
      </c>
      <c r="Q196" s="5" t="s">
        <v>464</v>
      </c>
      <c r="R196" s="5">
        <v>45.77</v>
      </c>
      <c r="S196" s="4">
        <v>45674</v>
      </c>
      <c r="T196" s="4">
        <v>45683</v>
      </c>
      <c r="U196" s="5">
        <f t="shared" si="11"/>
        <v>9</v>
      </c>
      <c r="V196" s="5" t="s">
        <v>76</v>
      </c>
      <c r="X196" s="5"/>
    </row>
    <row r="197" spans="1:24">
      <c r="A197" s="4">
        <v>45256</v>
      </c>
      <c r="B197" s="5" t="str">
        <f t="shared" si="9"/>
        <v>November</v>
      </c>
      <c r="C197" s="5" t="s">
        <v>20</v>
      </c>
      <c r="D197" s="5" t="s">
        <v>24</v>
      </c>
      <c r="E197" s="5">
        <v>12</v>
      </c>
      <c r="F197" s="5">
        <v>107.45</v>
      </c>
      <c r="G197" s="6">
        <f t="shared" si="10"/>
        <v>1289.4</v>
      </c>
      <c r="H197" s="5" t="s">
        <v>77</v>
      </c>
      <c r="I197" s="5" t="s">
        <v>62</v>
      </c>
      <c r="J197" s="5">
        <v>0.1</v>
      </c>
      <c r="K197" s="5" t="s">
        <v>89</v>
      </c>
      <c r="L197" s="6">
        <v>1160.46</v>
      </c>
      <c r="M197" s="5" t="s">
        <v>30</v>
      </c>
      <c r="N197" s="5" t="s">
        <v>56</v>
      </c>
      <c r="O197" s="5">
        <v>0</v>
      </c>
      <c r="P197" s="5" t="s">
        <v>465</v>
      </c>
      <c r="Q197" s="5" t="s">
        <v>466</v>
      </c>
      <c r="R197" s="5">
        <v>18.17</v>
      </c>
      <c r="S197" s="4">
        <v>45256</v>
      </c>
      <c r="T197" s="4">
        <v>45262</v>
      </c>
      <c r="U197" s="5">
        <f t="shared" si="11"/>
        <v>6</v>
      </c>
      <c r="V197" s="5" t="s">
        <v>94</v>
      </c>
      <c r="X197" s="5"/>
    </row>
    <row r="198" spans="1:24">
      <c r="A198" s="4">
        <v>44971</v>
      </c>
      <c r="B198" s="5" t="str">
        <f t="shared" si="9"/>
        <v>February</v>
      </c>
      <c r="C198" s="5" t="s">
        <v>16</v>
      </c>
      <c r="D198" s="5" t="s">
        <v>25</v>
      </c>
      <c r="E198" s="5">
        <v>8</v>
      </c>
      <c r="F198" s="5">
        <v>411.26</v>
      </c>
      <c r="G198" s="6">
        <f t="shared" si="10"/>
        <v>3290.08</v>
      </c>
      <c r="H198" s="5" t="s">
        <v>61</v>
      </c>
      <c r="I198" s="5" t="s">
        <v>62</v>
      </c>
      <c r="J198" s="5">
        <v>0.1</v>
      </c>
      <c r="K198" s="5" t="s">
        <v>73</v>
      </c>
      <c r="L198" s="6">
        <v>2961.072</v>
      </c>
      <c r="M198" s="5" t="s">
        <v>31</v>
      </c>
      <c r="N198" s="5" t="s">
        <v>69</v>
      </c>
      <c r="O198" s="5">
        <v>0</v>
      </c>
      <c r="P198" s="5" t="s">
        <v>467</v>
      </c>
      <c r="Q198" s="5" t="s">
        <v>468</v>
      </c>
      <c r="R198" s="5">
        <v>28.57</v>
      </c>
      <c r="S198" s="4">
        <v>44971</v>
      </c>
      <c r="T198" s="4">
        <v>44975</v>
      </c>
      <c r="U198" s="5">
        <f t="shared" si="11"/>
        <v>4</v>
      </c>
      <c r="V198" s="5" t="s">
        <v>59</v>
      </c>
      <c r="X198" s="5"/>
    </row>
    <row r="199" spans="1:24">
      <c r="A199" s="4">
        <v>45690</v>
      </c>
      <c r="B199" s="5" t="str">
        <f t="shared" si="9"/>
        <v>February</v>
      </c>
      <c r="C199" s="5" t="s">
        <v>19</v>
      </c>
      <c r="D199" s="5" t="s">
        <v>27</v>
      </c>
      <c r="E199" s="5">
        <v>7</v>
      </c>
      <c r="F199" s="5">
        <v>248.1</v>
      </c>
      <c r="G199" s="6">
        <f t="shared" si="10"/>
        <v>1736.7</v>
      </c>
      <c r="H199" s="5" t="s">
        <v>77</v>
      </c>
      <c r="I199" s="5" t="s">
        <v>62</v>
      </c>
      <c r="J199" s="5">
        <v>0</v>
      </c>
      <c r="K199" s="5" t="s">
        <v>82</v>
      </c>
      <c r="L199" s="6">
        <v>1736.7</v>
      </c>
      <c r="M199" s="5" t="s">
        <v>34</v>
      </c>
      <c r="N199" s="5" t="s">
        <v>69</v>
      </c>
      <c r="O199" s="5">
        <v>0</v>
      </c>
      <c r="P199" s="5" t="s">
        <v>469</v>
      </c>
      <c r="Q199" s="5" t="s">
        <v>470</v>
      </c>
      <c r="R199" s="5">
        <v>31.8</v>
      </c>
      <c r="S199" s="4">
        <v>45690</v>
      </c>
      <c r="T199" s="4">
        <v>45694</v>
      </c>
      <c r="U199" s="5">
        <f t="shared" si="11"/>
        <v>4</v>
      </c>
      <c r="V199" s="5" t="s">
        <v>76</v>
      </c>
      <c r="X199" s="5"/>
    </row>
    <row r="200" spans="1:24">
      <c r="A200" s="4">
        <v>45027</v>
      </c>
      <c r="B200" s="5" t="str">
        <f t="shared" si="9"/>
        <v>April</v>
      </c>
      <c r="C200" s="5" t="s">
        <v>20</v>
      </c>
      <c r="D200" s="5" t="s">
        <v>27</v>
      </c>
      <c r="E200" s="5">
        <v>3</v>
      </c>
      <c r="F200" s="5">
        <v>486.52</v>
      </c>
      <c r="G200" s="6">
        <f t="shared" si="10"/>
        <v>1459.56</v>
      </c>
      <c r="H200" s="5" t="s">
        <v>53</v>
      </c>
      <c r="I200" s="5" t="s">
        <v>54</v>
      </c>
      <c r="J200" s="5">
        <v>0.1</v>
      </c>
      <c r="K200" s="5" t="s">
        <v>78</v>
      </c>
      <c r="L200" s="6">
        <v>1313.604</v>
      </c>
      <c r="M200" s="5" t="s">
        <v>31</v>
      </c>
      <c r="N200" s="5"/>
      <c r="O200" s="5">
        <v>0</v>
      </c>
      <c r="P200" s="5" t="s">
        <v>471</v>
      </c>
      <c r="Q200" s="5" t="s">
        <v>472</v>
      </c>
      <c r="R200" s="5">
        <v>16.5</v>
      </c>
      <c r="S200" s="4">
        <v>45027</v>
      </c>
      <c r="T200" s="4">
        <v>45036</v>
      </c>
      <c r="U200" s="5">
        <f t="shared" si="11"/>
        <v>9</v>
      </c>
      <c r="V200" s="5" t="s">
        <v>94</v>
      </c>
      <c r="X200" s="5"/>
    </row>
    <row r="201" spans="1:24">
      <c r="A201" s="4">
        <v>45481</v>
      </c>
      <c r="B201" s="5" t="str">
        <f t="shared" si="9"/>
        <v>July</v>
      </c>
      <c r="C201" s="5" t="s">
        <v>18</v>
      </c>
      <c r="D201" s="5" t="s">
        <v>26</v>
      </c>
      <c r="E201" s="5">
        <v>18</v>
      </c>
      <c r="F201" s="5">
        <v>415.04</v>
      </c>
      <c r="G201" s="6">
        <f t="shared" si="10"/>
        <v>7470.72</v>
      </c>
      <c r="H201" s="5" t="s">
        <v>77</v>
      </c>
      <c r="I201" s="5" t="s">
        <v>54</v>
      </c>
      <c r="J201" s="5">
        <v>0.1</v>
      </c>
      <c r="K201" s="5" t="s">
        <v>55</v>
      </c>
      <c r="L201" s="6">
        <v>6723.648</v>
      </c>
      <c r="M201" s="5" t="s">
        <v>34</v>
      </c>
      <c r="N201" s="5" t="s">
        <v>69</v>
      </c>
      <c r="O201" s="5">
        <v>0</v>
      </c>
      <c r="P201" s="5" t="s">
        <v>473</v>
      </c>
      <c r="Q201" s="5" t="s">
        <v>474</v>
      </c>
      <c r="R201" s="5">
        <v>33.58</v>
      </c>
      <c r="S201" s="4">
        <v>45481</v>
      </c>
      <c r="T201" s="4">
        <v>45486</v>
      </c>
      <c r="U201" s="5">
        <f t="shared" si="11"/>
        <v>5</v>
      </c>
      <c r="V201" s="5" t="s">
        <v>72</v>
      </c>
      <c r="X201" s="5"/>
    </row>
    <row r="202" spans="1:24">
      <c r="A202" s="4">
        <v>44965</v>
      </c>
      <c r="B202" s="5" t="str">
        <f t="shared" si="9"/>
        <v>February</v>
      </c>
      <c r="C202" s="5" t="s">
        <v>19</v>
      </c>
      <c r="D202" s="5" t="s">
        <v>27</v>
      </c>
      <c r="E202" s="5">
        <v>19</v>
      </c>
      <c r="F202" s="5">
        <v>165.38</v>
      </c>
      <c r="G202" s="6">
        <f t="shared" si="10"/>
        <v>3142.22</v>
      </c>
      <c r="H202" s="5" t="s">
        <v>53</v>
      </c>
      <c r="I202" s="5" t="s">
        <v>54</v>
      </c>
      <c r="J202" s="5">
        <v>0.15</v>
      </c>
      <c r="K202" s="5" t="s">
        <v>63</v>
      </c>
      <c r="L202" s="6">
        <v>2670.887</v>
      </c>
      <c r="M202" s="5" t="s">
        <v>30</v>
      </c>
      <c r="N202" s="5"/>
      <c r="O202" s="5">
        <v>0</v>
      </c>
      <c r="P202" s="5" t="s">
        <v>475</v>
      </c>
      <c r="Q202" s="5" t="s">
        <v>476</v>
      </c>
      <c r="R202" s="5">
        <v>25.2</v>
      </c>
      <c r="S202" s="4">
        <v>44965</v>
      </c>
      <c r="T202" s="4">
        <v>44971</v>
      </c>
      <c r="U202" s="5">
        <f t="shared" si="11"/>
        <v>6</v>
      </c>
      <c r="V202" s="5" t="s">
        <v>76</v>
      </c>
      <c r="X202" s="5"/>
    </row>
    <row r="203" spans="1:24">
      <c r="A203" s="4">
        <v>45391</v>
      </c>
      <c r="B203" s="5" t="str">
        <f t="shared" si="9"/>
        <v>April</v>
      </c>
      <c r="C203" s="5" t="s">
        <v>20</v>
      </c>
      <c r="D203" s="5" t="s">
        <v>24</v>
      </c>
      <c r="E203" s="5">
        <v>2</v>
      </c>
      <c r="F203" s="5">
        <v>117.47</v>
      </c>
      <c r="G203" s="6">
        <f t="shared" si="10"/>
        <v>234.94</v>
      </c>
      <c r="H203" s="5" t="s">
        <v>77</v>
      </c>
      <c r="I203" s="5" t="s">
        <v>54</v>
      </c>
      <c r="J203" s="5">
        <v>0</v>
      </c>
      <c r="K203" s="5" t="s">
        <v>55</v>
      </c>
      <c r="L203" s="6">
        <v>234.94</v>
      </c>
      <c r="M203" s="5" t="s">
        <v>32</v>
      </c>
      <c r="N203" s="5" t="s">
        <v>56</v>
      </c>
      <c r="O203" s="5">
        <v>0</v>
      </c>
      <c r="P203" s="5" t="s">
        <v>477</v>
      </c>
      <c r="Q203" s="5" t="s">
        <v>478</v>
      </c>
      <c r="R203" s="5">
        <v>6.58</v>
      </c>
      <c r="S203" s="4">
        <v>45391</v>
      </c>
      <c r="T203" s="4">
        <v>45398</v>
      </c>
      <c r="U203" s="5">
        <f t="shared" si="11"/>
        <v>7</v>
      </c>
      <c r="V203" s="5" t="s">
        <v>94</v>
      </c>
      <c r="X203" s="5"/>
    </row>
    <row r="204" spans="1:24">
      <c r="A204" s="4">
        <v>45152</v>
      </c>
      <c r="B204" s="5" t="str">
        <f t="shared" si="9"/>
        <v>August</v>
      </c>
      <c r="C204" s="5" t="s">
        <v>19</v>
      </c>
      <c r="D204" s="5" t="s">
        <v>27</v>
      </c>
      <c r="E204" s="5">
        <v>9</v>
      </c>
      <c r="F204" s="5">
        <v>461.79</v>
      </c>
      <c r="G204" s="6">
        <f t="shared" si="10"/>
        <v>4156.11</v>
      </c>
      <c r="H204" s="5" t="s">
        <v>77</v>
      </c>
      <c r="I204" s="5" t="s">
        <v>54</v>
      </c>
      <c r="J204" s="5">
        <v>0.15</v>
      </c>
      <c r="K204" s="5" t="s">
        <v>73</v>
      </c>
      <c r="L204" s="6">
        <v>3532.6935</v>
      </c>
      <c r="M204" s="5" t="s">
        <v>31</v>
      </c>
      <c r="N204" s="5"/>
      <c r="O204" s="5">
        <v>0</v>
      </c>
      <c r="P204" s="5" t="s">
        <v>479</v>
      </c>
      <c r="Q204" s="5" t="s">
        <v>480</v>
      </c>
      <c r="R204" s="5">
        <v>47.81</v>
      </c>
      <c r="S204" s="4">
        <v>45152</v>
      </c>
      <c r="T204" s="4">
        <v>45156</v>
      </c>
      <c r="U204" s="5">
        <f t="shared" si="11"/>
        <v>4</v>
      </c>
      <c r="V204" s="5" t="s">
        <v>76</v>
      </c>
      <c r="X204" s="5"/>
    </row>
    <row r="205" spans="1:24">
      <c r="A205" s="4">
        <v>45537</v>
      </c>
      <c r="B205" s="5" t="str">
        <f t="shared" si="9"/>
        <v>September</v>
      </c>
      <c r="C205" s="5" t="s">
        <v>20</v>
      </c>
      <c r="D205" s="5" t="s">
        <v>101</v>
      </c>
      <c r="E205" s="5">
        <v>19</v>
      </c>
      <c r="F205" s="5">
        <v>208.72</v>
      </c>
      <c r="G205" s="6">
        <f t="shared" si="10"/>
        <v>3965.68</v>
      </c>
      <c r="H205" s="5" t="s">
        <v>81</v>
      </c>
      <c r="I205" s="5" t="s">
        <v>62</v>
      </c>
      <c r="J205" s="5">
        <v>0.05</v>
      </c>
      <c r="K205" s="5" t="s">
        <v>73</v>
      </c>
      <c r="L205" s="6">
        <v>3767.396</v>
      </c>
      <c r="M205" s="5" t="s">
        <v>32</v>
      </c>
      <c r="N205" s="5" t="s">
        <v>56</v>
      </c>
      <c r="O205" s="5">
        <v>0</v>
      </c>
      <c r="P205" s="5" t="s">
        <v>481</v>
      </c>
      <c r="Q205" s="5" t="s">
        <v>482</v>
      </c>
      <c r="R205" s="5">
        <v>38.41</v>
      </c>
      <c r="S205" s="4">
        <v>45537</v>
      </c>
      <c r="T205" s="4">
        <v>45541</v>
      </c>
      <c r="U205" s="5">
        <f t="shared" si="11"/>
        <v>4</v>
      </c>
      <c r="V205" s="5" t="s">
        <v>94</v>
      </c>
      <c r="X205" s="5"/>
    </row>
    <row r="206" spans="1:24">
      <c r="A206" s="4">
        <v>45837</v>
      </c>
      <c r="B206" s="5" t="str">
        <f t="shared" si="9"/>
        <v>June</v>
      </c>
      <c r="C206" s="5" t="s">
        <v>19</v>
      </c>
      <c r="D206" s="5" t="s">
        <v>26</v>
      </c>
      <c r="E206" s="5">
        <v>16</v>
      </c>
      <c r="F206" s="5">
        <v>278.13</v>
      </c>
      <c r="G206" s="6">
        <f t="shared" si="10"/>
        <v>4450.08</v>
      </c>
      <c r="H206" s="5" t="s">
        <v>61</v>
      </c>
      <c r="I206" s="5" t="s">
        <v>54</v>
      </c>
      <c r="J206" s="5">
        <v>0.15</v>
      </c>
      <c r="K206" s="5" t="s">
        <v>63</v>
      </c>
      <c r="L206" s="6">
        <v>3782.568</v>
      </c>
      <c r="M206" s="5" t="s">
        <v>34</v>
      </c>
      <c r="N206" s="5" t="s">
        <v>64</v>
      </c>
      <c r="O206" s="5">
        <v>0</v>
      </c>
      <c r="P206" s="5" t="s">
        <v>483</v>
      </c>
      <c r="Q206" s="5" t="s">
        <v>484</v>
      </c>
      <c r="R206" s="5">
        <v>24.29</v>
      </c>
      <c r="S206" s="4">
        <v>45837</v>
      </c>
      <c r="T206" s="4">
        <v>45842</v>
      </c>
      <c r="U206" s="5">
        <f t="shared" si="11"/>
        <v>5</v>
      </c>
      <c r="V206" s="5" t="s">
        <v>76</v>
      </c>
      <c r="X206" s="5"/>
    </row>
    <row r="207" spans="1:24">
      <c r="A207" s="4">
        <v>45749</v>
      </c>
      <c r="B207" s="5" t="str">
        <f t="shared" si="9"/>
        <v>April</v>
      </c>
      <c r="C207" s="5" t="s">
        <v>20</v>
      </c>
      <c r="D207" s="5" t="s">
        <v>22</v>
      </c>
      <c r="E207" s="5">
        <v>2</v>
      </c>
      <c r="F207" s="5">
        <v>580.19</v>
      </c>
      <c r="G207" s="6">
        <f t="shared" si="10"/>
        <v>1160.38</v>
      </c>
      <c r="H207" s="5" t="s">
        <v>53</v>
      </c>
      <c r="I207" s="5" t="s">
        <v>54</v>
      </c>
      <c r="J207" s="5">
        <v>0.05</v>
      </c>
      <c r="K207" s="5" t="s">
        <v>82</v>
      </c>
      <c r="L207" s="6">
        <v>1102.361</v>
      </c>
      <c r="M207" s="5" t="s">
        <v>33</v>
      </c>
      <c r="N207" s="5" t="s">
        <v>69</v>
      </c>
      <c r="O207" s="5">
        <v>0</v>
      </c>
      <c r="P207" s="5" t="s">
        <v>485</v>
      </c>
      <c r="Q207" s="5" t="s">
        <v>486</v>
      </c>
      <c r="R207" s="5">
        <v>7.33</v>
      </c>
      <c r="S207" s="4">
        <v>45749</v>
      </c>
      <c r="T207" s="4">
        <v>45755</v>
      </c>
      <c r="U207" s="5">
        <f t="shared" si="11"/>
        <v>6</v>
      </c>
      <c r="V207" s="5" t="s">
        <v>94</v>
      </c>
      <c r="X207" s="5"/>
    </row>
    <row r="208" spans="1:24">
      <c r="A208" s="4">
        <v>45043</v>
      </c>
      <c r="B208" s="5" t="str">
        <f t="shared" si="9"/>
        <v>April</v>
      </c>
      <c r="C208" s="5" t="s">
        <v>19</v>
      </c>
      <c r="D208" s="5" t="s">
        <v>101</v>
      </c>
      <c r="E208" s="5">
        <v>8</v>
      </c>
      <c r="F208" s="5">
        <v>536.43</v>
      </c>
      <c r="G208" s="6">
        <f t="shared" si="10"/>
        <v>4291.44</v>
      </c>
      <c r="H208" s="5" t="s">
        <v>53</v>
      </c>
      <c r="I208" s="5" t="s">
        <v>62</v>
      </c>
      <c r="J208" s="5">
        <v>0</v>
      </c>
      <c r="K208" s="5" t="s">
        <v>78</v>
      </c>
      <c r="L208" s="6">
        <v>4291.44</v>
      </c>
      <c r="M208" s="5" t="s">
        <v>34</v>
      </c>
      <c r="N208" s="5"/>
      <c r="O208" s="5">
        <v>1</v>
      </c>
      <c r="P208" s="5" t="s">
        <v>487</v>
      </c>
      <c r="Q208" s="5" t="s">
        <v>488</v>
      </c>
      <c r="R208" s="5">
        <v>14.58</v>
      </c>
      <c r="S208" s="4">
        <v>45043</v>
      </c>
      <c r="T208" s="4">
        <v>45053</v>
      </c>
      <c r="U208" s="5">
        <f t="shared" si="11"/>
        <v>10</v>
      </c>
      <c r="V208" s="5" t="s">
        <v>76</v>
      </c>
      <c r="X208" s="5"/>
    </row>
    <row r="209" spans="1:24">
      <c r="A209" s="4">
        <v>45511</v>
      </c>
      <c r="B209" s="5" t="str">
        <f t="shared" si="9"/>
        <v>August</v>
      </c>
      <c r="C209" s="5" t="s">
        <v>16</v>
      </c>
      <c r="D209" s="5" t="s">
        <v>23</v>
      </c>
      <c r="E209" s="5">
        <v>1</v>
      </c>
      <c r="F209" s="5">
        <v>94.33</v>
      </c>
      <c r="G209" s="6">
        <f t="shared" si="10"/>
        <v>94.33</v>
      </c>
      <c r="H209" s="5" t="s">
        <v>61</v>
      </c>
      <c r="I209" s="5" t="s">
        <v>54</v>
      </c>
      <c r="J209" s="5">
        <v>0</v>
      </c>
      <c r="K209" s="5" t="s">
        <v>78</v>
      </c>
      <c r="L209" s="6">
        <v>94.33</v>
      </c>
      <c r="M209" s="5" t="s">
        <v>30</v>
      </c>
      <c r="N209" s="5"/>
      <c r="O209" s="5">
        <v>0</v>
      </c>
      <c r="P209" s="5" t="s">
        <v>489</v>
      </c>
      <c r="Q209" s="5" t="s">
        <v>490</v>
      </c>
      <c r="R209" s="5">
        <v>49.17</v>
      </c>
      <c r="S209" s="4">
        <v>45511</v>
      </c>
      <c r="T209" s="4">
        <v>45521</v>
      </c>
      <c r="U209" s="5">
        <f t="shared" si="11"/>
        <v>10</v>
      </c>
      <c r="V209" s="5" t="s">
        <v>59</v>
      </c>
      <c r="X209" s="5"/>
    </row>
    <row r="210" spans="1:24">
      <c r="A210" s="4">
        <v>45031</v>
      </c>
      <c r="B210" s="5" t="str">
        <f t="shared" si="9"/>
        <v>April</v>
      </c>
      <c r="C210" s="5" t="s">
        <v>20</v>
      </c>
      <c r="D210" s="5" t="s">
        <v>22</v>
      </c>
      <c r="E210" s="5">
        <v>16</v>
      </c>
      <c r="F210" s="5">
        <v>489.94</v>
      </c>
      <c r="G210" s="6">
        <f t="shared" si="10"/>
        <v>7839.04</v>
      </c>
      <c r="H210" s="5" t="s">
        <v>77</v>
      </c>
      <c r="I210" s="5" t="s">
        <v>62</v>
      </c>
      <c r="J210" s="5">
        <v>0.1</v>
      </c>
      <c r="K210" s="5" t="s">
        <v>73</v>
      </c>
      <c r="L210" s="6">
        <v>7055.136</v>
      </c>
      <c r="M210" s="5" t="s">
        <v>34</v>
      </c>
      <c r="N210" s="5" t="s">
        <v>64</v>
      </c>
      <c r="O210" s="5">
        <v>0</v>
      </c>
      <c r="P210" s="5" t="s">
        <v>491</v>
      </c>
      <c r="Q210" s="5" t="s">
        <v>191</v>
      </c>
      <c r="R210" s="5">
        <v>9.69</v>
      </c>
      <c r="S210" s="4">
        <v>45031</v>
      </c>
      <c r="T210" s="4">
        <v>45041</v>
      </c>
      <c r="U210" s="5">
        <f t="shared" si="11"/>
        <v>10</v>
      </c>
      <c r="V210" s="5" t="s">
        <v>94</v>
      </c>
      <c r="X210" s="5"/>
    </row>
    <row r="211" spans="1:24">
      <c r="A211" s="4">
        <v>45150</v>
      </c>
      <c r="B211" s="5" t="str">
        <f t="shared" si="9"/>
        <v>August</v>
      </c>
      <c r="C211" s="5" t="s">
        <v>17</v>
      </c>
      <c r="D211" s="5" t="s">
        <v>24</v>
      </c>
      <c r="E211" s="5">
        <v>4</v>
      </c>
      <c r="F211" s="5">
        <v>551.71</v>
      </c>
      <c r="G211" s="6">
        <f t="shared" si="10"/>
        <v>2206.84</v>
      </c>
      <c r="H211" s="5" t="s">
        <v>61</v>
      </c>
      <c r="I211" s="5" t="s">
        <v>62</v>
      </c>
      <c r="J211" s="5">
        <v>0.05</v>
      </c>
      <c r="K211" s="5" t="s">
        <v>55</v>
      </c>
      <c r="L211" s="6">
        <v>2096.498</v>
      </c>
      <c r="M211" s="5" t="s">
        <v>31</v>
      </c>
      <c r="N211" s="5"/>
      <c r="O211" s="5">
        <v>1</v>
      </c>
      <c r="P211" s="5" t="s">
        <v>492</v>
      </c>
      <c r="Q211" s="5" t="s">
        <v>493</v>
      </c>
      <c r="R211" s="5">
        <v>26.32</v>
      </c>
      <c r="S211" s="4">
        <v>45150</v>
      </c>
      <c r="T211" s="4">
        <v>45153</v>
      </c>
      <c r="U211" s="5">
        <f t="shared" si="11"/>
        <v>3</v>
      </c>
      <c r="V211" s="5" t="s">
        <v>67</v>
      </c>
      <c r="X211" s="5"/>
    </row>
    <row r="212" spans="1:24">
      <c r="A212" s="4">
        <v>45096</v>
      </c>
      <c r="B212" s="5" t="str">
        <f t="shared" si="9"/>
        <v>June</v>
      </c>
      <c r="C212" s="5" t="s">
        <v>20</v>
      </c>
      <c r="D212" s="5" t="s">
        <v>27</v>
      </c>
      <c r="E212" s="5">
        <v>17</v>
      </c>
      <c r="F212" s="5">
        <v>595.57</v>
      </c>
      <c r="G212" s="6">
        <f t="shared" si="10"/>
        <v>10124.69</v>
      </c>
      <c r="H212" s="5" t="s">
        <v>81</v>
      </c>
      <c r="I212" s="5" t="s">
        <v>62</v>
      </c>
      <c r="J212" s="5">
        <v>0.15</v>
      </c>
      <c r="K212" s="5" t="s">
        <v>89</v>
      </c>
      <c r="L212" s="6">
        <v>8605.9865</v>
      </c>
      <c r="M212" s="5" t="s">
        <v>32</v>
      </c>
      <c r="N212" s="5" t="s">
        <v>69</v>
      </c>
      <c r="O212" s="5">
        <v>0</v>
      </c>
      <c r="P212" s="5" t="s">
        <v>494</v>
      </c>
      <c r="Q212" s="5" t="s">
        <v>495</v>
      </c>
      <c r="R212" s="5">
        <v>9.73</v>
      </c>
      <c r="S212" s="4">
        <v>45096</v>
      </c>
      <c r="T212" s="4">
        <v>45105</v>
      </c>
      <c r="U212" s="5">
        <f t="shared" si="11"/>
        <v>9</v>
      </c>
      <c r="V212" s="5" t="s">
        <v>94</v>
      </c>
      <c r="X212" s="5"/>
    </row>
    <row r="213" spans="1:24">
      <c r="A213" s="4">
        <v>45289</v>
      </c>
      <c r="B213" s="5" t="str">
        <f t="shared" si="9"/>
        <v>December</v>
      </c>
      <c r="C213" s="5" t="s">
        <v>16</v>
      </c>
      <c r="D213" s="5" t="s">
        <v>27</v>
      </c>
      <c r="E213" s="5">
        <v>1</v>
      </c>
      <c r="F213" s="5">
        <v>180.12</v>
      </c>
      <c r="G213" s="6">
        <f t="shared" si="10"/>
        <v>180.12</v>
      </c>
      <c r="H213" s="5" t="s">
        <v>61</v>
      </c>
      <c r="I213" s="5" t="s">
        <v>54</v>
      </c>
      <c r="J213" s="5">
        <v>0.1</v>
      </c>
      <c r="K213" s="5" t="s">
        <v>55</v>
      </c>
      <c r="L213" s="6">
        <v>162.108</v>
      </c>
      <c r="M213" s="5" t="s">
        <v>33</v>
      </c>
      <c r="N213" s="5"/>
      <c r="O213" s="5">
        <v>0</v>
      </c>
      <c r="P213" s="5" t="s">
        <v>496</v>
      </c>
      <c r="Q213" s="5" t="s">
        <v>497</v>
      </c>
      <c r="R213" s="5">
        <v>27.07</v>
      </c>
      <c r="S213" s="4">
        <v>45289</v>
      </c>
      <c r="T213" s="4">
        <v>45298</v>
      </c>
      <c r="U213" s="5">
        <f t="shared" si="11"/>
        <v>9</v>
      </c>
      <c r="V213" s="5" t="s">
        <v>59</v>
      </c>
      <c r="X213" s="5"/>
    </row>
    <row r="214" spans="1:24">
      <c r="A214" s="4">
        <v>45011</v>
      </c>
      <c r="B214" s="5" t="str">
        <f t="shared" si="9"/>
        <v>March</v>
      </c>
      <c r="C214" s="5" t="s">
        <v>16</v>
      </c>
      <c r="D214" s="5" t="s">
        <v>24</v>
      </c>
      <c r="E214" s="5">
        <v>12</v>
      </c>
      <c r="F214" s="5">
        <v>301.5</v>
      </c>
      <c r="G214" s="6">
        <f t="shared" si="10"/>
        <v>3618</v>
      </c>
      <c r="H214" s="5" t="s">
        <v>81</v>
      </c>
      <c r="I214" s="5" t="s">
        <v>62</v>
      </c>
      <c r="J214" s="5">
        <v>0.15</v>
      </c>
      <c r="K214" s="5" t="s">
        <v>89</v>
      </c>
      <c r="L214" s="6">
        <v>3075.3</v>
      </c>
      <c r="M214" s="5" t="s">
        <v>32</v>
      </c>
      <c r="N214" s="5" t="s">
        <v>56</v>
      </c>
      <c r="O214" s="5">
        <v>1</v>
      </c>
      <c r="P214" s="5" t="s">
        <v>498</v>
      </c>
      <c r="Q214" s="5" t="s">
        <v>499</v>
      </c>
      <c r="R214" s="5">
        <v>43.67</v>
      </c>
      <c r="S214" s="4">
        <v>45011</v>
      </c>
      <c r="T214" s="4">
        <v>45015</v>
      </c>
      <c r="U214" s="5">
        <f t="shared" si="11"/>
        <v>4</v>
      </c>
      <c r="V214" s="5" t="s">
        <v>59</v>
      </c>
      <c r="X214" s="5"/>
    </row>
    <row r="215" spans="1:24">
      <c r="A215" s="4">
        <v>45170</v>
      </c>
      <c r="B215" s="5" t="str">
        <f t="shared" si="9"/>
        <v>September</v>
      </c>
      <c r="C215" s="5" t="s">
        <v>17</v>
      </c>
      <c r="D215" s="5" t="s">
        <v>23</v>
      </c>
      <c r="E215" s="5">
        <v>20</v>
      </c>
      <c r="F215" s="5">
        <v>273.55</v>
      </c>
      <c r="G215" s="6">
        <f t="shared" si="10"/>
        <v>5471</v>
      </c>
      <c r="H215" s="5" t="s">
        <v>81</v>
      </c>
      <c r="I215" s="5" t="s">
        <v>62</v>
      </c>
      <c r="J215" s="5">
        <v>0.15</v>
      </c>
      <c r="K215" s="5" t="s">
        <v>73</v>
      </c>
      <c r="L215" s="6">
        <v>4650.35</v>
      </c>
      <c r="M215" s="5" t="s">
        <v>33</v>
      </c>
      <c r="N215" s="5"/>
      <c r="O215" s="5">
        <v>0</v>
      </c>
      <c r="P215" s="5" t="s">
        <v>500</v>
      </c>
      <c r="Q215" s="5" t="s">
        <v>501</v>
      </c>
      <c r="R215" s="5">
        <v>14.76</v>
      </c>
      <c r="S215" s="4">
        <v>45170</v>
      </c>
      <c r="T215" s="4">
        <v>45176</v>
      </c>
      <c r="U215" s="5">
        <f t="shared" si="11"/>
        <v>6</v>
      </c>
      <c r="V215" s="5" t="s">
        <v>67</v>
      </c>
      <c r="X215" s="5"/>
    </row>
    <row r="216" spans="1:24">
      <c r="A216" s="4">
        <v>45509</v>
      </c>
      <c r="B216" s="5" t="str">
        <f t="shared" si="9"/>
        <v>August</v>
      </c>
      <c r="C216" s="5" t="s">
        <v>20</v>
      </c>
      <c r="D216" s="5" t="s">
        <v>101</v>
      </c>
      <c r="E216" s="5">
        <v>6</v>
      </c>
      <c r="F216" s="5">
        <v>187.06</v>
      </c>
      <c r="G216" s="6">
        <f t="shared" si="10"/>
        <v>1122.36</v>
      </c>
      <c r="H216" s="5" t="s">
        <v>53</v>
      </c>
      <c r="I216" s="5" t="s">
        <v>54</v>
      </c>
      <c r="J216" s="5">
        <v>0.1</v>
      </c>
      <c r="K216" s="5" t="s">
        <v>73</v>
      </c>
      <c r="L216" s="6">
        <v>1010.124</v>
      </c>
      <c r="M216" s="5" t="s">
        <v>33</v>
      </c>
      <c r="N216" s="5" t="s">
        <v>56</v>
      </c>
      <c r="O216" s="5">
        <v>0</v>
      </c>
      <c r="P216" s="5" t="s">
        <v>502</v>
      </c>
      <c r="Q216" s="5" t="s">
        <v>503</v>
      </c>
      <c r="R216" s="5">
        <v>11.03</v>
      </c>
      <c r="S216" s="4">
        <v>45509</v>
      </c>
      <c r="T216" s="4">
        <v>45517</v>
      </c>
      <c r="U216" s="5">
        <f t="shared" si="11"/>
        <v>8</v>
      </c>
      <c r="V216" s="5" t="s">
        <v>94</v>
      </c>
      <c r="X216" s="5"/>
    </row>
    <row r="217" spans="1:24">
      <c r="A217" s="4">
        <v>45680</v>
      </c>
      <c r="B217" s="5" t="str">
        <f t="shared" si="9"/>
        <v>January</v>
      </c>
      <c r="C217" s="5" t="s">
        <v>18</v>
      </c>
      <c r="D217" s="5" t="s">
        <v>25</v>
      </c>
      <c r="E217" s="5">
        <v>16</v>
      </c>
      <c r="F217" s="5">
        <v>562.52</v>
      </c>
      <c r="G217" s="6">
        <f t="shared" si="10"/>
        <v>9000.32</v>
      </c>
      <c r="H217" s="5" t="s">
        <v>81</v>
      </c>
      <c r="I217" s="5" t="s">
        <v>62</v>
      </c>
      <c r="J217" s="5">
        <v>0</v>
      </c>
      <c r="K217" s="5" t="s">
        <v>73</v>
      </c>
      <c r="L217" s="6">
        <v>9000.32</v>
      </c>
      <c r="M217" s="5" t="s">
        <v>31</v>
      </c>
      <c r="N217" s="5"/>
      <c r="O217" s="5">
        <v>0</v>
      </c>
      <c r="P217" s="5" t="s">
        <v>504</v>
      </c>
      <c r="Q217" s="5" t="s">
        <v>505</v>
      </c>
      <c r="R217" s="5">
        <v>18.23</v>
      </c>
      <c r="S217" s="4">
        <v>45680</v>
      </c>
      <c r="T217" s="4">
        <v>45684</v>
      </c>
      <c r="U217" s="5">
        <f t="shared" si="11"/>
        <v>4</v>
      </c>
      <c r="V217" s="5" t="s">
        <v>72</v>
      </c>
      <c r="X217" s="5"/>
    </row>
    <row r="218" spans="1:24">
      <c r="A218" s="4">
        <v>45062</v>
      </c>
      <c r="B218" s="5" t="str">
        <f t="shared" si="9"/>
        <v>May</v>
      </c>
      <c r="C218" s="5" t="s">
        <v>16</v>
      </c>
      <c r="D218" s="5" t="s">
        <v>101</v>
      </c>
      <c r="E218" s="5">
        <v>4</v>
      </c>
      <c r="F218" s="5">
        <v>85.16</v>
      </c>
      <c r="G218" s="6">
        <f t="shared" si="10"/>
        <v>340.64</v>
      </c>
      <c r="H218" s="5" t="s">
        <v>81</v>
      </c>
      <c r="I218" s="5" t="s">
        <v>54</v>
      </c>
      <c r="J218" s="5">
        <v>0.1</v>
      </c>
      <c r="K218" s="5" t="s">
        <v>78</v>
      </c>
      <c r="L218" s="6">
        <v>306.576</v>
      </c>
      <c r="M218" s="5" t="s">
        <v>32</v>
      </c>
      <c r="N218" s="5"/>
      <c r="O218" s="5">
        <v>0</v>
      </c>
      <c r="P218" s="5" t="s">
        <v>506</v>
      </c>
      <c r="Q218" s="5" t="s">
        <v>507</v>
      </c>
      <c r="R218" s="5">
        <v>38.51</v>
      </c>
      <c r="S218" s="4">
        <v>45062</v>
      </c>
      <c r="T218" s="4">
        <v>45069</v>
      </c>
      <c r="U218" s="5">
        <f t="shared" si="11"/>
        <v>7</v>
      </c>
      <c r="V218" s="5" t="s">
        <v>59</v>
      </c>
      <c r="X218" s="5"/>
    </row>
    <row r="219" spans="1:24">
      <c r="A219" s="4">
        <v>44971</v>
      </c>
      <c r="B219" s="5" t="str">
        <f t="shared" si="9"/>
        <v>February</v>
      </c>
      <c r="C219" s="5" t="s">
        <v>18</v>
      </c>
      <c r="D219" s="5" t="s">
        <v>101</v>
      </c>
      <c r="E219" s="5">
        <v>12</v>
      </c>
      <c r="F219" s="5">
        <v>451.51</v>
      </c>
      <c r="G219" s="6">
        <f t="shared" si="10"/>
        <v>5418.12</v>
      </c>
      <c r="H219" s="5" t="s">
        <v>53</v>
      </c>
      <c r="I219" s="5" t="s">
        <v>54</v>
      </c>
      <c r="J219" s="5">
        <v>0.15</v>
      </c>
      <c r="K219" s="5" t="s">
        <v>78</v>
      </c>
      <c r="L219" s="6">
        <v>4605.402</v>
      </c>
      <c r="M219" s="5" t="s">
        <v>30</v>
      </c>
      <c r="N219" s="5" t="s">
        <v>69</v>
      </c>
      <c r="O219" s="5">
        <v>0</v>
      </c>
      <c r="P219" s="5" t="s">
        <v>508</v>
      </c>
      <c r="Q219" s="5" t="s">
        <v>509</v>
      </c>
      <c r="R219" s="5">
        <v>9.54</v>
      </c>
      <c r="S219" s="4">
        <v>44971</v>
      </c>
      <c r="T219" s="4">
        <v>44979</v>
      </c>
      <c r="U219" s="5">
        <f t="shared" si="11"/>
        <v>8</v>
      </c>
      <c r="V219" s="5" t="s">
        <v>72</v>
      </c>
      <c r="X219" s="5"/>
    </row>
    <row r="220" spans="1:24">
      <c r="A220" s="4">
        <v>45446</v>
      </c>
      <c r="B220" s="5" t="str">
        <f t="shared" si="9"/>
        <v>June</v>
      </c>
      <c r="C220" s="5" t="s">
        <v>19</v>
      </c>
      <c r="D220" s="5" t="s">
        <v>101</v>
      </c>
      <c r="E220" s="5">
        <v>1</v>
      </c>
      <c r="F220" s="5">
        <v>259.87</v>
      </c>
      <c r="G220" s="6">
        <f t="shared" si="10"/>
        <v>259.87</v>
      </c>
      <c r="H220" s="5" t="s">
        <v>81</v>
      </c>
      <c r="I220" s="5" t="s">
        <v>62</v>
      </c>
      <c r="J220" s="5">
        <v>0.15</v>
      </c>
      <c r="K220" s="5" t="s">
        <v>55</v>
      </c>
      <c r="L220" s="6">
        <v>220.8895</v>
      </c>
      <c r="M220" s="5" t="s">
        <v>31</v>
      </c>
      <c r="N220" s="5" t="s">
        <v>56</v>
      </c>
      <c r="O220" s="5">
        <v>0</v>
      </c>
      <c r="P220" s="5" t="s">
        <v>510</v>
      </c>
      <c r="Q220" s="5" t="s">
        <v>511</v>
      </c>
      <c r="R220" s="5">
        <v>19.2</v>
      </c>
      <c r="S220" s="4">
        <v>45446</v>
      </c>
      <c r="T220" s="4">
        <v>45455</v>
      </c>
      <c r="U220" s="5">
        <f t="shared" si="11"/>
        <v>9</v>
      </c>
      <c r="V220" s="5" t="s">
        <v>76</v>
      </c>
      <c r="X220" s="5"/>
    </row>
    <row r="221" spans="1:24">
      <c r="A221" s="4">
        <v>45238</v>
      </c>
      <c r="B221" s="5" t="str">
        <f t="shared" si="9"/>
        <v>November</v>
      </c>
      <c r="C221" s="5" t="s">
        <v>19</v>
      </c>
      <c r="D221" s="5" t="s">
        <v>101</v>
      </c>
      <c r="E221" s="5">
        <v>20</v>
      </c>
      <c r="F221" s="5">
        <v>268.25</v>
      </c>
      <c r="G221" s="6">
        <f t="shared" si="10"/>
        <v>5365</v>
      </c>
      <c r="H221" s="5" t="s">
        <v>81</v>
      </c>
      <c r="I221" s="5" t="s">
        <v>62</v>
      </c>
      <c r="J221" s="5">
        <v>0.05</v>
      </c>
      <c r="K221" s="5" t="s">
        <v>82</v>
      </c>
      <c r="L221" s="6">
        <v>5096.75</v>
      </c>
      <c r="M221" s="5" t="s">
        <v>34</v>
      </c>
      <c r="N221" s="5" t="s">
        <v>56</v>
      </c>
      <c r="O221" s="5">
        <v>0</v>
      </c>
      <c r="P221" s="5" t="s">
        <v>512</v>
      </c>
      <c r="Q221" s="5" t="s">
        <v>513</v>
      </c>
      <c r="R221" s="5">
        <v>20.96</v>
      </c>
      <c r="S221" s="4">
        <v>45238</v>
      </c>
      <c r="T221" s="4">
        <v>45245</v>
      </c>
      <c r="U221" s="5">
        <f t="shared" si="11"/>
        <v>7</v>
      </c>
      <c r="V221" s="5" t="s">
        <v>76</v>
      </c>
      <c r="X221" s="5"/>
    </row>
    <row r="222" spans="1:24">
      <c r="A222" s="4">
        <v>44950</v>
      </c>
      <c r="B222" s="5" t="str">
        <f t="shared" si="9"/>
        <v>January</v>
      </c>
      <c r="C222" s="5" t="s">
        <v>20</v>
      </c>
      <c r="D222" s="5" t="s">
        <v>23</v>
      </c>
      <c r="E222" s="5">
        <v>10</v>
      </c>
      <c r="F222" s="5">
        <v>266.13</v>
      </c>
      <c r="G222" s="6">
        <f t="shared" si="10"/>
        <v>2661.3</v>
      </c>
      <c r="H222" s="5" t="s">
        <v>53</v>
      </c>
      <c r="I222" s="5" t="s">
        <v>54</v>
      </c>
      <c r="J222" s="5">
        <v>0</v>
      </c>
      <c r="K222" s="5" t="s">
        <v>82</v>
      </c>
      <c r="L222" s="6">
        <v>2661.3</v>
      </c>
      <c r="M222" s="5" t="s">
        <v>31</v>
      </c>
      <c r="N222" s="5" t="s">
        <v>69</v>
      </c>
      <c r="O222" s="5">
        <v>0</v>
      </c>
      <c r="P222" s="5" t="s">
        <v>514</v>
      </c>
      <c r="Q222" s="5" t="s">
        <v>515</v>
      </c>
      <c r="R222" s="5">
        <v>21.01</v>
      </c>
      <c r="S222" s="4">
        <v>44950</v>
      </c>
      <c r="T222" s="4">
        <v>44952</v>
      </c>
      <c r="U222" s="5">
        <f t="shared" si="11"/>
        <v>2</v>
      </c>
      <c r="V222" s="5" t="s">
        <v>94</v>
      </c>
      <c r="X222" s="5"/>
    </row>
    <row r="223" spans="1:24">
      <c r="A223" s="4">
        <v>45736</v>
      </c>
      <c r="B223" s="5" t="str">
        <f t="shared" si="9"/>
        <v>March</v>
      </c>
      <c r="C223" s="5" t="s">
        <v>20</v>
      </c>
      <c r="D223" s="5" t="s">
        <v>22</v>
      </c>
      <c r="E223" s="5">
        <v>18</v>
      </c>
      <c r="F223" s="5">
        <v>493.06</v>
      </c>
      <c r="G223" s="6">
        <f t="shared" si="10"/>
        <v>8875.08</v>
      </c>
      <c r="H223" s="5" t="s">
        <v>81</v>
      </c>
      <c r="I223" s="5" t="s">
        <v>54</v>
      </c>
      <c r="J223" s="5">
        <v>0.05</v>
      </c>
      <c r="K223" s="5" t="s">
        <v>82</v>
      </c>
      <c r="L223" s="6">
        <v>8431.326</v>
      </c>
      <c r="M223" s="5" t="s">
        <v>34</v>
      </c>
      <c r="N223" s="5" t="s">
        <v>69</v>
      </c>
      <c r="O223" s="5">
        <v>1</v>
      </c>
      <c r="P223" s="5" t="s">
        <v>516</v>
      </c>
      <c r="Q223" s="5" t="s">
        <v>517</v>
      </c>
      <c r="R223" s="5">
        <v>46.87</v>
      </c>
      <c r="S223" s="4">
        <v>45736</v>
      </c>
      <c r="T223" s="4">
        <v>45744</v>
      </c>
      <c r="U223" s="5">
        <f t="shared" si="11"/>
        <v>8</v>
      </c>
      <c r="V223" s="5" t="s">
        <v>94</v>
      </c>
      <c r="X223" s="5"/>
    </row>
    <row r="224" spans="1:24">
      <c r="A224" s="4">
        <v>45344</v>
      </c>
      <c r="B224" s="5" t="str">
        <f t="shared" si="9"/>
        <v>February</v>
      </c>
      <c r="C224" s="5" t="s">
        <v>20</v>
      </c>
      <c r="D224" s="5" t="s">
        <v>26</v>
      </c>
      <c r="E224" s="5">
        <v>4</v>
      </c>
      <c r="F224" s="5">
        <v>36.82</v>
      </c>
      <c r="G224" s="6">
        <f t="shared" si="10"/>
        <v>147.28</v>
      </c>
      <c r="H224" s="5" t="s">
        <v>77</v>
      </c>
      <c r="I224" s="5" t="s">
        <v>54</v>
      </c>
      <c r="J224" s="5">
        <v>0.05</v>
      </c>
      <c r="K224" s="5" t="s">
        <v>73</v>
      </c>
      <c r="L224" s="6">
        <v>139.916</v>
      </c>
      <c r="M224" s="5" t="s">
        <v>32</v>
      </c>
      <c r="N224" s="5" t="s">
        <v>69</v>
      </c>
      <c r="O224" s="5">
        <v>1</v>
      </c>
      <c r="P224" s="5" t="s">
        <v>518</v>
      </c>
      <c r="Q224" s="5" t="s">
        <v>519</v>
      </c>
      <c r="R224" s="5">
        <v>24.86</v>
      </c>
      <c r="S224" s="4">
        <v>45344</v>
      </c>
      <c r="T224" s="4">
        <v>45352</v>
      </c>
      <c r="U224" s="5">
        <f t="shared" si="11"/>
        <v>8</v>
      </c>
      <c r="V224" s="5" t="s">
        <v>94</v>
      </c>
      <c r="X224" s="5"/>
    </row>
    <row r="225" spans="1:24">
      <c r="A225" s="4">
        <v>45749</v>
      </c>
      <c r="B225" s="5" t="str">
        <f t="shared" si="9"/>
        <v>April</v>
      </c>
      <c r="C225" s="5" t="s">
        <v>18</v>
      </c>
      <c r="D225" s="5" t="s">
        <v>27</v>
      </c>
      <c r="E225" s="5">
        <v>12</v>
      </c>
      <c r="F225" s="5">
        <v>413.45</v>
      </c>
      <c r="G225" s="6">
        <f t="shared" si="10"/>
        <v>4961.4</v>
      </c>
      <c r="H225" s="5" t="s">
        <v>81</v>
      </c>
      <c r="I225" s="5" t="s">
        <v>62</v>
      </c>
      <c r="J225" s="5">
        <v>0.15</v>
      </c>
      <c r="K225" s="5" t="s">
        <v>89</v>
      </c>
      <c r="L225" s="6">
        <v>4217.19</v>
      </c>
      <c r="M225" s="5" t="s">
        <v>34</v>
      </c>
      <c r="N225" s="5" t="s">
        <v>56</v>
      </c>
      <c r="O225" s="5">
        <v>0</v>
      </c>
      <c r="P225" s="5" t="s">
        <v>520</v>
      </c>
      <c r="Q225" s="5" t="s">
        <v>521</v>
      </c>
      <c r="R225" s="5">
        <v>23.25</v>
      </c>
      <c r="S225" s="4">
        <v>45749</v>
      </c>
      <c r="T225" s="4">
        <v>45757</v>
      </c>
      <c r="U225" s="5">
        <f t="shared" si="11"/>
        <v>8</v>
      </c>
      <c r="V225" s="5" t="s">
        <v>72</v>
      </c>
      <c r="X225" s="5"/>
    </row>
    <row r="226" spans="1:24">
      <c r="A226" s="4">
        <v>45820</v>
      </c>
      <c r="B226" s="5" t="str">
        <f t="shared" si="9"/>
        <v>June</v>
      </c>
      <c r="C226" s="5" t="s">
        <v>18</v>
      </c>
      <c r="D226" s="5" t="s">
        <v>25</v>
      </c>
      <c r="E226" s="5">
        <v>19</v>
      </c>
      <c r="F226" s="5">
        <v>446.25</v>
      </c>
      <c r="G226" s="6">
        <f t="shared" si="10"/>
        <v>8478.75</v>
      </c>
      <c r="H226" s="5" t="s">
        <v>53</v>
      </c>
      <c r="I226" s="5" t="s">
        <v>62</v>
      </c>
      <c r="J226" s="5">
        <v>0.1</v>
      </c>
      <c r="K226" s="5" t="s">
        <v>55</v>
      </c>
      <c r="L226" s="6">
        <v>7630.875</v>
      </c>
      <c r="M226" s="5" t="s">
        <v>31</v>
      </c>
      <c r="N226" s="5"/>
      <c r="O226" s="5">
        <v>0</v>
      </c>
      <c r="P226" s="5" t="s">
        <v>522</v>
      </c>
      <c r="Q226" s="5" t="s">
        <v>523</v>
      </c>
      <c r="R226" s="5">
        <v>14.88</v>
      </c>
      <c r="S226" s="4">
        <v>45820</v>
      </c>
      <c r="T226" s="4">
        <v>45826</v>
      </c>
      <c r="U226" s="5">
        <f t="shared" si="11"/>
        <v>6</v>
      </c>
      <c r="V226" s="5" t="s">
        <v>72</v>
      </c>
      <c r="X226" s="5"/>
    </row>
    <row r="227" spans="1:24">
      <c r="A227" s="4">
        <v>45059</v>
      </c>
      <c r="B227" s="5" t="str">
        <f t="shared" si="9"/>
        <v>May</v>
      </c>
      <c r="C227" s="5" t="s">
        <v>16</v>
      </c>
      <c r="D227" s="5" t="s">
        <v>22</v>
      </c>
      <c r="E227" s="5">
        <v>7</v>
      </c>
      <c r="F227" s="5">
        <v>82.77</v>
      </c>
      <c r="G227" s="6">
        <f t="shared" si="10"/>
        <v>579.39</v>
      </c>
      <c r="H227" s="5" t="s">
        <v>81</v>
      </c>
      <c r="I227" s="5" t="s">
        <v>54</v>
      </c>
      <c r="J227" s="5">
        <v>0.15</v>
      </c>
      <c r="K227" s="5" t="s">
        <v>73</v>
      </c>
      <c r="L227" s="6">
        <v>492.4815</v>
      </c>
      <c r="M227" s="5" t="s">
        <v>33</v>
      </c>
      <c r="N227" s="5" t="s">
        <v>64</v>
      </c>
      <c r="O227" s="5">
        <v>1</v>
      </c>
      <c r="P227" s="5" t="s">
        <v>524</v>
      </c>
      <c r="Q227" s="5" t="s">
        <v>525</v>
      </c>
      <c r="R227" s="5">
        <v>15.66</v>
      </c>
      <c r="S227" s="4">
        <v>45059</v>
      </c>
      <c r="T227" s="4">
        <v>45063</v>
      </c>
      <c r="U227" s="5">
        <f t="shared" si="11"/>
        <v>4</v>
      </c>
      <c r="V227" s="5" t="s">
        <v>59</v>
      </c>
      <c r="X227" s="5"/>
    </row>
    <row r="228" spans="1:24">
      <c r="A228" s="4">
        <v>45010</v>
      </c>
      <c r="B228" s="5" t="str">
        <f t="shared" si="9"/>
        <v>March</v>
      </c>
      <c r="C228" s="5" t="s">
        <v>17</v>
      </c>
      <c r="D228" s="5" t="s">
        <v>24</v>
      </c>
      <c r="E228" s="5">
        <v>17</v>
      </c>
      <c r="F228" s="5">
        <v>339.88</v>
      </c>
      <c r="G228" s="6">
        <f t="shared" si="10"/>
        <v>5777.96</v>
      </c>
      <c r="H228" s="5" t="s">
        <v>61</v>
      </c>
      <c r="I228" s="5" t="s">
        <v>62</v>
      </c>
      <c r="J228" s="5">
        <v>0</v>
      </c>
      <c r="K228" s="5" t="s">
        <v>63</v>
      </c>
      <c r="L228" s="6">
        <v>5777.96</v>
      </c>
      <c r="M228" s="5" t="s">
        <v>34</v>
      </c>
      <c r="N228" s="5"/>
      <c r="O228" s="5">
        <v>0</v>
      </c>
      <c r="P228" s="5" t="s">
        <v>526</v>
      </c>
      <c r="Q228" s="5" t="s">
        <v>527</v>
      </c>
      <c r="R228" s="5">
        <v>44.86</v>
      </c>
      <c r="S228" s="4">
        <v>45010</v>
      </c>
      <c r="T228" s="4">
        <v>45013</v>
      </c>
      <c r="U228" s="5">
        <f t="shared" si="11"/>
        <v>3</v>
      </c>
      <c r="V228" s="5" t="s">
        <v>67</v>
      </c>
      <c r="X228" s="5"/>
    </row>
    <row r="229" spans="1:24">
      <c r="A229" s="4">
        <v>45618</v>
      </c>
      <c r="B229" s="5" t="str">
        <f t="shared" si="9"/>
        <v>November</v>
      </c>
      <c r="C229" s="5" t="s">
        <v>17</v>
      </c>
      <c r="D229" s="5" t="s">
        <v>27</v>
      </c>
      <c r="E229" s="5">
        <v>19</v>
      </c>
      <c r="F229" s="5">
        <v>364.32</v>
      </c>
      <c r="G229" s="6">
        <f t="shared" si="10"/>
        <v>6922.08</v>
      </c>
      <c r="H229" s="5" t="s">
        <v>53</v>
      </c>
      <c r="I229" s="5" t="s">
        <v>62</v>
      </c>
      <c r="J229" s="5">
        <v>0.15</v>
      </c>
      <c r="K229" s="5" t="s">
        <v>73</v>
      </c>
      <c r="L229" s="6">
        <v>5883.768</v>
      </c>
      <c r="M229" s="5" t="s">
        <v>33</v>
      </c>
      <c r="N229" s="5"/>
      <c r="O229" s="5">
        <v>1</v>
      </c>
      <c r="P229" s="5" t="s">
        <v>528</v>
      </c>
      <c r="Q229" s="5" t="s">
        <v>529</v>
      </c>
      <c r="R229" s="5">
        <v>39.76</v>
      </c>
      <c r="S229" s="4">
        <v>45618</v>
      </c>
      <c r="T229" s="4">
        <v>45621</v>
      </c>
      <c r="U229" s="5">
        <f t="shared" si="11"/>
        <v>3</v>
      </c>
      <c r="V229" s="5" t="s">
        <v>67</v>
      </c>
      <c r="X229" s="5"/>
    </row>
    <row r="230" spans="1:24">
      <c r="A230" s="4">
        <v>45114</v>
      </c>
      <c r="B230" s="5" t="str">
        <f t="shared" si="9"/>
        <v>July</v>
      </c>
      <c r="C230" s="5" t="s">
        <v>16</v>
      </c>
      <c r="D230" s="5" t="s">
        <v>101</v>
      </c>
      <c r="E230" s="5">
        <v>3</v>
      </c>
      <c r="F230" s="5">
        <v>71.91</v>
      </c>
      <c r="G230" s="6">
        <f t="shared" si="10"/>
        <v>215.73</v>
      </c>
      <c r="H230" s="5" t="s">
        <v>53</v>
      </c>
      <c r="I230" s="5" t="s">
        <v>54</v>
      </c>
      <c r="J230" s="5">
        <v>0</v>
      </c>
      <c r="K230" s="5" t="s">
        <v>63</v>
      </c>
      <c r="L230" s="6">
        <v>215.73</v>
      </c>
      <c r="M230" s="5" t="s">
        <v>31</v>
      </c>
      <c r="N230" s="5" t="s">
        <v>69</v>
      </c>
      <c r="O230" s="5">
        <v>1</v>
      </c>
      <c r="P230" s="5" t="s">
        <v>530</v>
      </c>
      <c r="Q230" s="5" t="s">
        <v>531</v>
      </c>
      <c r="R230" s="5">
        <v>46.25</v>
      </c>
      <c r="S230" s="4">
        <v>45114</v>
      </c>
      <c r="T230" s="4">
        <v>45124</v>
      </c>
      <c r="U230" s="5">
        <f t="shared" si="11"/>
        <v>10</v>
      </c>
      <c r="V230" s="5" t="s">
        <v>59</v>
      </c>
      <c r="X230" s="5"/>
    </row>
    <row r="231" spans="1:24">
      <c r="A231" s="4">
        <v>45570</v>
      </c>
      <c r="B231" s="5" t="str">
        <f t="shared" si="9"/>
        <v>October</v>
      </c>
      <c r="C231" s="5" t="s">
        <v>16</v>
      </c>
      <c r="D231" s="5" t="s">
        <v>101</v>
      </c>
      <c r="E231" s="5">
        <v>20</v>
      </c>
      <c r="F231" s="5">
        <v>576.3</v>
      </c>
      <c r="G231" s="6">
        <f t="shared" si="10"/>
        <v>11526</v>
      </c>
      <c r="H231" s="5" t="s">
        <v>81</v>
      </c>
      <c r="I231" s="5" t="s">
        <v>54</v>
      </c>
      <c r="J231" s="5">
        <v>0.05</v>
      </c>
      <c r="K231" s="5" t="s">
        <v>55</v>
      </c>
      <c r="L231" s="6">
        <v>10949.7</v>
      </c>
      <c r="M231" s="5" t="s">
        <v>32</v>
      </c>
      <c r="N231" s="5"/>
      <c r="O231" s="5">
        <v>0</v>
      </c>
      <c r="P231" s="5" t="s">
        <v>532</v>
      </c>
      <c r="Q231" s="5" t="s">
        <v>533</v>
      </c>
      <c r="R231" s="5">
        <v>25.22</v>
      </c>
      <c r="S231" s="4">
        <v>45570</v>
      </c>
      <c r="T231" s="4">
        <v>45574</v>
      </c>
      <c r="U231" s="5">
        <f t="shared" si="11"/>
        <v>4</v>
      </c>
      <c r="V231" s="5" t="s">
        <v>59</v>
      </c>
      <c r="X231" s="5"/>
    </row>
    <row r="232" spans="1:24">
      <c r="A232" s="4">
        <v>45382</v>
      </c>
      <c r="B232" s="5" t="str">
        <f t="shared" si="9"/>
        <v>March</v>
      </c>
      <c r="C232" s="5" t="s">
        <v>20</v>
      </c>
      <c r="D232" s="5" t="s">
        <v>22</v>
      </c>
      <c r="E232" s="5">
        <v>7</v>
      </c>
      <c r="F232" s="5">
        <v>120.6</v>
      </c>
      <c r="G232" s="6">
        <f t="shared" si="10"/>
        <v>844.2</v>
      </c>
      <c r="H232" s="5" t="s">
        <v>53</v>
      </c>
      <c r="I232" s="5" t="s">
        <v>54</v>
      </c>
      <c r="J232" s="5">
        <v>0</v>
      </c>
      <c r="K232" s="5" t="s">
        <v>82</v>
      </c>
      <c r="L232" s="6">
        <v>844.2</v>
      </c>
      <c r="M232" s="5" t="s">
        <v>30</v>
      </c>
      <c r="N232" s="5" t="s">
        <v>69</v>
      </c>
      <c r="O232" s="5">
        <v>0</v>
      </c>
      <c r="P232" s="5" t="s">
        <v>534</v>
      </c>
      <c r="Q232" s="5" t="s">
        <v>535</v>
      </c>
      <c r="R232" s="5">
        <v>43.8</v>
      </c>
      <c r="S232" s="4">
        <v>45382</v>
      </c>
      <c r="T232" s="4">
        <v>45390</v>
      </c>
      <c r="U232" s="5">
        <f t="shared" si="11"/>
        <v>8</v>
      </c>
      <c r="V232" s="5" t="s">
        <v>94</v>
      </c>
      <c r="X232" s="5"/>
    </row>
    <row r="233" spans="1:24">
      <c r="A233" s="4">
        <v>45748</v>
      </c>
      <c r="B233" s="5" t="str">
        <f t="shared" si="9"/>
        <v>April</v>
      </c>
      <c r="C233" s="5" t="s">
        <v>20</v>
      </c>
      <c r="D233" s="5" t="s">
        <v>27</v>
      </c>
      <c r="E233" s="5">
        <v>8</v>
      </c>
      <c r="F233" s="5">
        <v>96.19</v>
      </c>
      <c r="G233" s="6">
        <f t="shared" si="10"/>
        <v>769.52</v>
      </c>
      <c r="H233" s="5" t="s">
        <v>61</v>
      </c>
      <c r="I233" s="5" t="s">
        <v>54</v>
      </c>
      <c r="J233" s="5">
        <v>0.05</v>
      </c>
      <c r="K233" s="5" t="s">
        <v>78</v>
      </c>
      <c r="L233" s="6">
        <v>731.044</v>
      </c>
      <c r="M233" s="5" t="s">
        <v>33</v>
      </c>
      <c r="N233" s="5" t="s">
        <v>64</v>
      </c>
      <c r="O233" s="5">
        <v>0</v>
      </c>
      <c r="P233" s="5" t="s">
        <v>536</v>
      </c>
      <c r="Q233" s="5" t="s">
        <v>537</v>
      </c>
      <c r="R233" s="5">
        <v>34.07</v>
      </c>
      <c r="S233" s="4">
        <v>45748</v>
      </c>
      <c r="T233" s="4">
        <v>45751</v>
      </c>
      <c r="U233" s="5">
        <f t="shared" si="11"/>
        <v>3</v>
      </c>
      <c r="V233" s="5" t="s">
        <v>94</v>
      </c>
      <c r="X233" s="5"/>
    </row>
    <row r="234" spans="1:24">
      <c r="A234" s="4">
        <v>45161</v>
      </c>
      <c r="B234" s="5" t="str">
        <f t="shared" si="9"/>
        <v>August</v>
      </c>
      <c r="C234" s="5" t="s">
        <v>20</v>
      </c>
      <c r="D234" s="5" t="s">
        <v>27</v>
      </c>
      <c r="E234" s="5">
        <v>14</v>
      </c>
      <c r="F234" s="5">
        <v>471.17</v>
      </c>
      <c r="G234" s="6">
        <f t="shared" si="10"/>
        <v>6596.38</v>
      </c>
      <c r="H234" s="5" t="s">
        <v>61</v>
      </c>
      <c r="I234" s="5" t="s">
        <v>54</v>
      </c>
      <c r="J234" s="5">
        <v>0.05</v>
      </c>
      <c r="K234" s="5" t="s">
        <v>78</v>
      </c>
      <c r="L234" s="6">
        <v>6266.561</v>
      </c>
      <c r="M234" s="5" t="s">
        <v>31</v>
      </c>
      <c r="N234" s="5" t="s">
        <v>56</v>
      </c>
      <c r="O234" s="5">
        <v>0</v>
      </c>
      <c r="P234" s="5" t="s">
        <v>538</v>
      </c>
      <c r="Q234" s="5" t="s">
        <v>539</v>
      </c>
      <c r="R234" s="5">
        <v>26.38</v>
      </c>
      <c r="S234" s="4">
        <v>45161</v>
      </c>
      <c r="T234" s="4">
        <v>45164</v>
      </c>
      <c r="U234" s="5">
        <f t="shared" si="11"/>
        <v>3</v>
      </c>
      <c r="V234" s="5" t="s">
        <v>94</v>
      </c>
      <c r="X234" s="5"/>
    </row>
    <row r="235" spans="1:24">
      <c r="A235" s="4">
        <v>45518</v>
      </c>
      <c r="B235" s="5" t="str">
        <f t="shared" si="9"/>
        <v>August</v>
      </c>
      <c r="C235" s="5" t="s">
        <v>17</v>
      </c>
      <c r="D235" s="5" t="s">
        <v>23</v>
      </c>
      <c r="E235" s="5">
        <v>20</v>
      </c>
      <c r="F235" s="5">
        <v>14.33</v>
      </c>
      <c r="G235" s="6">
        <f t="shared" si="10"/>
        <v>286.6</v>
      </c>
      <c r="H235" s="5" t="s">
        <v>81</v>
      </c>
      <c r="I235" s="5" t="s">
        <v>54</v>
      </c>
      <c r="J235" s="5">
        <v>0.1</v>
      </c>
      <c r="K235" s="5" t="s">
        <v>78</v>
      </c>
      <c r="L235" s="6">
        <v>257.94</v>
      </c>
      <c r="M235" s="5" t="s">
        <v>33</v>
      </c>
      <c r="N235" s="5"/>
      <c r="O235" s="5">
        <v>0</v>
      </c>
      <c r="P235" s="5" t="s">
        <v>540</v>
      </c>
      <c r="Q235" s="5" t="s">
        <v>541</v>
      </c>
      <c r="R235" s="5">
        <v>6.22</v>
      </c>
      <c r="S235" s="4">
        <v>45518</v>
      </c>
      <c r="T235" s="4">
        <v>45525</v>
      </c>
      <c r="U235" s="5">
        <f t="shared" si="11"/>
        <v>7</v>
      </c>
      <c r="V235" s="5" t="s">
        <v>67</v>
      </c>
      <c r="X235" s="5"/>
    </row>
    <row r="236" spans="1:24">
      <c r="A236" s="4">
        <v>45702</v>
      </c>
      <c r="B236" s="5" t="str">
        <f t="shared" si="9"/>
        <v>February</v>
      </c>
      <c r="C236" s="5" t="s">
        <v>19</v>
      </c>
      <c r="D236" s="5" t="s">
        <v>101</v>
      </c>
      <c r="E236" s="5">
        <v>18</v>
      </c>
      <c r="F236" s="5">
        <v>499.61</v>
      </c>
      <c r="G236" s="6">
        <f t="shared" si="10"/>
        <v>8992.98</v>
      </c>
      <c r="H236" s="5" t="s">
        <v>53</v>
      </c>
      <c r="I236" s="5" t="s">
        <v>62</v>
      </c>
      <c r="J236" s="5">
        <v>0.15</v>
      </c>
      <c r="K236" s="5" t="s">
        <v>63</v>
      </c>
      <c r="L236" s="6">
        <v>7644.033</v>
      </c>
      <c r="M236" s="5" t="s">
        <v>33</v>
      </c>
      <c r="N236" s="5"/>
      <c r="O236" s="5">
        <v>0</v>
      </c>
      <c r="P236" s="5" t="s">
        <v>542</v>
      </c>
      <c r="Q236" s="5" t="s">
        <v>543</v>
      </c>
      <c r="R236" s="5">
        <v>9.64</v>
      </c>
      <c r="S236" s="4">
        <v>45702</v>
      </c>
      <c r="T236" s="4">
        <v>45707</v>
      </c>
      <c r="U236" s="5">
        <f t="shared" si="11"/>
        <v>5</v>
      </c>
      <c r="V236" s="5" t="s">
        <v>76</v>
      </c>
      <c r="X236" s="5"/>
    </row>
    <row r="237" spans="1:24">
      <c r="A237" s="4">
        <v>45241</v>
      </c>
      <c r="B237" s="5" t="str">
        <f t="shared" si="9"/>
        <v>November</v>
      </c>
      <c r="C237" s="5" t="s">
        <v>20</v>
      </c>
      <c r="D237" s="5" t="s">
        <v>26</v>
      </c>
      <c r="E237" s="5">
        <v>14</v>
      </c>
      <c r="F237" s="5">
        <v>16.33</v>
      </c>
      <c r="G237" s="6">
        <f t="shared" si="10"/>
        <v>228.62</v>
      </c>
      <c r="H237" s="5" t="s">
        <v>53</v>
      </c>
      <c r="I237" s="5" t="s">
        <v>54</v>
      </c>
      <c r="J237" s="5">
        <v>0.1</v>
      </c>
      <c r="K237" s="5" t="s">
        <v>82</v>
      </c>
      <c r="L237" s="6">
        <v>205.758</v>
      </c>
      <c r="M237" s="5" t="s">
        <v>33</v>
      </c>
      <c r="N237" s="5" t="s">
        <v>69</v>
      </c>
      <c r="O237" s="5">
        <v>0</v>
      </c>
      <c r="P237" s="5" t="s">
        <v>544</v>
      </c>
      <c r="Q237" s="5" t="s">
        <v>545</v>
      </c>
      <c r="R237" s="5">
        <v>22.72</v>
      </c>
      <c r="S237" s="4">
        <v>45241</v>
      </c>
      <c r="T237" s="4">
        <v>45246</v>
      </c>
      <c r="U237" s="5">
        <f t="shared" si="11"/>
        <v>5</v>
      </c>
      <c r="V237" s="5" t="s">
        <v>94</v>
      </c>
      <c r="X237" s="5"/>
    </row>
    <row r="238" spans="1:24">
      <c r="A238" s="4">
        <v>45383</v>
      </c>
      <c r="B238" s="5" t="str">
        <f t="shared" si="9"/>
        <v>April</v>
      </c>
      <c r="C238" s="5" t="s">
        <v>19</v>
      </c>
      <c r="D238" s="5" t="s">
        <v>24</v>
      </c>
      <c r="E238" s="5">
        <v>17</v>
      </c>
      <c r="F238" s="5">
        <v>480.62</v>
      </c>
      <c r="G238" s="6">
        <f t="shared" si="10"/>
        <v>8170.54</v>
      </c>
      <c r="H238" s="5" t="s">
        <v>77</v>
      </c>
      <c r="I238" s="5" t="s">
        <v>54</v>
      </c>
      <c r="J238" s="5">
        <v>0.15</v>
      </c>
      <c r="K238" s="5" t="s">
        <v>78</v>
      </c>
      <c r="L238" s="6">
        <v>6944.959</v>
      </c>
      <c r="M238" s="5" t="s">
        <v>30</v>
      </c>
      <c r="N238" s="5" t="s">
        <v>56</v>
      </c>
      <c r="O238" s="5">
        <v>0</v>
      </c>
      <c r="P238" s="5" t="s">
        <v>546</v>
      </c>
      <c r="Q238" s="5" t="s">
        <v>547</v>
      </c>
      <c r="R238" s="5">
        <v>37.09</v>
      </c>
      <c r="S238" s="4">
        <v>45383</v>
      </c>
      <c r="T238" s="4">
        <v>45391</v>
      </c>
      <c r="U238" s="5">
        <f t="shared" si="11"/>
        <v>8</v>
      </c>
      <c r="V238" s="5" t="s">
        <v>76</v>
      </c>
      <c r="X238" s="5"/>
    </row>
    <row r="239" spans="1:24">
      <c r="A239" s="4">
        <v>45456</v>
      </c>
      <c r="B239" s="5" t="str">
        <f t="shared" si="9"/>
        <v>June</v>
      </c>
      <c r="C239" s="5" t="s">
        <v>17</v>
      </c>
      <c r="D239" s="5" t="s">
        <v>25</v>
      </c>
      <c r="E239" s="5">
        <v>5</v>
      </c>
      <c r="F239" s="5">
        <v>555.84</v>
      </c>
      <c r="G239" s="6">
        <f t="shared" si="10"/>
        <v>2779.2</v>
      </c>
      <c r="H239" s="5" t="s">
        <v>77</v>
      </c>
      <c r="I239" s="5" t="s">
        <v>62</v>
      </c>
      <c r="J239" s="5">
        <v>0.05</v>
      </c>
      <c r="K239" s="5" t="s">
        <v>82</v>
      </c>
      <c r="L239" s="6">
        <v>2640.24</v>
      </c>
      <c r="M239" s="5" t="s">
        <v>32</v>
      </c>
      <c r="N239" s="5"/>
      <c r="O239" s="5">
        <v>0</v>
      </c>
      <c r="P239" s="5" t="s">
        <v>548</v>
      </c>
      <c r="Q239" s="5" t="s">
        <v>549</v>
      </c>
      <c r="R239" s="5">
        <v>29.4</v>
      </c>
      <c r="S239" s="4">
        <v>45456</v>
      </c>
      <c r="T239" s="4">
        <v>45463</v>
      </c>
      <c r="U239" s="5">
        <f t="shared" si="11"/>
        <v>7</v>
      </c>
      <c r="V239" s="5" t="s">
        <v>67</v>
      </c>
      <c r="X239" s="5"/>
    </row>
    <row r="240" spans="1:24">
      <c r="A240" s="4">
        <v>45258</v>
      </c>
      <c r="B240" s="5" t="str">
        <f t="shared" si="9"/>
        <v>November</v>
      </c>
      <c r="C240" s="5" t="s">
        <v>18</v>
      </c>
      <c r="D240" s="5" t="s">
        <v>25</v>
      </c>
      <c r="E240" s="5">
        <v>18</v>
      </c>
      <c r="F240" s="5">
        <v>174.03</v>
      </c>
      <c r="G240" s="6">
        <f t="shared" si="10"/>
        <v>3132.54</v>
      </c>
      <c r="H240" s="5" t="s">
        <v>53</v>
      </c>
      <c r="I240" s="5" t="s">
        <v>54</v>
      </c>
      <c r="J240" s="5">
        <v>0.1</v>
      </c>
      <c r="K240" s="5" t="s">
        <v>73</v>
      </c>
      <c r="L240" s="6">
        <v>2819.286</v>
      </c>
      <c r="M240" s="5" t="s">
        <v>30</v>
      </c>
      <c r="N240" s="5" t="s">
        <v>64</v>
      </c>
      <c r="O240" s="5">
        <v>0</v>
      </c>
      <c r="P240" s="5" t="s">
        <v>550</v>
      </c>
      <c r="Q240" s="5" t="s">
        <v>551</v>
      </c>
      <c r="R240" s="5">
        <v>32.19</v>
      </c>
      <c r="S240" s="4">
        <v>45258</v>
      </c>
      <c r="T240" s="4">
        <v>45263</v>
      </c>
      <c r="U240" s="5">
        <f t="shared" si="11"/>
        <v>5</v>
      </c>
      <c r="V240" s="5" t="s">
        <v>72</v>
      </c>
      <c r="X240" s="5"/>
    </row>
    <row r="241" spans="1:24">
      <c r="A241" s="4">
        <v>45607</v>
      </c>
      <c r="B241" s="5" t="str">
        <f t="shared" si="9"/>
        <v>November</v>
      </c>
      <c r="C241" s="5" t="s">
        <v>19</v>
      </c>
      <c r="D241" s="5" t="s">
        <v>24</v>
      </c>
      <c r="E241" s="5">
        <v>11</v>
      </c>
      <c r="F241" s="5">
        <v>286.05</v>
      </c>
      <c r="G241" s="6">
        <f t="shared" si="10"/>
        <v>3146.55</v>
      </c>
      <c r="H241" s="5" t="s">
        <v>61</v>
      </c>
      <c r="I241" s="5" t="s">
        <v>62</v>
      </c>
      <c r="J241" s="5">
        <v>0.1</v>
      </c>
      <c r="K241" s="5" t="s">
        <v>89</v>
      </c>
      <c r="L241" s="6">
        <v>2831.895</v>
      </c>
      <c r="M241" s="5" t="s">
        <v>33</v>
      </c>
      <c r="N241" s="5"/>
      <c r="O241" s="5">
        <v>1</v>
      </c>
      <c r="P241" s="5" t="s">
        <v>552</v>
      </c>
      <c r="Q241" s="5" t="s">
        <v>553</v>
      </c>
      <c r="R241" s="5">
        <v>8.59</v>
      </c>
      <c r="S241" s="4">
        <v>45607</v>
      </c>
      <c r="T241" s="4">
        <v>45612</v>
      </c>
      <c r="U241" s="5">
        <f t="shared" si="11"/>
        <v>5</v>
      </c>
      <c r="V241" s="5" t="s">
        <v>76</v>
      </c>
      <c r="X241" s="5"/>
    </row>
    <row r="242" spans="1:24">
      <c r="A242" s="4">
        <v>45600</v>
      </c>
      <c r="B242" s="5" t="str">
        <f t="shared" si="9"/>
        <v>November</v>
      </c>
      <c r="C242" s="5" t="s">
        <v>18</v>
      </c>
      <c r="D242" s="5" t="s">
        <v>24</v>
      </c>
      <c r="E242" s="5">
        <v>16</v>
      </c>
      <c r="F242" s="5">
        <v>40.73</v>
      </c>
      <c r="G242" s="6">
        <f t="shared" si="10"/>
        <v>651.68</v>
      </c>
      <c r="H242" s="5" t="s">
        <v>81</v>
      </c>
      <c r="I242" s="5" t="s">
        <v>62</v>
      </c>
      <c r="J242" s="5">
        <v>0</v>
      </c>
      <c r="K242" s="5" t="s">
        <v>63</v>
      </c>
      <c r="L242" s="6">
        <v>651.68</v>
      </c>
      <c r="M242" s="5" t="s">
        <v>32</v>
      </c>
      <c r="N242" s="5"/>
      <c r="O242" s="5">
        <v>0</v>
      </c>
      <c r="P242" s="5" t="s">
        <v>554</v>
      </c>
      <c r="Q242" s="5" t="s">
        <v>555</v>
      </c>
      <c r="R242" s="5">
        <v>24.72</v>
      </c>
      <c r="S242" s="4">
        <v>45600</v>
      </c>
      <c r="T242" s="4">
        <v>45604</v>
      </c>
      <c r="U242" s="5">
        <f t="shared" si="11"/>
        <v>4</v>
      </c>
      <c r="V242" s="5" t="s">
        <v>72</v>
      </c>
      <c r="X242" s="5"/>
    </row>
    <row r="243" spans="1:24">
      <c r="A243" s="4">
        <v>44927</v>
      </c>
      <c r="B243" s="5" t="str">
        <f t="shared" si="9"/>
        <v>January</v>
      </c>
      <c r="C243" s="5" t="s">
        <v>19</v>
      </c>
      <c r="D243" s="5" t="s">
        <v>25</v>
      </c>
      <c r="E243" s="5">
        <v>11</v>
      </c>
      <c r="F243" s="5">
        <v>468.22</v>
      </c>
      <c r="G243" s="6">
        <f t="shared" si="10"/>
        <v>5150.42</v>
      </c>
      <c r="H243" s="5" t="s">
        <v>81</v>
      </c>
      <c r="I243" s="5" t="s">
        <v>62</v>
      </c>
      <c r="J243" s="5">
        <v>0</v>
      </c>
      <c r="K243" s="5" t="s">
        <v>78</v>
      </c>
      <c r="L243" s="6">
        <v>5150.42</v>
      </c>
      <c r="M243" s="5" t="s">
        <v>33</v>
      </c>
      <c r="N243" s="5" t="s">
        <v>69</v>
      </c>
      <c r="O243" s="5">
        <v>0</v>
      </c>
      <c r="P243" s="5" t="s">
        <v>556</v>
      </c>
      <c r="Q243" s="5" t="s">
        <v>557</v>
      </c>
      <c r="R243" s="5">
        <v>19.92</v>
      </c>
      <c r="S243" s="4">
        <v>44927</v>
      </c>
      <c r="T243" s="4">
        <v>44937</v>
      </c>
      <c r="U243" s="5">
        <f t="shared" si="11"/>
        <v>10</v>
      </c>
      <c r="V243" s="5" t="s">
        <v>76</v>
      </c>
      <c r="X243" s="5"/>
    </row>
    <row r="244" spans="1:24">
      <c r="A244" s="4">
        <v>45675</v>
      </c>
      <c r="B244" s="5" t="str">
        <f t="shared" si="9"/>
        <v>January</v>
      </c>
      <c r="C244" s="5" t="s">
        <v>18</v>
      </c>
      <c r="D244" s="5" t="s">
        <v>101</v>
      </c>
      <c r="E244" s="5">
        <v>1</v>
      </c>
      <c r="F244" s="5">
        <v>411.54</v>
      </c>
      <c r="G244" s="6">
        <f t="shared" si="10"/>
        <v>411.54</v>
      </c>
      <c r="H244" s="5" t="s">
        <v>77</v>
      </c>
      <c r="I244" s="5" t="s">
        <v>62</v>
      </c>
      <c r="J244" s="5">
        <v>0.1</v>
      </c>
      <c r="K244" s="5" t="s">
        <v>55</v>
      </c>
      <c r="L244" s="6">
        <v>370.386</v>
      </c>
      <c r="M244" s="5" t="s">
        <v>31</v>
      </c>
      <c r="N244" s="5" t="s">
        <v>69</v>
      </c>
      <c r="O244" s="5">
        <v>0</v>
      </c>
      <c r="P244" s="5" t="s">
        <v>558</v>
      </c>
      <c r="Q244" s="5" t="s">
        <v>559</v>
      </c>
      <c r="R244" s="5">
        <v>7.46</v>
      </c>
      <c r="S244" s="4">
        <v>45675</v>
      </c>
      <c r="T244" s="4">
        <v>45677</v>
      </c>
      <c r="U244" s="5">
        <f t="shared" si="11"/>
        <v>2</v>
      </c>
      <c r="V244" s="5" t="s">
        <v>72</v>
      </c>
      <c r="X244" s="5"/>
    </row>
    <row r="245" spans="1:24">
      <c r="A245" s="4">
        <v>45048</v>
      </c>
      <c r="B245" s="5" t="str">
        <f t="shared" si="9"/>
        <v>May</v>
      </c>
      <c r="C245" s="5" t="s">
        <v>19</v>
      </c>
      <c r="D245" s="5" t="s">
        <v>27</v>
      </c>
      <c r="E245" s="5">
        <v>13</v>
      </c>
      <c r="F245" s="5">
        <v>134.2</v>
      </c>
      <c r="G245" s="6">
        <f t="shared" si="10"/>
        <v>1744.6</v>
      </c>
      <c r="H245" s="5" t="s">
        <v>61</v>
      </c>
      <c r="I245" s="5" t="s">
        <v>54</v>
      </c>
      <c r="J245" s="5">
        <v>0.05</v>
      </c>
      <c r="K245" s="5" t="s">
        <v>55</v>
      </c>
      <c r="L245" s="6">
        <v>1657.37</v>
      </c>
      <c r="M245" s="5" t="s">
        <v>32</v>
      </c>
      <c r="N245" s="5" t="s">
        <v>69</v>
      </c>
      <c r="O245" s="5">
        <v>0</v>
      </c>
      <c r="P245" s="5" t="s">
        <v>560</v>
      </c>
      <c r="Q245" s="5" t="s">
        <v>561</v>
      </c>
      <c r="R245" s="5">
        <v>9.6</v>
      </c>
      <c r="S245" s="4">
        <v>45048</v>
      </c>
      <c r="T245" s="4">
        <v>45056</v>
      </c>
      <c r="U245" s="5">
        <f t="shared" si="11"/>
        <v>8</v>
      </c>
      <c r="V245" s="5" t="s">
        <v>76</v>
      </c>
      <c r="X245" s="5"/>
    </row>
    <row r="246" spans="1:24">
      <c r="A246" s="4">
        <v>45804</v>
      </c>
      <c r="B246" s="5" t="str">
        <f t="shared" si="9"/>
        <v>May</v>
      </c>
      <c r="C246" s="5" t="s">
        <v>20</v>
      </c>
      <c r="D246" s="5" t="s">
        <v>27</v>
      </c>
      <c r="E246" s="5">
        <v>10</v>
      </c>
      <c r="F246" s="5">
        <v>351.23</v>
      </c>
      <c r="G246" s="6">
        <f t="shared" si="10"/>
        <v>3512.3</v>
      </c>
      <c r="H246" s="5" t="s">
        <v>53</v>
      </c>
      <c r="I246" s="5" t="s">
        <v>62</v>
      </c>
      <c r="J246" s="5">
        <v>0.15</v>
      </c>
      <c r="K246" s="5" t="s">
        <v>73</v>
      </c>
      <c r="L246" s="6">
        <v>2985.455</v>
      </c>
      <c r="M246" s="5" t="s">
        <v>30</v>
      </c>
      <c r="N246" s="5"/>
      <c r="O246" s="5">
        <v>0</v>
      </c>
      <c r="P246" s="5" t="s">
        <v>562</v>
      </c>
      <c r="Q246" s="5" t="s">
        <v>563</v>
      </c>
      <c r="R246" s="5">
        <v>42.74</v>
      </c>
      <c r="S246" s="4">
        <v>45804</v>
      </c>
      <c r="T246" s="4">
        <v>45810</v>
      </c>
      <c r="U246" s="5">
        <f t="shared" si="11"/>
        <v>6</v>
      </c>
      <c r="V246" s="5" t="s">
        <v>94</v>
      </c>
      <c r="X246" s="5"/>
    </row>
    <row r="247" spans="1:24">
      <c r="A247" s="4">
        <v>45653</v>
      </c>
      <c r="B247" s="5" t="str">
        <f t="shared" si="9"/>
        <v>December</v>
      </c>
      <c r="C247" s="5" t="s">
        <v>17</v>
      </c>
      <c r="D247" s="5" t="s">
        <v>26</v>
      </c>
      <c r="E247" s="5">
        <v>14</v>
      </c>
      <c r="F247" s="5">
        <v>551.14</v>
      </c>
      <c r="G247" s="6">
        <f t="shared" si="10"/>
        <v>7715.96</v>
      </c>
      <c r="H247" s="5" t="s">
        <v>77</v>
      </c>
      <c r="I247" s="5" t="s">
        <v>54</v>
      </c>
      <c r="J247" s="5">
        <v>0.1</v>
      </c>
      <c r="K247" s="5" t="s">
        <v>82</v>
      </c>
      <c r="L247" s="6">
        <v>6944.364</v>
      </c>
      <c r="M247" s="5" t="s">
        <v>30</v>
      </c>
      <c r="N247" s="5" t="s">
        <v>56</v>
      </c>
      <c r="O247" s="5">
        <v>1</v>
      </c>
      <c r="P247" s="5" t="s">
        <v>564</v>
      </c>
      <c r="Q247" s="5" t="s">
        <v>565</v>
      </c>
      <c r="R247" s="5">
        <v>12.35</v>
      </c>
      <c r="S247" s="4">
        <v>45653</v>
      </c>
      <c r="T247" s="4">
        <v>45662</v>
      </c>
      <c r="U247" s="5">
        <f t="shared" si="11"/>
        <v>9</v>
      </c>
      <c r="V247" s="5" t="s">
        <v>67</v>
      </c>
      <c r="X247" s="5"/>
    </row>
    <row r="248" spans="1:24">
      <c r="A248" s="4">
        <v>45734</v>
      </c>
      <c r="B248" s="5" t="str">
        <f t="shared" si="9"/>
        <v>March</v>
      </c>
      <c r="C248" s="5" t="s">
        <v>20</v>
      </c>
      <c r="D248" s="5" t="s">
        <v>25</v>
      </c>
      <c r="E248" s="5">
        <v>2</v>
      </c>
      <c r="F248" s="5">
        <v>131.13</v>
      </c>
      <c r="G248" s="6">
        <f t="shared" si="10"/>
        <v>262.26</v>
      </c>
      <c r="H248" s="5" t="s">
        <v>53</v>
      </c>
      <c r="I248" s="5" t="s">
        <v>62</v>
      </c>
      <c r="J248" s="5">
        <v>0.1</v>
      </c>
      <c r="K248" s="5" t="s">
        <v>55</v>
      </c>
      <c r="L248" s="6">
        <v>236.034</v>
      </c>
      <c r="M248" s="5" t="s">
        <v>33</v>
      </c>
      <c r="N248" s="5"/>
      <c r="O248" s="5">
        <v>0</v>
      </c>
      <c r="P248" s="5" t="s">
        <v>566</v>
      </c>
      <c r="Q248" s="5" t="s">
        <v>567</v>
      </c>
      <c r="R248" s="5">
        <v>14.74</v>
      </c>
      <c r="S248" s="4">
        <v>45734</v>
      </c>
      <c r="T248" s="4">
        <v>45740</v>
      </c>
      <c r="U248" s="5">
        <f t="shared" si="11"/>
        <v>6</v>
      </c>
      <c r="V248" s="5" t="s">
        <v>94</v>
      </c>
      <c r="X248" s="5"/>
    </row>
    <row r="249" spans="1:24">
      <c r="A249" s="4">
        <v>45375</v>
      </c>
      <c r="B249" s="5" t="str">
        <f t="shared" si="9"/>
        <v>March</v>
      </c>
      <c r="C249" s="5" t="s">
        <v>16</v>
      </c>
      <c r="D249" s="5" t="s">
        <v>22</v>
      </c>
      <c r="E249" s="5">
        <v>6</v>
      </c>
      <c r="F249" s="5">
        <v>595.11</v>
      </c>
      <c r="G249" s="6">
        <f t="shared" si="10"/>
        <v>3570.66</v>
      </c>
      <c r="H249" s="5" t="s">
        <v>77</v>
      </c>
      <c r="I249" s="5" t="s">
        <v>54</v>
      </c>
      <c r="J249" s="5">
        <v>0</v>
      </c>
      <c r="K249" s="5" t="s">
        <v>82</v>
      </c>
      <c r="L249" s="6">
        <v>3570.66</v>
      </c>
      <c r="M249" s="5" t="s">
        <v>34</v>
      </c>
      <c r="N249" s="5" t="s">
        <v>64</v>
      </c>
      <c r="O249" s="5">
        <v>1</v>
      </c>
      <c r="P249" s="5" t="s">
        <v>568</v>
      </c>
      <c r="Q249" s="5" t="s">
        <v>183</v>
      </c>
      <c r="R249" s="5">
        <v>28.92</v>
      </c>
      <c r="S249" s="4">
        <v>45375</v>
      </c>
      <c r="T249" s="4">
        <v>45382</v>
      </c>
      <c r="U249" s="5">
        <f t="shared" si="11"/>
        <v>7</v>
      </c>
      <c r="V249" s="5" t="s">
        <v>59</v>
      </c>
      <c r="X249" s="5"/>
    </row>
    <row r="250" spans="1:24">
      <c r="A250" s="4">
        <v>45652</v>
      </c>
      <c r="B250" s="5" t="str">
        <f t="shared" si="9"/>
        <v>December</v>
      </c>
      <c r="C250" s="5" t="s">
        <v>16</v>
      </c>
      <c r="D250" s="5" t="s">
        <v>22</v>
      </c>
      <c r="E250" s="5">
        <v>6</v>
      </c>
      <c r="F250" s="5">
        <v>516.66</v>
      </c>
      <c r="G250" s="6">
        <f t="shared" si="10"/>
        <v>3099.96</v>
      </c>
      <c r="H250" s="5" t="s">
        <v>77</v>
      </c>
      <c r="I250" s="5" t="s">
        <v>54</v>
      </c>
      <c r="J250" s="5">
        <v>0.05</v>
      </c>
      <c r="K250" s="5" t="s">
        <v>89</v>
      </c>
      <c r="L250" s="6">
        <v>2944.962</v>
      </c>
      <c r="M250" s="5" t="s">
        <v>30</v>
      </c>
      <c r="N250" s="5"/>
      <c r="O250" s="5">
        <v>1</v>
      </c>
      <c r="P250" s="5" t="s">
        <v>569</v>
      </c>
      <c r="Q250" s="5" t="s">
        <v>365</v>
      </c>
      <c r="R250" s="5">
        <v>5.15</v>
      </c>
      <c r="S250" s="4">
        <v>45652</v>
      </c>
      <c r="T250" s="4">
        <v>45660</v>
      </c>
      <c r="U250" s="5">
        <f t="shared" si="11"/>
        <v>8</v>
      </c>
      <c r="V250" s="5" t="s">
        <v>59</v>
      </c>
      <c r="X250" s="5"/>
    </row>
    <row r="251" spans="1:24">
      <c r="A251" s="4">
        <v>44937</v>
      </c>
      <c r="B251" s="5" t="str">
        <f t="shared" si="9"/>
        <v>January</v>
      </c>
      <c r="C251" s="5" t="s">
        <v>18</v>
      </c>
      <c r="D251" s="5" t="s">
        <v>24</v>
      </c>
      <c r="E251" s="5">
        <v>6</v>
      </c>
      <c r="F251" s="5">
        <v>202.57</v>
      </c>
      <c r="G251" s="6">
        <f t="shared" si="10"/>
        <v>1215.42</v>
      </c>
      <c r="H251" s="5" t="s">
        <v>81</v>
      </c>
      <c r="I251" s="5" t="s">
        <v>62</v>
      </c>
      <c r="J251" s="5">
        <v>0.05</v>
      </c>
      <c r="K251" s="5" t="s">
        <v>55</v>
      </c>
      <c r="L251" s="6">
        <v>1154.649</v>
      </c>
      <c r="M251" s="5" t="s">
        <v>31</v>
      </c>
      <c r="N251" s="5" t="s">
        <v>56</v>
      </c>
      <c r="O251" s="5">
        <v>0</v>
      </c>
      <c r="P251" s="5" t="s">
        <v>570</v>
      </c>
      <c r="Q251" s="5" t="s">
        <v>571</v>
      </c>
      <c r="R251" s="5">
        <v>24.39</v>
      </c>
      <c r="S251" s="4">
        <v>44937</v>
      </c>
      <c r="T251" s="4">
        <v>44940</v>
      </c>
      <c r="U251" s="5">
        <f t="shared" si="11"/>
        <v>3</v>
      </c>
      <c r="V251" s="5" t="s">
        <v>72</v>
      </c>
      <c r="X251" s="5"/>
    </row>
    <row r="252" spans="1:24">
      <c r="A252" s="4">
        <v>45809</v>
      </c>
      <c r="B252" s="5" t="str">
        <f t="shared" si="9"/>
        <v>June</v>
      </c>
      <c r="C252" s="5" t="s">
        <v>17</v>
      </c>
      <c r="D252" s="5" t="s">
        <v>22</v>
      </c>
      <c r="E252" s="5">
        <v>13</v>
      </c>
      <c r="F252" s="5">
        <v>306.16</v>
      </c>
      <c r="G252" s="6">
        <f t="shared" si="10"/>
        <v>3980.08</v>
      </c>
      <c r="H252" s="5" t="s">
        <v>61</v>
      </c>
      <c r="I252" s="5" t="s">
        <v>54</v>
      </c>
      <c r="J252" s="5">
        <v>0.15</v>
      </c>
      <c r="K252" s="5" t="s">
        <v>73</v>
      </c>
      <c r="L252" s="6">
        <v>3383.068</v>
      </c>
      <c r="M252" s="5" t="s">
        <v>34</v>
      </c>
      <c r="N252" s="5" t="s">
        <v>64</v>
      </c>
      <c r="O252" s="5">
        <v>0</v>
      </c>
      <c r="P252" s="5" t="s">
        <v>572</v>
      </c>
      <c r="Q252" s="5" t="s">
        <v>573</v>
      </c>
      <c r="R252" s="5">
        <v>25.16</v>
      </c>
      <c r="S252" s="4">
        <v>45809</v>
      </c>
      <c r="T252" s="4">
        <v>45818</v>
      </c>
      <c r="U252" s="5">
        <f t="shared" si="11"/>
        <v>9</v>
      </c>
      <c r="V252" s="5" t="s">
        <v>67</v>
      </c>
      <c r="X252" s="5"/>
    </row>
    <row r="253" spans="1:24">
      <c r="A253" s="4">
        <v>45561</v>
      </c>
      <c r="B253" s="5" t="str">
        <f t="shared" si="9"/>
        <v>September</v>
      </c>
      <c r="C253" s="5" t="s">
        <v>16</v>
      </c>
      <c r="D253" s="5" t="s">
        <v>24</v>
      </c>
      <c r="E253" s="5">
        <v>11</v>
      </c>
      <c r="F253" s="5">
        <v>472.74</v>
      </c>
      <c r="G253" s="6">
        <f t="shared" si="10"/>
        <v>5200.14</v>
      </c>
      <c r="H253" s="5" t="s">
        <v>81</v>
      </c>
      <c r="I253" s="5" t="s">
        <v>62</v>
      </c>
      <c r="J253" s="5">
        <v>0.15</v>
      </c>
      <c r="K253" s="5" t="s">
        <v>78</v>
      </c>
      <c r="L253" s="6">
        <v>4420.119</v>
      </c>
      <c r="M253" s="5" t="s">
        <v>32</v>
      </c>
      <c r="N253" s="5"/>
      <c r="O253" s="5">
        <v>1</v>
      </c>
      <c r="P253" s="5" t="s">
        <v>574</v>
      </c>
      <c r="Q253" s="5" t="s">
        <v>575</v>
      </c>
      <c r="R253" s="5">
        <v>16.8</v>
      </c>
      <c r="S253" s="4">
        <v>45561</v>
      </c>
      <c r="T253" s="4">
        <v>45566</v>
      </c>
      <c r="U253" s="5">
        <f t="shared" si="11"/>
        <v>5</v>
      </c>
      <c r="V253" s="5" t="s">
        <v>59</v>
      </c>
      <c r="X253" s="5"/>
    </row>
    <row r="254" spans="1:24">
      <c r="A254" s="4">
        <v>45514</v>
      </c>
      <c r="B254" s="5" t="str">
        <f t="shared" si="9"/>
        <v>August</v>
      </c>
      <c r="C254" s="5" t="s">
        <v>16</v>
      </c>
      <c r="D254" s="5" t="s">
        <v>23</v>
      </c>
      <c r="E254" s="5">
        <v>20</v>
      </c>
      <c r="F254" s="5">
        <v>337.37</v>
      </c>
      <c r="G254" s="6">
        <f t="shared" si="10"/>
        <v>6747.4</v>
      </c>
      <c r="H254" s="5" t="s">
        <v>77</v>
      </c>
      <c r="I254" s="5" t="s">
        <v>62</v>
      </c>
      <c r="J254" s="5">
        <v>0.1</v>
      </c>
      <c r="K254" s="5" t="s">
        <v>82</v>
      </c>
      <c r="L254" s="6">
        <v>6072.66</v>
      </c>
      <c r="M254" s="5" t="s">
        <v>31</v>
      </c>
      <c r="N254" s="5"/>
      <c r="O254" s="5">
        <v>0</v>
      </c>
      <c r="P254" s="5" t="s">
        <v>576</v>
      </c>
      <c r="Q254" s="5" t="s">
        <v>577</v>
      </c>
      <c r="R254" s="5">
        <v>43.17</v>
      </c>
      <c r="S254" s="4">
        <v>45514</v>
      </c>
      <c r="T254" s="4">
        <v>45521</v>
      </c>
      <c r="U254" s="5">
        <f t="shared" si="11"/>
        <v>7</v>
      </c>
      <c r="V254" s="5" t="s">
        <v>59</v>
      </c>
      <c r="X254" s="5"/>
    </row>
    <row r="255" spans="1:24">
      <c r="A255" s="4">
        <v>45718</v>
      </c>
      <c r="B255" s="5" t="str">
        <f t="shared" si="9"/>
        <v>March</v>
      </c>
      <c r="C255" s="5" t="s">
        <v>17</v>
      </c>
      <c r="D255" s="5" t="s">
        <v>23</v>
      </c>
      <c r="E255" s="5">
        <v>12</v>
      </c>
      <c r="F255" s="5">
        <v>34.24</v>
      </c>
      <c r="G255" s="6">
        <f t="shared" si="10"/>
        <v>410.88</v>
      </c>
      <c r="H255" s="5" t="s">
        <v>77</v>
      </c>
      <c r="I255" s="5" t="s">
        <v>62</v>
      </c>
      <c r="J255" s="5">
        <v>0.1</v>
      </c>
      <c r="K255" s="5" t="s">
        <v>73</v>
      </c>
      <c r="L255" s="6">
        <v>369.792</v>
      </c>
      <c r="M255" s="5" t="s">
        <v>34</v>
      </c>
      <c r="N255" s="5"/>
      <c r="O255" s="5">
        <v>0</v>
      </c>
      <c r="P255" s="5" t="s">
        <v>578</v>
      </c>
      <c r="Q255" s="5" t="s">
        <v>579</v>
      </c>
      <c r="R255" s="5">
        <v>17.64</v>
      </c>
      <c r="S255" s="4">
        <v>45718</v>
      </c>
      <c r="T255" s="4">
        <v>45726</v>
      </c>
      <c r="U255" s="5">
        <f t="shared" si="11"/>
        <v>8</v>
      </c>
      <c r="V255" s="5" t="s">
        <v>67</v>
      </c>
      <c r="X255" s="5"/>
    </row>
    <row r="256" spans="1:24">
      <c r="A256" s="4">
        <v>44978</v>
      </c>
      <c r="B256" s="5" t="str">
        <f t="shared" si="9"/>
        <v>February</v>
      </c>
      <c r="C256" s="5" t="s">
        <v>16</v>
      </c>
      <c r="D256" s="5" t="s">
        <v>101</v>
      </c>
      <c r="E256" s="5">
        <v>4</v>
      </c>
      <c r="F256" s="5">
        <v>477.05</v>
      </c>
      <c r="G256" s="6">
        <f t="shared" si="10"/>
        <v>1908.2</v>
      </c>
      <c r="H256" s="5" t="s">
        <v>53</v>
      </c>
      <c r="I256" s="5" t="s">
        <v>54</v>
      </c>
      <c r="J256" s="5">
        <v>0</v>
      </c>
      <c r="K256" s="5" t="s">
        <v>78</v>
      </c>
      <c r="L256" s="6">
        <v>1908.2</v>
      </c>
      <c r="M256" s="5" t="s">
        <v>32</v>
      </c>
      <c r="N256" s="5" t="s">
        <v>69</v>
      </c>
      <c r="O256" s="5">
        <v>0</v>
      </c>
      <c r="P256" s="5" t="s">
        <v>580</v>
      </c>
      <c r="Q256" s="5" t="s">
        <v>581</v>
      </c>
      <c r="R256" s="5">
        <v>45.54</v>
      </c>
      <c r="S256" s="4">
        <v>44978</v>
      </c>
      <c r="T256" s="4">
        <v>44987</v>
      </c>
      <c r="U256" s="5">
        <f t="shared" si="11"/>
        <v>9</v>
      </c>
      <c r="V256" s="5" t="s">
        <v>59</v>
      </c>
      <c r="X256" s="5"/>
    </row>
    <row r="257" spans="1:24">
      <c r="A257" s="4">
        <v>45616</v>
      </c>
      <c r="B257" s="5" t="str">
        <f t="shared" si="9"/>
        <v>November</v>
      </c>
      <c r="C257" s="5" t="s">
        <v>16</v>
      </c>
      <c r="D257" s="5" t="s">
        <v>22</v>
      </c>
      <c r="E257" s="5">
        <v>6</v>
      </c>
      <c r="F257" s="5">
        <v>562.93</v>
      </c>
      <c r="G257" s="6">
        <f t="shared" si="10"/>
        <v>3377.58</v>
      </c>
      <c r="H257" s="5" t="s">
        <v>77</v>
      </c>
      <c r="I257" s="5" t="s">
        <v>62</v>
      </c>
      <c r="J257" s="5">
        <v>0</v>
      </c>
      <c r="K257" s="5" t="s">
        <v>63</v>
      </c>
      <c r="L257" s="6">
        <v>3377.58</v>
      </c>
      <c r="M257" s="5" t="s">
        <v>32</v>
      </c>
      <c r="N257" s="5" t="s">
        <v>69</v>
      </c>
      <c r="O257" s="5">
        <v>0</v>
      </c>
      <c r="P257" s="5" t="s">
        <v>582</v>
      </c>
      <c r="Q257" s="5" t="s">
        <v>583</v>
      </c>
      <c r="R257" s="5">
        <v>43.73</v>
      </c>
      <c r="S257" s="4">
        <v>45616</v>
      </c>
      <c r="T257" s="4">
        <v>45623</v>
      </c>
      <c r="U257" s="5">
        <f t="shared" si="11"/>
        <v>7</v>
      </c>
      <c r="V257" s="5" t="s">
        <v>59</v>
      </c>
      <c r="X257" s="5"/>
    </row>
    <row r="258" spans="1:24">
      <c r="A258" s="4">
        <v>45164</v>
      </c>
      <c r="B258" s="5" t="str">
        <f t="shared" si="9"/>
        <v>August</v>
      </c>
      <c r="C258" s="5" t="s">
        <v>16</v>
      </c>
      <c r="D258" s="5" t="s">
        <v>25</v>
      </c>
      <c r="E258" s="5">
        <v>20</v>
      </c>
      <c r="F258" s="5">
        <v>18.29</v>
      </c>
      <c r="G258" s="6">
        <f t="shared" si="10"/>
        <v>365.8</v>
      </c>
      <c r="H258" s="5" t="s">
        <v>53</v>
      </c>
      <c r="I258" s="5" t="s">
        <v>62</v>
      </c>
      <c r="J258" s="5">
        <v>0</v>
      </c>
      <c r="K258" s="5" t="s">
        <v>82</v>
      </c>
      <c r="L258" s="6">
        <v>365.8</v>
      </c>
      <c r="M258" s="5" t="s">
        <v>33</v>
      </c>
      <c r="N258" s="5" t="s">
        <v>56</v>
      </c>
      <c r="O258" s="5">
        <v>1</v>
      </c>
      <c r="P258" s="5" t="s">
        <v>584</v>
      </c>
      <c r="Q258" s="5" t="s">
        <v>585</v>
      </c>
      <c r="R258" s="5">
        <v>35.37</v>
      </c>
      <c r="S258" s="4">
        <v>45164</v>
      </c>
      <c r="T258" s="4">
        <v>45167</v>
      </c>
      <c r="U258" s="5">
        <f t="shared" si="11"/>
        <v>3</v>
      </c>
      <c r="V258" s="5" t="s">
        <v>59</v>
      </c>
      <c r="X258" s="5"/>
    </row>
    <row r="259" spans="1:24">
      <c r="A259" s="4">
        <v>45292</v>
      </c>
      <c r="B259" s="5" t="str">
        <f t="shared" ref="B259:B322" si="12">TEXT(A259,"mmmm")</f>
        <v>January</v>
      </c>
      <c r="C259" s="5" t="s">
        <v>17</v>
      </c>
      <c r="D259" s="5" t="s">
        <v>26</v>
      </c>
      <c r="E259" s="5">
        <v>7</v>
      </c>
      <c r="F259" s="5">
        <v>208.86</v>
      </c>
      <c r="G259" s="6">
        <f t="shared" ref="G259:G322" si="13">F259*E259</f>
        <v>1462.02</v>
      </c>
      <c r="H259" s="5" t="s">
        <v>53</v>
      </c>
      <c r="I259" s="5" t="s">
        <v>62</v>
      </c>
      <c r="J259" s="5">
        <v>0</v>
      </c>
      <c r="K259" s="5" t="s">
        <v>73</v>
      </c>
      <c r="L259" s="6">
        <v>1462.02</v>
      </c>
      <c r="M259" s="5" t="s">
        <v>34</v>
      </c>
      <c r="N259" s="5" t="s">
        <v>56</v>
      </c>
      <c r="O259" s="5">
        <v>0</v>
      </c>
      <c r="P259" s="5" t="s">
        <v>586</v>
      </c>
      <c r="Q259" s="5" t="s">
        <v>587</v>
      </c>
      <c r="R259" s="5">
        <v>20.64</v>
      </c>
      <c r="S259" s="4">
        <v>45292</v>
      </c>
      <c r="T259" s="4">
        <v>45299</v>
      </c>
      <c r="U259" s="5">
        <f t="shared" ref="U259:U322" si="14">T259-S259</f>
        <v>7</v>
      </c>
      <c r="V259" s="5" t="s">
        <v>67</v>
      </c>
      <c r="X259" s="5"/>
    </row>
    <row r="260" spans="1:24">
      <c r="A260" s="4">
        <v>45620</v>
      </c>
      <c r="B260" s="5" t="str">
        <f t="shared" si="12"/>
        <v>November</v>
      </c>
      <c r="C260" s="5" t="s">
        <v>17</v>
      </c>
      <c r="D260" s="5" t="s">
        <v>27</v>
      </c>
      <c r="E260" s="5">
        <v>12</v>
      </c>
      <c r="F260" s="5">
        <v>330.36</v>
      </c>
      <c r="G260" s="6">
        <f t="shared" si="13"/>
        <v>3964.32</v>
      </c>
      <c r="H260" s="5" t="s">
        <v>81</v>
      </c>
      <c r="I260" s="5" t="s">
        <v>62</v>
      </c>
      <c r="J260" s="5">
        <v>0.05</v>
      </c>
      <c r="K260" s="5" t="s">
        <v>82</v>
      </c>
      <c r="L260" s="6">
        <v>3766.104</v>
      </c>
      <c r="M260" s="5" t="s">
        <v>34</v>
      </c>
      <c r="N260" s="5" t="s">
        <v>69</v>
      </c>
      <c r="O260" s="5">
        <v>0</v>
      </c>
      <c r="P260" s="5" t="s">
        <v>588</v>
      </c>
      <c r="Q260" s="5" t="s">
        <v>589</v>
      </c>
      <c r="R260" s="5">
        <v>48.33</v>
      </c>
      <c r="S260" s="4">
        <v>45620</v>
      </c>
      <c r="T260" s="4">
        <v>45626</v>
      </c>
      <c r="U260" s="5">
        <f t="shared" si="14"/>
        <v>6</v>
      </c>
      <c r="V260" s="5" t="s">
        <v>67</v>
      </c>
      <c r="X260" s="5"/>
    </row>
    <row r="261" spans="1:24">
      <c r="A261" s="4">
        <v>45529</v>
      </c>
      <c r="B261" s="5" t="str">
        <f t="shared" si="12"/>
        <v>August</v>
      </c>
      <c r="C261" s="5" t="s">
        <v>17</v>
      </c>
      <c r="D261" s="5" t="s">
        <v>101</v>
      </c>
      <c r="E261" s="5">
        <v>7</v>
      </c>
      <c r="F261" s="5">
        <v>50.26</v>
      </c>
      <c r="G261" s="6">
        <f t="shared" si="13"/>
        <v>351.82</v>
      </c>
      <c r="H261" s="5" t="s">
        <v>77</v>
      </c>
      <c r="I261" s="5" t="s">
        <v>62</v>
      </c>
      <c r="J261" s="5">
        <v>0.15</v>
      </c>
      <c r="K261" s="5" t="s">
        <v>82</v>
      </c>
      <c r="L261" s="6">
        <v>299.047</v>
      </c>
      <c r="M261" s="5" t="s">
        <v>34</v>
      </c>
      <c r="N261" s="5"/>
      <c r="O261" s="5">
        <v>0</v>
      </c>
      <c r="P261" s="5" t="s">
        <v>590</v>
      </c>
      <c r="Q261" s="5" t="s">
        <v>591</v>
      </c>
      <c r="R261" s="5">
        <v>17.12</v>
      </c>
      <c r="S261" s="4">
        <v>45529</v>
      </c>
      <c r="T261" s="4">
        <v>45536</v>
      </c>
      <c r="U261" s="5">
        <f t="shared" si="14"/>
        <v>7</v>
      </c>
      <c r="V261" s="5" t="s">
        <v>67</v>
      </c>
      <c r="X261" s="5"/>
    </row>
    <row r="262" spans="1:24">
      <c r="A262" s="4">
        <v>45087</v>
      </c>
      <c r="B262" s="5" t="str">
        <f t="shared" si="12"/>
        <v>June</v>
      </c>
      <c r="C262" s="5" t="s">
        <v>17</v>
      </c>
      <c r="D262" s="5" t="s">
        <v>22</v>
      </c>
      <c r="E262" s="5">
        <v>2</v>
      </c>
      <c r="F262" s="5">
        <v>374.59</v>
      </c>
      <c r="G262" s="6">
        <f t="shared" si="13"/>
        <v>749.18</v>
      </c>
      <c r="H262" s="5" t="s">
        <v>77</v>
      </c>
      <c r="I262" s="5" t="s">
        <v>54</v>
      </c>
      <c r="J262" s="5">
        <v>0.15</v>
      </c>
      <c r="K262" s="5" t="s">
        <v>78</v>
      </c>
      <c r="L262" s="6">
        <v>636.803</v>
      </c>
      <c r="M262" s="5" t="s">
        <v>30</v>
      </c>
      <c r="N262" s="5" t="s">
        <v>64</v>
      </c>
      <c r="O262" s="5">
        <v>0</v>
      </c>
      <c r="P262" s="5" t="s">
        <v>592</v>
      </c>
      <c r="Q262" s="5" t="s">
        <v>593</v>
      </c>
      <c r="R262" s="5">
        <v>34.64</v>
      </c>
      <c r="S262" s="4">
        <v>45087</v>
      </c>
      <c r="T262" s="4">
        <v>45095</v>
      </c>
      <c r="U262" s="5">
        <f t="shared" si="14"/>
        <v>8</v>
      </c>
      <c r="V262" s="5" t="s">
        <v>67</v>
      </c>
      <c r="X262" s="5"/>
    </row>
    <row r="263" spans="1:24">
      <c r="A263" s="4">
        <v>45644</v>
      </c>
      <c r="B263" s="5" t="str">
        <f t="shared" si="12"/>
        <v>December</v>
      </c>
      <c r="C263" s="5" t="s">
        <v>18</v>
      </c>
      <c r="D263" s="5" t="s">
        <v>27</v>
      </c>
      <c r="E263" s="5">
        <v>7</v>
      </c>
      <c r="F263" s="5">
        <v>467.6</v>
      </c>
      <c r="G263" s="6">
        <f t="shared" si="13"/>
        <v>3273.2</v>
      </c>
      <c r="H263" s="5" t="s">
        <v>61</v>
      </c>
      <c r="I263" s="5" t="s">
        <v>62</v>
      </c>
      <c r="J263" s="5">
        <v>0.1</v>
      </c>
      <c r="K263" s="5" t="s">
        <v>78</v>
      </c>
      <c r="L263" s="6">
        <v>2945.88</v>
      </c>
      <c r="M263" s="5" t="s">
        <v>33</v>
      </c>
      <c r="N263" s="5"/>
      <c r="O263" s="5">
        <v>0</v>
      </c>
      <c r="P263" s="5" t="s">
        <v>594</v>
      </c>
      <c r="Q263" s="5" t="s">
        <v>595</v>
      </c>
      <c r="R263" s="5">
        <v>15.64</v>
      </c>
      <c r="S263" s="4">
        <v>45644</v>
      </c>
      <c r="T263" s="4">
        <v>45652</v>
      </c>
      <c r="U263" s="5">
        <f t="shared" si="14"/>
        <v>8</v>
      </c>
      <c r="V263" s="5" t="s">
        <v>72</v>
      </c>
      <c r="X263" s="5"/>
    </row>
    <row r="264" spans="1:24">
      <c r="A264" s="4">
        <v>45166</v>
      </c>
      <c r="B264" s="5" t="str">
        <f t="shared" si="12"/>
        <v>August</v>
      </c>
      <c r="C264" s="5" t="s">
        <v>16</v>
      </c>
      <c r="D264" s="5" t="s">
        <v>25</v>
      </c>
      <c r="E264" s="5">
        <v>3</v>
      </c>
      <c r="F264" s="5">
        <v>376.24</v>
      </c>
      <c r="G264" s="6">
        <f t="shared" si="13"/>
        <v>1128.72</v>
      </c>
      <c r="H264" s="5" t="s">
        <v>61</v>
      </c>
      <c r="I264" s="5" t="s">
        <v>62</v>
      </c>
      <c r="J264" s="5">
        <v>0.05</v>
      </c>
      <c r="K264" s="5" t="s">
        <v>73</v>
      </c>
      <c r="L264" s="6">
        <v>1072.284</v>
      </c>
      <c r="M264" s="5" t="s">
        <v>33</v>
      </c>
      <c r="N264" s="5" t="s">
        <v>56</v>
      </c>
      <c r="O264" s="5">
        <v>1</v>
      </c>
      <c r="P264" s="5" t="s">
        <v>596</v>
      </c>
      <c r="Q264" s="5" t="s">
        <v>597</v>
      </c>
      <c r="R264" s="5">
        <v>6.15</v>
      </c>
      <c r="S264" s="4">
        <v>45166</v>
      </c>
      <c r="T264" s="4">
        <v>45170</v>
      </c>
      <c r="U264" s="5">
        <f t="shared" si="14"/>
        <v>4</v>
      </c>
      <c r="V264" s="5" t="s">
        <v>59</v>
      </c>
      <c r="X264" s="5"/>
    </row>
    <row r="265" spans="1:24">
      <c r="A265" s="4">
        <v>44948</v>
      </c>
      <c r="B265" s="5" t="str">
        <f t="shared" si="12"/>
        <v>January</v>
      </c>
      <c r="C265" s="5" t="s">
        <v>20</v>
      </c>
      <c r="D265" s="5" t="s">
        <v>23</v>
      </c>
      <c r="E265" s="5">
        <v>13</v>
      </c>
      <c r="F265" s="5">
        <v>140.49</v>
      </c>
      <c r="G265" s="6">
        <f t="shared" si="13"/>
        <v>1826.37</v>
      </c>
      <c r="H265" s="5" t="s">
        <v>61</v>
      </c>
      <c r="I265" s="5" t="s">
        <v>62</v>
      </c>
      <c r="J265" s="5">
        <v>0</v>
      </c>
      <c r="K265" s="5" t="s">
        <v>55</v>
      </c>
      <c r="L265" s="6">
        <v>1826.37</v>
      </c>
      <c r="M265" s="5" t="s">
        <v>33</v>
      </c>
      <c r="N265" s="5" t="s">
        <v>64</v>
      </c>
      <c r="O265" s="5">
        <v>0</v>
      </c>
      <c r="P265" s="5" t="s">
        <v>598</v>
      </c>
      <c r="Q265" s="5" t="s">
        <v>599</v>
      </c>
      <c r="R265" s="5">
        <v>17.69</v>
      </c>
      <c r="S265" s="4">
        <v>44948</v>
      </c>
      <c r="T265" s="4">
        <v>44957</v>
      </c>
      <c r="U265" s="5">
        <f t="shared" si="14"/>
        <v>9</v>
      </c>
      <c r="V265" s="5" t="s">
        <v>94</v>
      </c>
      <c r="X265" s="5"/>
    </row>
    <row r="266" spans="1:24">
      <c r="A266" s="4">
        <v>44964</v>
      </c>
      <c r="B266" s="5" t="str">
        <f t="shared" si="12"/>
        <v>February</v>
      </c>
      <c r="C266" s="5" t="s">
        <v>18</v>
      </c>
      <c r="D266" s="5" t="s">
        <v>26</v>
      </c>
      <c r="E266" s="5">
        <v>3</v>
      </c>
      <c r="F266" s="5">
        <v>506.33</v>
      </c>
      <c r="G266" s="6">
        <f t="shared" si="13"/>
        <v>1518.99</v>
      </c>
      <c r="H266" s="5" t="s">
        <v>53</v>
      </c>
      <c r="I266" s="5" t="s">
        <v>62</v>
      </c>
      <c r="J266" s="5">
        <v>0.15</v>
      </c>
      <c r="K266" s="5" t="s">
        <v>73</v>
      </c>
      <c r="L266" s="6">
        <v>1291.1415</v>
      </c>
      <c r="M266" s="5" t="s">
        <v>33</v>
      </c>
      <c r="N266" s="5" t="s">
        <v>56</v>
      </c>
      <c r="O266" s="5">
        <v>0</v>
      </c>
      <c r="P266" s="5" t="s">
        <v>600</v>
      </c>
      <c r="Q266" s="5" t="s">
        <v>601</v>
      </c>
      <c r="R266" s="5">
        <v>25.71</v>
      </c>
      <c r="S266" s="4">
        <v>44964</v>
      </c>
      <c r="T266" s="4">
        <v>44971</v>
      </c>
      <c r="U266" s="5">
        <f t="shared" si="14"/>
        <v>7</v>
      </c>
      <c r="V266" s="5" t="s">
        <v>72</v>
      </c>
      <c r="X266" s="5"/>
    </row>
    <row r="267" spans="1:24">
      <c r="A267" s="4">
        <v>45252</v>
      </c>
      <c r="B267" s="5" t="str">
        <f t="shared" si="12"/>
        <v>November</v>
      </c>
      <c r="C267" s="5" t="s">
        <v>17</v>
      </c>
      <c r="D267" s="5" t="s">
        <v>26</v>
      </c>
      <c r="E267" s="5">
        <v>8</v>
      </c>
      <c r="F267" s="5">
        <v>138.73</v>
      </c>
      <c r="G267" s="6">
        <f t="shared" si="13"/>
        <v>1109.84</v>
      </c>
      <c r="H267" s="5" t="s">
        <v>61</v>
      </c>
      <c r="I267" s="5" t="s">
        <v>54</v>
      </c>
      <c r="J267" s="5">
        <v>0.05</v>
      </c>
      <c r="K267" s="5" t="s">
        <v>73</v>
      </c>
      <c r="L267" s="6">
        <v>1054.348</v>
      </c>
      <c r="M267" s="5" t="s">
        <v>30</v>
      </c>
      <c r="N267" s="5" t="s">
        <v>69</v>
      </c>
      <c r="O267" s="5">
        <v>1</v>
      </c>
      <c r="P267" s="5" t="s">
        <v>602</v>
      </c>
      <c r="Q267" s="5" t="s">
        <v>603</v>
      </c>
      <c r="R267" s="5">
        <v>48.51</v>
      </c>
      <c r="S267" s="4">
        <v>45252</v>
      </c>
      <c r="T267" s="4">
        <v>45259</v>
      </c>
      <c r="U267" s="5">
        <f t="shared" si="14"/>
        <v>7</v>
      </c>
      <c r="V267" s="5" t="s">
        <v>67</v>
      </c>
      <c r="X267" s="5"/>
    </row>
    <row r="268" spans="1:24">
      <c r="A268" s="4">
        <v>44951</v>
      </c>
      <c r="B268" s="5" t="str">
        <f t="shared" si="12"/>
        <v>January</v>
      </c>
      <c r="C268" s="5" t="s">
        <v>20</v>
      </c>
      <c r="D268" s="5" t="s">
        <v>24</v>
      </c>
      <c r="E268" s="5">
        <v>6</v>
      </c>
      <c r="F268" s="5">
        <v>134.53</v>
      </c>
      <c r="G268" s="6">
        <f t="shared" si="13"/>
        <v>807.18</v>
      </c>
      <c r="H268" s="5" t="s">
        <v>77</v>
      </c>
      <c r="I268" s="5" t="s">
        <v>62</v>
      </c>
      <c r="J268" s="5">
        <v>0.15</v>
      </c>
      <c r="K268" s="5" t="s">
        <v>78</v>
      </c>
      <c r="L268" s="6">
        <v>686.103</v>
      </c>
      <c r="M268" s="5" t="s">
        <v>33</v>
      </c>
      <c r="N268" s="5" t="s">
        <v>56</v>
      </c>
      <c r="O268" s="5">
        <v>1</v>
      </c>
      <c r="P268" s="5" t="s">
        <v>604</v>
      </c>
      <c r="Q268" s="5" t="s">
        <v>605</v>
      </c>
      <c r="R268" s="5">
        <v>33.5</v>
      </c>
      <c r="S268" s="4">
        <v>44951</v>
      </c>
      <c r="T268" s="4">
        <v>44955</v>
      </c>
      <c r="U268" s="5">
        <f t="shared" si="14"/>
        <v>4</v>
      </c>
      <c r="V268" s="5" t="s">
        <v>94</v>
      </c>
      <c r="X268" s="5"/>
    </row>
    <row r="269" spans="1:24">
      <c r="A269" s="4">
        <v>45721</v>
      </c>
      <c r="B269" s="5" t="str">
        <f t="shared" si="12"/>
        <v>March</v>
      </c>
      <c r="C269" s="5" t="s">
        <v>17</v>
      </c>
      <c r="D269" s="5" t="s">
        <v>101</v>
      </c>
      <c r="E269" s="5">
        <v>18</v>
      </c>
      <c r="F269" s="5">
        <v>375.96</v>
      </c>
      <c r="G269" s="6">
        <f t="shared" si="13"/>
        <v>6767.28</v>
      </c>
      <c r="H269" s="5" t="s">
        <v>81</v>
      </c>
      <c r="I269" s="5" t="s">
        <v>54</v>
      </c>
      <c r="J269" s="5">
        <v>0.05</v>
      </c>
      <c r="K269" s="5" t="s">
        <v>82</v>
      </c>
      <c r="L269" s="6">
        <v>6428.916</v>
      </c>
      <c r="M269" s="5" t="s">
        <v>33</v>
      </c>
      <c r="N269" s="5" t="s">
        <v>64</v>
      </c>
      <c r="O269" s="5">
        <v>0</v>
      </c>
      <c r="P269" s="5" t="s">
        <v>606</v>
      </c>
      <c r="Q269" s="5" t="s">
        <v>607</v>
      </c>
      <c r="R269" s="5">
        <v>26.78</v>
      </c>
      <c r="S269" s="4">
        <v>45721</v>
      </c>
      <c r="T269" s="4">
        <v>45725</v>
      </c>
      <c r="U269" s="5">
        <f t="shared" si="14"/>
        <v>4</v>
      </c>
      <c r="V269" s="5" t="s">
        <v>67</v>
      </c>
      <c r="X269" s="5"/>
    </row>
    <row r="270" spans="1:24">
      <c r="A270" s="4">
        <v>44959</v>
      </c>
      <c r="B270" s="5" t="str">
        <f t="shared" si="12"/>
        <v>February</v>
      </c>
      <c r="C270" s="5" t="s">
        <v>18</v>
      </c>
      <c r="D270" s="5" t="s">
        <v>27</v>
      </c>
      <c r="E270" s="5">
        <v>10</v>
      </c>
      <c r="F270" s="5">
        <v>538.47</v>
      </c>
      <c r="G270" s="6">
        <f t="shared" si="13"/>
        <v>5384.7</v>
      </c>
      <c r="H270" s="5" t="s">
        <v>81</v>
      </c>
      <c r="I270" s="5" t="s">
        <v>62</v>
      </c>
      <c r="J270" s="5">
        <v>0.1</v>
      </c>
      <c r="K270" s="5" t="s">
        <v>89</v>
      </c>
      <c r="L270" s="6">
        <v>4846.23</v>
      </c>
      <c r="M270" s="5" t="s">
        <v>31</v>
      </c>
      <c r="N270" s="5" t="s">
        <v>69</v>
      </c>
      <c r="O270" s="5">
        <v>1</v>
      </c>
      <c r="P270" s="5" t="s">
        <v>608</v>
      </c>
      <c r="Q270" s="5" t="s">
        <v>609</v>
      </c>
      <c r="R270" s="5">
        <v>17.25</v>
      </c>
      <c r="S270" s="4">
        <v>44959</v>
      </c>
      <c r="T270" s="4">
        <v>44969</v>
      </c>
      <c r="U270" s="5">
        <f t="shared" si="14"/>
        <v>10</v>
      </c>
      <c r="V270" s="5" t="s">
        <v>72</v>
      </c>
      <c r="X270" s="5"/>
    </row>
    <row r="271" spans="1:24">
      <c r="A271" s="4">
        <v>45070</v>
      </c>
      <c r="B271" s="5" t="str">
        <f t="shared" si="12"/>
        <v>May</v>
      </c>
      <c r="C271" s="5" t="s">
        <v>18</v>
      </c>
      <c r="D271" s="5" t="s">
        <v>101</v>
      </c>
      <c r="E271" s="5">
        <v>15</v>
      </c>
      <c r="F271" s="5">
        <v>505.44</v>
      </c>
      <c r="G271" s="6">
        <f t="shared" si="13"/>
        <v>7581.6</v>
      </c>
      <c r="H271" s="5" t="s">
        <v>61</v>
      </c>
      <c r="I271" s="5" t="s">
        <v>54</v>
      </c>
      <c r="J271" s="5">
        <v>0.1</v>
      </c>
      <c r="K271" s="5" t="s">
        <v>63</v>
      </c>
      <c r="L271" s="6">
        <v>6823.44</v>
      </c>
      <c r="M271" s="5" t="s">
        <v>30</v>
      </c>
      <c r="N271" s="5" t="s">
        <v>64</v>
      </c>
      <c r="O271" s="5">
        <v>0</v>
      </c>
      <c r="P271" s="5" t="s">
        <v>610</v>
      </c>
      <c r="Q271" s="5" t="s">
        <v>611</v>
      </c>
      <c r="R271" s="5">
        <v>37.5</v>
      </c>
      <c r="S271" s="4">
        <v>45070</v>
      </c>
      <c r="T271" s="4">
        <v>45078</v>
      </c>
      <c r="U271" s="5">
        <f t="shared" si="14"/>
        <v>8</v>
      </c>
      <c r="V271" s="5" t="s">
        <v>72</v>
      </c>
      <c r="X271" s="5"/>
    </row>
    <row r="272" spans="1:24">
      <c r="A272" s="4">
        <v>45442</v>
      </c>
      <c r="B272" s="5" t="str">
        <f t="shared" si="12"/>
        <v>May</v>
      </c>
      <c r="C272" s="5" t="s">
        <v>17</v>
      </c>
      <c r="D272" s="5" t="s">
        <v>27</v>
      </c>
      <c r="E272" s="5">
        <v>4</v>
      </c>
      <c r="F272" s="5">
        <v>312.09</v>
      </c>
      <c r="G272" s="6">
        <f t="shared" si="13"/>
        <v>1248.36</v>
      </c>
      <c r="H272" s="5" t="s">
        <v>77</v>
      </c>
      <c r="I272" s="5" t="s">
        <v>54</v>
      </c>
      <c r="J272" s="5">
        <v>0.15</v>
      </c>
      <c r="K272" s="5" t="s">
        <v>82</v>
      </c>
      <c r="L272" s="6">
        <v>1061.106</v>
      </c>
      <c r="M272" s="5" t="s">
        <v>33</v>
      </c>
      <c r="N272" s="5" t="s">
        <v>64</v>
      </c>
      <c r="O272" s="5">
        <v>1</v>
      </c>
      <c r="P272" s="5" t="s">
        <v>612</v>
      </c>
      <c r="Q272" s="5" t="s">
        <v>155</v>
      </c>
      <c r="R272" s="5">
        <v>17.99</v>
      </c>
      <c r="S272" s="4">
        <v>45442</v>
      </c>
      <c r="T272" s="4">
        <v>45449</v>
      </c>
      <c r="U272" s="5">
        <f t="shared" si="14"/>
        <v>7</v>
      </c>
      <c r="V272" s="5" t="s">
        <v>67</v>
      </c>
      <c r="X272" s="5"/>
    </row>
    <row r="273" spans="1:24">
      <c r="A273" s="4">
        <v>45314</v>
      </c>
      <c r="B273" s="5" t="str">
        <f t="shared" si="12"/>
        <v>January</v>
      </c>
      <c r="C273" s="5" t="s">
        <v>20</v>
      </c>
      <c r="D273" s="5" t="s">
        <v>24</v>
      </c>
      <c r="E273" s="5">
        <v>15</v>
      </c>
      <c r="F273" s="5">
        <v>579.58</v>
      </c>
      <c r="G273" s="6">
        <f t="shared" si="13"/>
        <v>8693.7</v>
      </c>
      <c r="H273" s="5" t="s">
        <v>77</v>
      </c>
      <c r="I273" s="5" t="s">
        <v>62</v>
      </c>
      <c r="J273" s="5">
        <v>0.15</v>
      </c>
      <c r="K273" s="5" t="s">
        <v>55</v>
      </c>
      <c r="L273" s="6">
        <v>7389.645</v>
      </c>
      <c r="M273" s="5" t="s">
        <v>32</v>
      </c>
      <c r="N273" s="5"/>
      <c r="O273" s="5">
        <v>0</v>
      </c>
      <c r="P273" s="5" t="s">
        <v>613</v>
      </c>
      <c r="Q273" s="5" t="s">
        <v>614</v>
      </c>
      <c r="R273" s="5">
        <v>31.22</v>
      </c>
      <c r="S273" s="4">
        <v>45314</v>
      </c>
      <c r="T273" s="4">
        <v>45322</v>
      </c>
      <c r="U273" s="5">
        <f t="shared" si="14"/>
        <v>8</v>
      </c>
      <c r="V273" s="5" t="s">
        <v>94</v>
      </c>
      <c r="X273" s="5"/>
    </row>
    <row r="274" spans="1:24">
      <c r="A274" s="4">
        <v>44963</v>
      </c>
      <c r="B274" s="5" t="str">
        <f t="shared" si="12"/>
        <v>February</v>
      </c>
      <c r="C274" s="5" t="s">
        <v>18</v>
      </c>
      <c r="D274" s="5" t="s">
        <v>25</v>
      </c>
      <c r="E274" s="5">
        <v>10</v>
      </c>
      <c r="F274" s="5">
        <v>217.43</v>
      </c>
      <c r="G274" s="6">
        <f t="shared" si="13"/>
        <v>2174.3</v>
      </c>
      <c r="H274" s="5" t="s">
        <v>61</v>
      </c>
      <c r="I274" s="5" t="s">
        <v>62</v>
      </c>
      <c r="J274" s="5">
        <v>0.15</v>
      </c>
      <c r="K274" s="5" t="s">
        <v>89</v>
      </c>
      <c r="L274" s="6">
        <v>1848.155</v>
      </c>
      <c r="M274" s="5" t="s">
        <v>32</v>
      </c>
      <c r="N274" s="5" t="s">
        <v>56</v>
      </c>
      <c r="O274" s="5">
        <v>0</v>
      </c>
      <c r="P274" s="5" t="s">
        <v>615</v>
      </c>
      <c r="Q274" s="5" t="s">
        <v>616</v>
      </c>
      <c r="R274" s="5">
        <v>33.14</v>
      </c>
      <c r="S274" s="4">
        <v>44963</v>
      </c>
      <c r="T274" s="4">
        <v>44972</v>
      </c>
      <c r="U274" s="5">
        <f t="shared" si="14"/>
        <v>9</v>
      </c>
      <c r="V274" s="5" t="s">
        <v>72</v>
      </c>
      <c r="X274" s="5"/>
    </row>
    <row r="275" spans="1:24">
      <c r="A275" s="4">
        <v>45488</v>
      </c>
      <c r="B275" s="5" t="str">
        <f t="shared" si="12"/>
        <v>July</v>
      </c>
      <c r="C275" s="5" t="s">
        <v>20</v>
      </c>
      <c r="D275" s="5" t="s">
        <v>23</v>
      </c>
      <c r="E275" s="5">
        <v>15</v>
      </c>
      <c r="F275" s="5">
        <v>476.15</v>
      </c>
      <c r="G275" s="6">
        <f t="shared" si="13"/>
        <v>7142.25</v>
      </c>
      <c r="H275" s="5" t="s">
        <v>53</v>
      </c>
      <c r="I275" s="5" t="s">
        <v>54</v>
      </c>
      <c r="J275" s="5">
        <v>0.05</v>
      </c>
      <c r="K275" s="5" t="s">
        <v>78</v>
      </c>
      <c r="L275" s="6">
        <v>6785.1375</v>
      </c>
      <c r="M275" s="5" t="s">
        <v>30</v>
      </c>
      <c r="N275" s="5" t="s">
        <v>64</v>
      </c>
      <c r="O275" s="5">
        <v>0</v>
      </c>
      <c r="P275" s="5" t="s">
        <v>617</v>
      </c>
      <c r="Q275" s="5" t="s">
        <v>618</v>
      </c>
      <c r="R275" s="5">
        <v>24.48</v>
      </c>
      <c r="S275" s="4">
        <v>45488</v>
      </c>
      <c r="T275" s="4">
        <v>45492</v>
      </c>
      <c r="U275" s="5">
        <f t="shared" si="14"/>
        <v>4</v>
      </c>
      <c r="V275" s="5" t="s">
        <v>94</v>
      </c>
      <c r="X275" s="5"/>
    </row>
    <row r="276" spans="1:24">
      <c r="A276" s="4">
        <v>45722</v>
      </c>
      <c r="B276" s="5" t="str">
        <f t="shared" si="12"/>
        <v>March</v>
      </c>
      <c r="C276" s="5" t="s">
        <v>16</v>
      </c>
      <c r="D276" s="5" t="s">
        <v>25</v>
      </c>
      <c r="E276" s="5">
        <v>5</v>
      </c>
      <c r="F276" s="5">
        <v>89.03</v>
      </c>
      <c r="G276" s="6">
        <f t="shared" si="13"/>
        <v>445.15</v>
      </c>
      <c r="H276" s="5" t="s">
        <v>77</v>
      </c>
      <c r="I276" s="5" t="s">
        <v>54</v>
      </c>
      <c r="J276" s="5">
        <v>0.1</v>
      </c>
      <c r="K276" s="5" t="s">
        <v>73</v>
      </c>
      <c r="L276" s="6">
        <v>400.635</v>
      </c>
      <c r="M276" s="5" t="s">
        <v>33</v>
      </c>
      <c r="N276" s="5" t="s">
        <v>69</v>
      </c>
      <c r="O276" s="5">
        <v>0</v>
      </c>
      <c r="P276" s="5" t="s">
        <v>619</v>
      </c>
      <c r="Q276" s="5" t="s">
        <v>620</v>
      </c>
      <c r="R276" s="5">
        <v>22.42</v>
      </c>
      <c r="S276" s="4">
        <v>45722</v>
      </c>
      <c r="T276" s="4">
        <v>45732</v>
      </c>
      <c r="U276" s="5">
        <f t="shared" si="14"/>
        <v>10</v>
      </c>
      <c r="V276" s="5" t="s">
        <v>59</v>
      </c>
      <c r="X276" s="5"/>
    </row>
    <row r="277" spans="1:24">
      <c r="A277" s="4">
        <v>45136</v>
      </c>
      <c r="B277" s="5" t="str">
        <f t="shared" si="12"/>
        <v>July</v>
      </c>
      <c r="C277" s="5" t="s">
        <v>19</v>
      </c>
      <c r="D277" s="5" t="s">
        <v>23</v>
      </c>
      <c r="E277" s="5">
        <v>17</v>
      </c>
      <c r="F277" s="5">
        <v>6.88</v>
      </c>
      <c r="G277" s="6">
        <f t="shared" si="13"/>
        <v>116.96</v>
      </c>
      <c r="H277" s="5" t="s">
        <v>61</v>
      </c>
      <c r="I277" s="5" t="s">
        <v>62</v>
      </c>
      <c r="J277" s="5">
        <v>0.1</v>
      </c>
      <c r="K277" s="5" t="s">
        <v>73</v>
      </c>
      <c r="L277" s="6">
        <v>105.264</v>
      </c>
      <c r="M277" s="5" t="s">
        <v>31</v>
      </c>
      <c r="N277" s="5"/>
      <c r="O277" s="5">
        <v>0</v>
      </c>
      <c r="P277" s="5" t="s">
        <v>621</v>
      </c>
      <c r="Q277" s="5" t="s">
        <v>622</v>
      </c>
      <c r="R277" s="5">
        <v>42.37</v>
      </c>
      <c r="S277" s="4">
        <v>45136</v>
      </c>
      <c r="T277" s="4">
        <v>45146</v>
      </c>
      <c r="U277" s="5">
        <f t="shared" si="14"/>
        <v>10</v>
      </c>
      <c r="V277" s="5" t="s">
        <v>76</v>
      </c>
      <c r="X277" s="5"/>
    </row>
    <row r="278" spans="1:24">
      <c r="A278" s="4">
        <v>45133</v>
      </c>
      <c r="B278" s="5" t="str">
        <f t="shared" si="12"/>
        <v>July</v>
      </c>
      <c r="C278" s="5" t="s">
        <v>18</v>
      </c>
      <c r="D278" s="5" t="s">
        <v>27</v>
      </c>
      <c r="E278" s="5">
        <v>6</v>
      </c>
      <c r="F278" s="5">
        <v>355.26</v>
      </c>
      <c r="G278" s="6">
        <f t="shared" si="13"/>
        <v>2131.56</v>
      </c>
      <c r="H278" s="5" t="s">
        <v>81</v>
      </c>
      <c r="I278" s="5" t="s">
        <v>62</v>
      </c>
      <c r="J278" s="5">
        <v>0.1</v>
      </c>
      <c r="K278" s="5" t="s">
        <v>89</v>
      </c>
      <c r="L278" s="6">
        <v>1918.404</v>
      </c>
      <c r="M278" s="5" t="s">
        <v>30</v>
      </c>
      <c r="N278" s="5" t="s">
        <v>69</v>
      </c>
      <c r="O278" s="5">
        <v>0</v>
      </c>
      <c r="P278" s="5" t="s">
        <v>623</v>
      </c>
      <c r="Q278" s="5" t="s">
        <v>624</v>
      </c>
      <c r="R278" s="5">
        <v>30.49</v>
      </c>
      <c r="S278" s="4">
        <v>45133</v>
      </c>
      <c r="T278" s="4">
        <v>45136</v>
      </c>
      <c r="U278" s="5">
        <f t="shared" si="14"/>
        <v>3</v>
      </c>
      <c r="V278" s="5" t="s">
        <v>72</v>
      </c>
      <c r="X278" s="5"/>
    </row>
    <row r="279" spans="1:24">
      <c r="A279" s="4">
        <v>45392</v>
      </c>
      <c r="B279" s="5" t="str">
        <f t="shared" si="12"/>
        <v>April</v>
      </c>
      <c r="C279" s="5" t="s">
        <v>20</v>
      </c>
      <c r="D279" s="5" t="s">
        <v>101</v>
      </c>
      <c r="E279" s="5">
        <v>8</v>
      </c>
      <c r="F279" s="5">
        <v>294.76</v>
      </c>
      <c r="G279" s="6">
        <f t="shared" si="13"/>
        <v>2358.08</v>
      </c>
      <c r="H279" s="5" t="s">
        <v>77</v>
      </c>
      <c r="I279" s="5" t="s">
        <v>62</v>
      </c>
      <c r="J279" s="5">
        <v>0.1</v>
      </c>
      <c r="K279" s="5" t="s">
        <v>82</v>
      </c>
      <c r="L279" s="6">
        <v>2122.272</v>
      </c>
      <c r="M279" s="5" t="s">
        <v>30</v>
      </c>
      <c r="N279" s="5" t="s">
        <v>64</v>
      </c>
      <c r="O279" s="5">
        <v>0</v>
      </c>
      <c r="P279" s="5" t="s">
        <v>625</v>
      </c>
      <c r="Q279" s="5" t="s">
        <v>626</v>
      </c>
      <c r="R279" s="5">
        <v>36.04</v>
      </c>
      <c r="S279" s="4">
        <v>45392</v>
      </c>
      <c r="T279" s="4">
        <v>45395</v>
      </c>
      <c r="U279" s="5">
        <f t="shared" si="14"/>
        <v>3</v>
      </c>
      <c r="V279" s="5" t="s">
        <v>94</v>
      </c>
      <c r="X279" s="5"/>
    </row>
    <row r="280" spans="1:24">
      <c r="A280" s="4">
        <v>45681</v>
      </c>
      <c r="B280" s="5" t="str">
        <f t="shared" si="12"/>
        <v>January</v>
      </c>
      <c r="C280" s="5" t="s">
        <v>18</v>
      </c>
      <c r="D280" s="5" t="s">
        <v>24</v>
      </c>
      <c r="E280" s="5">
        <v>16</v>
      </c>
      <c r="F280" s="5">
        <v>60.69</v>
      </c>
      <c r="G280" s="6">
        <f t="shared" si="13"/>
        <v>971.04</v>
      </c>
      <c r="H280" s="5" t="s">
        <v>61</v>
      </c>
      <c r="I280" s="5" t="s">
        <v>54</v>
      </c>
      <c r="J280" s="5">
        <v>0</v>
      </c>
      <c r="K280" s="5" t="s">
        <v>78</v>
      </c>
      <c r="L280" s="6">
        <v>971.04</v>
      </c>
      <c r="M280" s="5" t="s">
        <v>32</v>
      </c>
      <c r="N280" s="5" t="s">
        <v>69</v>
      </c>
      <c r="O280" s="5">
        <v>0</v>
      </c>
      <c r="P280" s="5" t="s">
        <v>627</v>
      </c>
      <c r="Q280" s="5" t="s">
        <v>628</v>
      </c>
      <c r="R280" s="5">
        <v>7.03</v>
      </c>
      <c r="S280" s="4">
        <v>45681</v>
      </c>
      <c r="T280" s="4">
        <v>45684</v>
      </c>
      <c r="U280" s="5">
        <f t="shared" si="14"/>
        <v>3</v>
      </c>
      <c r="V280" s="5" t="s">
        <v>72</v>
      </c>
      <c r="X280" s="5"/>
    </row>
    <row r="281" spans="1:24">
      <c r="A281" s="4">
        <v>45774</v>
      </c>
      <c r="B281" s="5" t="str">
        <f t="shared" si="12"/>
        <v>April</v>
      </c>
      <c r="C281" s="5" t="s">
        <v>20</v>
      </c>
      <c r="D281" s="5" t="s">
        <v>22</v>
      </c>
      <c r="E281" s="5">
        <v>2</v>
      </c>
      <c r="F281" s="5">
        <v>559.63</v>
      </c>
      <c r="G281" s="6">
        <f t="shared" si="13"/>
        <v>1119.26</v>
      </c>
      <c r="H281" s="5" t="s">
        <v>53</v>
      </c>
      <c r="I281" s="5" t="s">
        <v>54</v>
      </c>
      <c r="J281" s="5">
        <v>0.1</v>
      </c>
      <c r="K281" s="5" t="s">
        <v>82</v>
      </c>
      <c r="L281" s="6">
        <v>1007.334</v>
      </c>
      <c r="M281" s="5" t="s">
        <v>32</v>
      </c>
      <c r="N281" s="5" t="s">
        <v>69</v>
      </c>
      <c r="O281" s="5">
        <v>1</v>
      </c>
      <c r="P281" s="5" t="s">
        <v>629</v>
      </c>
      <c r="Q281" s="5" t="s">
        <v>630</v>
      </c>
      <c r="R281" s="5">
        <v>42.34</v>
      </c>
      <c r="S281" s="4">
        <v>45774</v>
      </c>
      <c r="T281" s="4">
        <v>45780</v>
      </c>
      <c r="U281" s="5">
        <f t="shared" si="14"/>
        <v>6</v>
      </c>
      <c r="V281" s="5" t="s">
        <v>94</v>
      </c>
      <c r="X281" s="5"/>
    </row>
    <row r="282" spans="1:24">
      <c r="A282" s="4">
        <v>45708</v>
      </c>
      <c r="B282" s="5" t="str">
        <f t="shared" si="12"/>
        <v>February</v>
      </c>
      <c r="C282" s="5" t="s">
        <v>16</v>
      </c>
      <c r="D282" s="5" t="s">
        <v>23</v>
      </c>
      <c r="E282" s="5">
        <v>4</v>
      </c>
      <c r="F282" s="5">
        <v>232.66</v>
      </c>
      <c r="G282" s="6">
        <f t="shared" si="13"/>
        <v>930.64</v>
      </c>
      <c r="H282" s="5" t="s">
        <v>53</v>
      </c>
      <c r="I282" s="5" t="s">
        <v>54</v>
      </c>
      <c r="J282" s="5">
        <v>0.1</v>
      </c>
      <c r="K282" s="5" t="s">
        <v>73</v>
      </c>
      <c r="L282" s="6">
        <v>837.576</v>
      </c>
      <c r="M282" s="5" t="s">
        <v>30</v>
      </c>
      <c r="N282" s="5" t="s">
        <v>69</v>
      </c>
      <c r="O282" s="5">
        <v>0</v>
      </c>
      <c r="P282" s="5" t="s">
        <v>631</v>
      </c>
      <c r="Q282" s="5" t="s">
        <v>632</v>
      </c>
      <c r="R282" s="5">
        <v>11.88</v>
      </c>
      <c r="S282" s="4">
        <v>45708</v>
      </c>
      <c r="T282" s="4">
        <v>45711</v>
      </c>
      <c r="U282" s="5">
        <f t="shared" si="14"/>
        <v>3</v>
      </c>
      <c r="V282" s="5" t="s">
        <v>59</v>
      </c>
      <c r="X282" s="5"/>
    </row>
    <row r="283" spans="1:24">
      <c r="A283" s="4">
        <v>45183</v>
      </c>
      <c r="B283" s="5" t="str">
        <f t="shared" si="12"/>
        <v>September</v>
      </c>
      <c r="C283" s="5" t="s">
        <v>18</v>
      </c>
      <c r="D283" s="5" t="s">
        <v>27</v>
      </c>
      <c r="E283" s="5">
        <v>10</v>
      </c>
      <c r="F283" s="5">
        <v>230.87</v>
      </c>
      <c r="G283" s="6">
        <f t="shared" si="13"/>
        <v>2308.7</v>
      </c>
      <c r="H283" s="5" t="s">
        <v>61</v>
      </c>
      <c r="I283" s="5" t="s">
        <v>62</v>
      </c>
      <c r="J283" s="5">
        <v>0.15</v>
      </c>
      <c r="K283" s="5" t="s">
        <v>89</v>
      </c>
      <c r="L283" s="6">
        <v>1962.395</v>
      </c>
      <c r="M283" s="5" t="s">
        <v>33</v>
      </c>
      <c r="N283" s="5" t="s">
        <v>64</v>
      </c>
      <c r="O283" s="5">
        <v>0</v>
      </c>
      <c r="P283" s="5" t="s">
        <v>633</v>
      </c>
      <c r="Q283" s="5" t="s">
        <v>523</v>
      </c>
      <c r="R283" s="5">
        <v>28.33</v>
      </c>
      <c r="S283" s="4">
        <v>45183</v>
      </c>
      <c r="T283" s="4">
        <v>45188</v>
      </c>
      <c r="U283" s="5">
        <f t="shared" si="14"/>
        <v>5</v>
      </c>
      <c r="V283" s="5" t="s">
        <v>72</v>
      </c>
      <c r="X283" s="5"/>
    </row>
    <row r="284" spans="1:24">
      <c r="A284" s="4">
        <v>45399</v>
      </c>
      <c r="B284" s="5" t="str">
        <f t="shared" si="12"/>
        <v>April</v>
      </c>
      <c r="C284" s="5" t="s">
        <v>20</v>
      </c>
      <c r="D284" s="5" t="s">
        <v>101</v>
      </c>
      <c r="E284" s="5">
        <v>7</v>
      </c>
      <c r="F284" s="5">
        <v>353.9</v>
      </c>
      <c r="G284" s="6">
        <f t="shared" si="13"/>
        <v>2477.3</v>
      </c>
      <c r="H284" s="5" t="s">
        <v>77</v>
      </c>
      <c r="I284" s="5" t="s">
        <v>54</v>
      </c>
      <c r="J284" s="5">
        <v>0.15</v>
      </c>
      <c r="K284" s="5" t="s">
        <v>63</v>
      </c>
      <c r="L284" s="6">
        <v>2105.705</v>
      </c>
      <c r="M284" s="5" t="s">
        <v>33</v>
      </c>
      <c r="N284" s="5" t="s">
        <v>64</v>
      </c>
      <c r="O284" s="5">
        <v>1</v>
      </c>
      <c r="P284" s="5" t="s">
        <v>634</v>
      </c>
      <c r="Q284" s="5" t="s">
        <v>635</v>
      </c>
      <c r="R284" s="5">
        <v>15.74</v>
      </c>
      <c r="S284" s="4">
        <v>45399</v>
      </c>
      <c r="T284" s="4">
        <v>45409</v>
      </c>
      <c r="U284" s="5">
        <f t="shared" si="14"/>
        <v>10</v>
      </c>
      <c r="V284" s="5" t="s">
        <v>94</v>
      </c>
      <c r="X284" s="5"/>
    </row>
    <row r="285" spans="1:24">
      <c r="A285" s="4">
        <v>45610</v>
      </c>
      <c r="B285" s="5" t="str">
        <f t="shared" si="12"/>
        <v>November</v>
      </c>
      <c r="C285" s="5" t="s">
        <v>19</v>
      </c>
      <c r="D285" s="5" t="s">
        <v>101</v>
      </c>
      <c r="E285" s="5">
        <v>12</v>
      </c>
      <c r="F285" s="5">
        <v>561.07</v>
      </c>
      <c r="G285" s="6">
        <f t="shared" si="13"/>
        <v>6732.84</v>
      </c>
      <c r="H285" s="5" t="s">
        <v>61</v>
      </c>
      <c r="I285" s="5" t="s">
        <v>62</v>
      </c>
      <c r="J285" s="5">
        <v>0</v>
      </c>
      <c r="K285" s="5" t="s">
        <v>63</v>
      </c>
      <c r="L285" s="6">
        <v>6732.84</v>
      </c>
      <c r="M285" s="5" t="s">
        <v>31</v>
      </c>
      <c r="N285" s="5"/>
      <c r="O285" s="5">
        <v>0</v>
      </c>
      <c r="P285" s="5" t="s">
        <v>636</v>
      </c>
      <c r="Q285" s="5" t="s">
        <v>637</v>
      </c>
      <c r="R285" s="5">
        <v>35.02</v>
      </c>
      <c r="S285" s="4">
        <v>45610</v>
      </c>
      <c r="T285" s="4">
        <v>45614</v>
      </c>
      <c r="U285" s="5">
        <f t="shared" si="14"/>
        <v>4</v>
      </c>
      <c r="V285" s="5" t="s">
        <v>76</v>
      </c>
      <c r="X285" s="5"/>
    </row>
    <row r="286" spans="1:24">
      <c r="A286" s="4">
        <v>45498</v>
      </c>
      <c r="B286" s="5" t="str">
        <f t="shared" si="12"/>
        <v>July</v>
      </c>
      <c r="C286" s="5" t="s">
        <v>18</v>
      </c>
      <c r="D286" s="5" t="s">
        <v>25</v>
      </c>
      <c r="E286" s="5">
        <v>15</v>
      </c>
      <c r="F286" s="5">
        <v>247.21</v>
      </c>
      <c r="G286" s="6">
        <f t="shared" si="13"/>
        <v>3708.15</v>
      </c>
      <c r="H286" s="5" t="s">
        <v>81</v>
      </c>
      <c r="I286" s="5" t="s">
        <v>54</v>
      </c>
      <c r="J286" s="5">
        <v>0.1</v>
      </c>
      <c r="K286" s="5" t="s">
        <v>89</v>
      </c>
      <c r="L286" s="6">
        <v>3337.335</v>
      </c>
      <c r="M286" s="5" t="s">
        <v>31</v>
      </c>
      <c r="N286" s="5"/>
      <c r="O286" s="5">
        <v>0</v>
      </c>
      <c r="P286" s="5" t="s">
        <v>638</v>
      </c>
      <c r="Q286" s="5" t="s">
        <v>639</v>
      </c>
      <c r="R286" s="5">
        <v>45.42</v>
      </c>
      <c r="S286" s="4">
        <v>45498</v>
      </c>
      <c r="T286" s="4">
        <v>45500</v>
      </c>
      <c r="U286" s="5">
        <f t="shared" si="14"/>
        <v>2</v>
      </c>
      <c r="V286" s="5" t="s">
        <v>72</v>
      </c>
      <c r="X286" s="5"/>
    </row>
    <row r="287" spans="1:24">
      <c r="A287" s="4">
        <v>45509</v>
      </c>
      <c r="B287" s="5" t="str">
        <f t="shared" si="12"/>
        <v>August</v>
      </c>
      <c r="C287" s="5" t="s">
        <v>16</v>
      </c>
      <c r="D287" s="5" t="s">
        <v>23</v>
      </c>
      <c r="E287" s="5">
        <v>19</v>
      </c>
      <c r="F287" s="5">
        <v>271.22</v>
      </c>
      <c r="G287" s="6">
        <f t="shared" si="13"/>
        <v>5153.18</v>
      </c>
      <c r="H287" s="5" t="s">
        <v>61</v>
      </c>
      <c r="I287" s="5" t="s">
        <v>54</v>
      </c>
      <c r="J287" s="5">
        <v>0.1</v>
      </c>
      <c r="K287" s="5" t="s">
        <v>63</v>
      </c>
      <c r="L287" s="6">
        <v>4637.862</v>
      </c>
      <c r="M287" s="5" t="s">
        <v>32</v>
      </c>
      <c r="N287" s="5" t="s">
        <v>69</v>
      </c>
      <c r="O287" s="5">
        <v>0</v>
      </c>
      <c r="P287" s="5" t="s">
        <v>640</v>
      </c>
      <c r="Q287" s="5" t="s">
        <v>641</v>
      </c>
      <c r="R287" s="5">
        <v>35.33</v>
      </c>
      <c r="S287" s="4">
        <v>45509</v>
      </c>
      <c r="T287" s="4">
        <v>45519</v>
      </c>
      <c r="U287" s="5">
        <f t="shared" si="14"/>
        <v>10</v>
      </c>
      <c r="V287" s="5" t="s">
        <v>59</v>
      </c>
      <c r="X287" s="5"/>
    </row>
    <row r="288" spans="1:24">
      <c r="A288" s="4">
        <v>45680</v>
      </c>
      <c r="B288" s="5" t="str">
        <f t="shared" si="12"/>
        <v>January</v>
      </c>
      <c r="C288" s="5" t="s">
        <v>20</v>
      </c>
      <c r="D288" s="5" t="s">
        <v>22</v>
      </c>
      <c r="E288" s="5">
        <v>6</v>
      </c>
      <c r="F288" s="5">
        <v>532.54</v>
      </c>
      <c r="G288" s="6">
        <f t="shared" si="13"/>
        <v>3195.24</v>
      </c>
      <c r="H288" s="5" t="s">
        <v>61</v>
      </c>
      <c r="I288" s="5" t="s">
        <v>54</v>
      </c>
      <c r="J288" s="5">
        <v>0</v>
      </c>
      <c r="K288" s="5" t="s">
        <v>82</v>
      </c>
      <c r="L288" s="6">
        <v>3195.24</v>
      </c>
      <c r="M288" s="5" t="s">
        <v>33</v>
      </c>
      <c r="N288" s="5"/>
      <c r="O288" s="5">
        <v>1</v>
      </c>
      <c r="P288" s="5" t="s">
        <v>642</v>
      </c>
      <c r="Q288" s="5" t="s">
        <v>643</v>
      </c>
      <c r="R288" s="5">
        <v>25.09</v>
      </c>
      <c r="S288" s="4">
        <v>45680</v>
      </c>
      <c r="T288" s="4">
        <v>45690</v>
      </c>
      <c r="U288" s="5">
        <f t="shared" si="14"/>
        <v>10</v>
      </c>
      <c r="V288" s="5" t="s">
        <v>94</v>
      </c>
      <c r="X288" s="5"/>
    </row>
    <row r="289" spans="1:24">
      <c r="A289" s="4">
        <v>45774</v>
      </c>
      <c r="B289" s="5" t="str">
        <f t="shared" si="12"/>
        <v>April</v>
      </c>
      <c r="C289" s="5" t="s">
        <v>20</v>
      </c>
      <c r="D289" s="5" t="s">
        <v>27</v>
      </c>
      <c r="E289" s="5">
        <v>16</v>
      </c>
      <c r="F289" s="5">
        <v>329.54</v>
      </c>
      <c r="G289" s="6">
        <f t="shared" si="13"/>
        <v>5272.64</v>
      </c>
      <c r="H289" s="5" t="s">
        <v>61</v>
      </c>
      <c r="I289" s="5" t="s">
        <v>54</v>
      </c>
      <c r="J289" s="5">
        <v>0.15</v>
      </c>
      <c r="K289" s="5" t="s">
        <v>89</v>
      </c>
      <c r="L289" s="6">
        <v>4481.744</v>
      </c>
      <c r="M289" s="5" t="s">
        <v>33</v>
      </c>
      <c r="N289" s="5" t="s">
        <v>56</v>
      </c>
      <c r="O289" s="5">
        <v>1</v>
      </c>
      <c r="P289" s="5" t="s">
        <v>644</v>
      </c>
      <c r="Q289" s="5" t="s">
        <v>645</v>
      </c>
      <c r="R289" s="5">
        <v>39.39</v>
      </c>
      <c r="S289" s="4">
        <v>45774</v>
      </c>
      <c r="T289" s="4">
        <v>45780</v>
      </c>
      <c r="U289" s="5">
        <f t="shared" si="14"/>
        <v>6</v>
      </c>
      <c r="V289" s="5" t="s">
        <v>94</v>
      </c>
      <c r="X289" s="5"/>
    </row>
    <row r="290" spans="1:24">
      <c r="A290" s="4">
        <v>45555</v>
      </c>
      <c r="B290" s="5" t="str">
        <f t="shared" si="12"/>
        <v>September</v>
      </c>
      <c r="C290" s="5" t="s">
        <v>17</v>
      </c>
      <c r="D290" s="5" t="s">
        <v>23</v>
      </c>
      <c r="E290" s="5">
        <v>6</v>
      </c>
      <c r="F290" s="5">
        <v>170.1</v>
      </c>
      <c r="G290" s="6">
        <f t="shared" si="13"/>
        <v>1020.6</v>
      </c>
      <c r="H290" s="5" t="s">
        <v>61</v>
      </c>
      <c r="I290" s="5" t="s">
        <v>62</v>
      </c>
      <c r="J290" s="5">
        <v>0</v>
      </c>
      <c r="K290" s="5" t="s">
        <v>55</v>
      </c>
      <c r="L290" s="6">
        <v>1020.6</v>
      </c>
      <c r="M290" s="5" t="s">
        <v>31</v>
      </c>
      <c r="N290" s="5" t="s">
        <v>56</v>
      </c>
      <c r="O290" s="5">
        <v>0</v>
      </c>
      <c r="P290" s="5" t="s">
        <v>646</v>
      </c>
      <c r="Q290" s="5" t="s">
        <v>647</v>
      </c>
      <c r="R290" s="5">
        <v>38.61</v>
      </c>
      <c r="S290" s="4">
        <v>45555</v>
      </c>
      <c r="T290" s="4">
        <v>45558</v>
      </c>
      <c r="U290" s="5">
        <f t="shared" si="14"/>
        <v>3</v>
      </c>
      <c r="V290" s="5" t="s">
        <v>67</v>
      </c>
      <c r="X290" s="5"/>
    </row>
    <row r="291" spans="1:24">
      <c r="A291" s="4">
        <v>45177</v>
      </c>
      <c r="B291" s="5" t="str">
        <f t="shared" si="12"/>
        <v>September</v>
      </c>
      <c r="C291" s="5" t="s">
        <v>20</v>
      </c>
      <c r="D291" s="5" t="s">
        <v>22</v>
      </c>
      <c r="E291" s="5">
        <v>19</v>
      </c>
      <c r="F291" s="5">
        <v>212.83</v>
      </c>
      <c r="G291" s="6">
        <f t="shared" si="13"/>
        <v>4043.77</v>
      </c>
      <c r="H291" s="5" t="s">
        <v>81</v>
      </c>
      <c r="I291" s="5" t="s">
        <v>54</v>
      </c>
      <c r="J291" s="5">
        <v>0.15</v>
      </c>
      <c r="K291" s="5" t="s">
        <v>78</v>
      </c>
      <c r="L291" s="6">
        <v>3437.2045</v>
      </c>
      <c r="M291" s="5" t="s">
        <v>30</v>
      </c>
      <c r="N291" s="5" t="s">
        <v>69</v>
      </c>
      <c r="O291" s="5">
        <v>0</v>
      </c>
      <c r="P291" s="5" t="s">
        <v>648</v>
      </c>
      <c r="Q291" s="5" t="s">
        <v>649</v>
      </c>
      <c r="R291" s="5">
        <v>42.88</v>
      </c>
      <c r="S291" s="4">
        <v>45177</v>
      </c>
      <c r="T291" s="4">
        <v>45184</v>
      </c>
      <c r="U291" s="5">
        <f t="shared" si="14"/>
        <v>7</v>
      </c>
      <c r="V291" s="5" t="s">
        <v>94</v>
      </c>
      <c r="X291" s="5"/>
    </row>
    <row r="292" spans="1:24">
      <c r="A292" s="4">
        <v>45767</v>
      </c>
      <c r="B292" s="5" t="str">
        <f t="shared" si="12"/>
        <v>April</v>
      </c>
      <c r="C292" s="5" t="s">
        <v>17</v>
      </c>
      <c r="D292" s="5" t="s">
        <v>22</v>
      </c>
      <c r="E292" s="5">
        <v>5</v>
      </c>
      <c r="F292" s="5">
        <v>578.92</v>
      </c>
      <c r="G292" s="6">
        <f t="shared" si="13"/>
        <v>2894.6</v>
      </c>
      <c r="H292" s="5" t="s">
        <v>61</v>
      </c>
      <c r="I292" s="5" t="s">
        <v>54</v>
      </c>
      <c r="J292" s="5">
        <v>0</v>
      </c>
      <c r="K292" s="5" t="s">
        <v>89</v>
      </c>
      <c r="L292" s="6">
        <v>2894.6</v>
      </c>
      <c r="M292" s="5" t="s">
        <v>32</v>
      </c>
      <c r="N292" s="5"/>
      <c r="O292" s="5">
        <v>1</v>
      </c>
      <c r="P292" s="5" t="s">
        <v>650</v>
      </c>
      <c r="Q292" s="5" t="s">
        <v>651</v>
      </c>
      <c r="R292" s="5">
        <v>44.09</v>
      </c>
      <c r="S292" s="4">
        <v>45767</v>
      </c>
      <c r="T292" s="4">
        <v>45775</v>
      </c>
      <c r="U292" s="5">
        <f t="shared" si="14"/>
        <v>8</v>
      </c>
      <c r="V292" s="5" t="s">
        <v>67</v>
      </c>
      <c r="X292" s="5"/>
    </row>
    <row r="293" spans="1:24">
      <c r="A293" s="4">
        <v>45463</v>
      </c>
      <c r="B293" s="5" t="str">
        <f t="shared" si="12"/>
        <v>June</v>
      </c>
      <c r="C293" s="5" t="s">
        <v>18</v>
      </c>
      <c r="D293" s="5" t="s">
        <v>23</v>
      </c>
      <c r="E293" s="5">
        <v>3</v>
      </c>
      <c r="F293" s="5">
        <v>456.92</v>
      </c>
      <c r="G293" s="6">
        <f t="shared" si="13"/>
        <v>1370.76</v>
      </c>
      <c r="H293" s="5" t="s">
        <v>77</v>
      </c>
      <c r="I293" s="5" t="s">
        <v>62</v>
      </c>
      <c r="J293" s="5">
        <v>0.1</v>
      </c>
      <c r="K293" s="5" t="s">
        <v>73</v>
      </c>
      <c r="L293" s="6">
        <v>1233.684</v>
      </c>
      <c r="M293" s="5" t="s">
        <v>31</v>
      </c>
      <c r="N293" s="5" t="s">
        <v>56</v>
      </c>
      <c r="O293" s="5">
        <v>0</v>
      </c>
      <c r="P293" s="5" t="s">
        <v>652</v>
      </c>
      <c r="Q293" s="5" t="s">
        <v>653</v>
      </c>
      <c r="R293" s="5">
        <v>17.57</v>
      </c>
      <c r="S293" s="4">
        <v>45463</v>
      </c>
      <c r="T293" s="4">
        <v>45470</v>
      </c>
      <c r="U293" s="5">
        <f t="shared" si="14"/>
        <v>7</v>
      </c>
      <c r="V293" s="5" t="s">
        <v>72</v>
      </c>
      <c r="X293" s="5"/>
    </row>
    <row r="294" spans="1:24">
      <c r="A294" s="4">
        <v>44937</v>
      </c>
      <c r="B294" s="5" t="str">
        <f t="shared" si="12"/>
        <v>January</v>
      </c>
      <c r="C294" s="5" t="s">
        <v>16</v>
      </c>
      <c r="D294" s="5" t="s">
        <v>101</v>
      </c>
      <c r="E294" s="5">
        <v>12</v>
      </c>
      <c r="F294" s="5">
        <v>521.53</v>
      </c>
      <c r="G294" s="6">
        <f t="shared" si="13"/>
        <v>6258.36</v>
      </c>
      <c r="H294" s="5" t="s">
        <v>81</v>
      </c>
      <c r="I294" s="5" t="s">
        <v>62</v>
      </c>
      <c r="J294" s="5">
        <v>0</v>
      </c>
      <c r="K294" s="5" t="s">
        <v>55</v>
      </c>
      <c r="L294" s="6">
        <v>6258.36</v>
      </c>
      <c r="M294" s="5" t="s">
        <v>32</v>
      </c>
      <c r="N294" s="5" t="s">
        <v>64</v>
      </c>
      <c r="O294" s="5">
        <v>1</v>
      </c>
      <c r="P294" s="5" t="s">
        <v>654</v>
      </c>
      <c r="Q294" s="5" t="s">
        <v>655</v>
      </c>
      <c r="R294" s="5">
        <v>49.59</v>
      </c>
      <c r="S294" s="4">
        <v>44937</v>
      </c>
      <c r="T294" s="4">
        <v>44946</v>
      </c>
      <c r="U294" s="5">
        <f t="shared" si="14"/>
        <v>9</v>
      </c>
      <c r="V294" s="5" t="s">
        <v>59</v>
      </c>
      <c r="X294" s="5"/>
    </row>
    <row r="295" spans="1:24">
      <c r="A295" s="4">
        <v>45111</v>
      </c>
      <c r="B295" s="5" t="str">
        <f t="shared" si="12"/>
        <v>July</v>
      </c>
      <c r="C295" s="5" t="s">
        <v>18</v>
      </c>
      <c r="D295" s="5" t="s">
        <v>24</v>
      </c>
      <c r="E295" s="5">
        <v>17</v>
      </c>
      <c r="F295" s="5">
        <v>468.19</v>
      </c>
      <c r="G295" s="6">
        <f t="shared" si="13"/>
        <v>7959.23</v>
      </c>
      <c r="H295" s="5" t="s">
        <v>81</v>
      </c>
      <c r="I295" s="5" t="s">
        <v>62</v>
      </c>
      <c r="J295" s="5">
        <v>0.05</v>
      </c>
      <c r="K295" s="5" t="s">
        <v>82</v>
      </c>
      <c r="L295" s="6">
        <v>7561.2685</v>
      </c>
      <c r="M295" s="5" t="s">
        <v>34</v>
      </c>
      <c r="N295" s="5"/>
      <c r="O295" s="5">
        <v>0</v>
      </c>
      <c r="P295" s="5" t="s">
        <v>656</v>
      </c>
      <c r="Q295" s="5" t="s">
        <v>657</v>
      </c>
      <c r="R295" s="5">
        <v>13.84</v>
      </c>
      <c r="S295" s="4">
        <v>45111</v>
      </c>
      <c r="T295" s="4">
        <v>45114</v>
      </c>
      <c r="U295" s="5">
        <f t="shared" si="14"/>
        <v>3</v>
      </c>
      <c r="V295" s="5" t="s">
        <v>72</v>
      </c>
      <c r="X295" s="5"/>
    </row>
    <row r="296" spans="1:24">
      <c r="A296" s="4">
        <v>45724</v>
      </c>
      <c r="B296" s="5" t="str">
        <f t="shared" si="12"/>
        <v>March</v>
      </c>
      <c r="C296" s="5" t="s">
        <v>19</v>
      </c>
      <c r="D296" s="5" t="s">
        <v>26</v>
      </c>
      <c r="E296" s="5">
        <v>9</v>
      </c>
      <c r="F296" s="5">
        <v>8.81</v>
      </c>
      <c r="G296" s="6">
        <f t="shared" si="13"/>
        <v>79.29</v>
      </c>
      <c r="H296" s="5" t="s">
        <v>81</v>
      </c>
      <c r="I296" s="5" t="s">
        <v>62</v>
      </c>
      <c r="J296" s="5">
        <v>0.15</v>
      </c>
      <c r="K296" s="5" t="s">
        <v>63</v>
      </c>
      <c r="L296" s="6">
        <v>67.3965</v>
      </c>
      <c r="M296" s="5" t="s">
        <v>30</v>
      </c>
      <c r="N296" s="5" t="s">
        <v>64</v>
      </c>
      <c r="O296" s="5">
        <v>0</v>
      </c>
      <c r="P296" s="5" t="s">
        <v>658</v>
      </c>
      <c r="Q296" s="5" t="s">
        <v>659</v>
      </c>
      <c r="R296" s="5">
        <v>42.7</v>
      </c>
      <c r="S296" s="4">
        <v>45724</v>
      </c>
      <c r="T296" s="4">
        <v>45734</v>
      </c>
      <c r="U296" s="5">
        <f t="shared" si="14"/>
        <v>10</v>
      </c>
      <c r="V296" s="5" t="s">
        <v>76</v>
      </c>
      <c r="X296" s="5"/>
    </row>
    <row r="297" spans="1:24">
      <c r="A297" s="4">
        <v>45698</v>
      </c>
      <c r="B297" s="5" t="str">
        <f t="shared" si="12"/>
        <v>February</v>
      </c>
      <c r="C297" s="5" t="s">
        <v>17</v>
      </c>
      <c r="D297" s="5" t="s">
        <v>25</v>
      </c>
      <c r="E297" s="5">
        <v>6</v>
      </c>
      <c r="F297" s="5">
        <v>521.1</v>
      </c>
      <c r="G297" s="6">
        <f t="shared" si="13"/>
        <v>3126.6</v>
      </c>
      <c r="H297" s="5" t="s">
        <v>61</v>
      </c>
      <c r="I297" s="5" t="s">
        <v>54</v>
      </c>
      <c r="J297" s="5">
        <v>0.15</v>
      </c>
      <c r="K297" s="5" t="s">
        <v>73</v>
      </c>
      <c r="L297" s="6">
        <v>2657.61</v>
      </c>
      <c r="M297" s="5" t="s">
        <v>34</v>
      </c>
      <c r="N297" s="5"/>
      <c r="O297" s="5">
        <v>0</v>
      </c>
      <c r="P297" s="5" t="s">
        <v>660</v>
      </c>
      <c r="Q297" s="5" t="s">
        <v>661</v>
      </c>
      <c r="R297" s="5">
        <v>31.14</v>
      </c>
      <c r="S297" s="4">
        <v>45698</v>
      </c>
      <c r="T297" s="4">
        <v>45700</v>
      </c>
      <c r="U297" s="5">
        <f t="shared" si="14"/>
        <v>2</v>
      </c>
      <c r="V297" s="5" t="s">
        <v>67</v>
      </c>
      <c r="X297" s="5"/>
    </row>
    <row r="298" spans="1:24">
      <c r="A298" s="4">
        <v>45733</v>
      </c>
      <c r="B298" s="5" t="str">
        <f t="shared" si="12"/>
        <v>March</v>
      </c>
      <c r="C298" s="5" t="s">
        <v>20</v>
      </c>
      <c r="D298" s="5" t="s">
        <v>26</v>
      </c>
      <c r="E298" s="5">
        <v>10</v>
      </c>
      <c r="F298" s="5">
        <v>289.91</v>
      </c>
      <c r="G298" s="6">
        <f t="shared" si="13"/>
        <v>2899.1</v>
      </c>
      <c r="H298" s="5" t="s">
        <v>77</v>
      </c>
      <c r="I298" s="5" t="s">
        <v>62</v>
      </c>
      <c r="J298" s="5">
        <v>0.1</v>
      </c>
      <c r="K298" s="5" t="s">
        <v>82</v>
      </c>
      <c r="L298" s="6">
        <v>2609.19</v>
      </c>
      <c r="M298" s="5" t="s">
        <v>34</v>
      </c>
      <c r="N298" s="5" t="s">
        <v>64</v>
      </c>
      <c r="O298" s="5">
        <v>0</v>
      </c>
      <c r="P298" s="5" t="s">
        <v>662</v>
      </c>
      <c r="Q298" s="5" t="s">
        <v>663</v>
      </c>
      <c r="R298" s="5">
        <v>32.96</v>
      </c>
      <c r="S298" s="4">
        <v>45733</v>
      </c>
      <c r="T298" s="4">
        <v>45737</v>
      </c>
      <c r="U298" s="5">
        <f t="shared" si="14"/>
        <v>4</v>
      </c>
      <c r="V298" s="5" t="s">
        <v>94</v>
      </c>
      <c r="X298" s="5"/>
    </row>
    <row r="299" spans="1:24">
      <c r="A299" s="4">
        <v>45239</v>
      </c>
      <c r="B299" s="5" t="str">
        <f t="shared" si="12"/>
        <v>November</v>
      </c>
      <c r="C299" s="5" t="s">
        <v>16</v>
      </c>
      <c r="D299" s="5" t="s">
        <v>27</v>
      </c>
      <c r="E299" s="5">
        <v>3</v>
      </c>
      <c r="F299" s="5">
        <v>142.27</v>
      </c>
      <c r="G299" s="6">
        <f t="shared" si="13"/>
        <v>426.81</v>
      </c>
      <c r="H299" s="5" t="s">
        <v>81</v>
      </c>
      <c r="I299" s="5" t="s">
        <v>62</v>
      </c>
      <c r="J299" s="5">
        <v>0.05</v>
      </c>
      <c r="K299" s="5" t="s">
        <v>89</v>
      </c>
      <c r="L299" s="6">
        <v>405.4695</v>
      </c>
      <c r="M299" s="5" t="s">
        <v>30</v>
      </c>
      <c r="N299" s="5" t="s">
        <v>64</v>
      </c>
      <c r="O299" s="5">
        <v>0</v>
      </c>
      <c r="P299" s="5" t="s">
        <v>664</v>
      </c>
      <c r="Q299" s="5" t="s">
        <v>665</v>
      </c>
      <c r="R299" s="5">
        <v>32.8</v>
      </c>
      <c r="S299" s="4">
        <v>45239</v>
      </c>
      <c r="T299" s="4">
        <v>45245</v>
      </c>
      <c r="U299" s="5">
        <f t="shared" si="14"/>
        <v>6</v>
      </c>
      <c r="V299" s="5" t="s">
        <v>59</v>
      </c>
      <c r="X299" s="5"/>
    </row>
    <row r="300" spans="1:24">
      <c r="A300" s="4">
        <v>45260</v>
      </c>
      <c r="B300" s="5" t="str">
        <f t="shared" si="12"/>
        <v>November</v>
      </c>
      <c r="C300" s="5" t="s">
        <v>19</v>
      </c>
      <c r="D300" s="5" t="s">
        <v>27</v>
      </c>
      <c r="E300" s="5">
        <v>15</v>
      </c>
      <c r="F300" s="5">
        <v>354.09</v>
      </c>
      <c r="G300" s="6">
        <f t="shared" si="13"/>
        <v>5311.35</v>
      </c>
      <c r="H300" s="5" t="s">
        <v>53</v>
      </c>
      <c r="I300" s="5" t="s">
        <v>62</v>
      </c>
      <c r="J300" s="5">
        <v>0.05</v>
      </c>
      <c r="K300" s="5" t="s">
        <v>78</v>
      </c>
      <c r="L300" s="6">
        <v>5045.7825</v>
      </c>
      <c r="M300" s="5" t="s">
        <v>30</v>
      </c>
      <c r="N300" s="5"/>
      <c r="O300" s="5">
        <v>1</v>
      </c>
      <c r="P300" s="5" t="s">
        <v>666</v>
      </c>
      <c r="Q300" s="5" t="s">
        <v>667</v>
      </c>
      <c r="R300" s="5">
        <v>25.3</v>
      </c>
      <c r="S300" s="4">
        <v>45260</v>
      </c>
      <c r="T300" s="4">
        <v>45268</v>
      </c>
      <c r="U300" s="5">
        <f t="shared" si="14"/>
        <v>8</v>
      </c>
      <c r="V300" s="5" t="s">
        <v>76</v>
      </c>
      <c r="X300" s="5"/>
    </row>
    <row r="301" spans="1:24">
      <c r="A301" s="4">
        <v>45519</v>
      </c>
      <c r="B301" s="5" t="str">
        <f t="shared" si="12"/>
        <v>August</v>
      </c>
      <c r="C301" s="5" t="s">
        <v>17</v>
      </c>
      <c r="D301" s="5" t="s">
        <v>101</v>
      </c>
      <c r="E301" s="5">
        <v>20</v>
      </c>
      <c r="F301" s="5">
        <v>358.57</v>
      </c>
      <c r="G301" s="6">
        <f t="shared" si="13"/>
        <v>7171.4</v>
      </c>
      <c r="H301" s="5" t="s">
        <v>53</v>
      </c>
      <c r="I301" s="5" t="s">
        <v>54</v>
      </c>
      <c r="J301" s="5">
        <v>0</v>
      </c>
      <c r="K301" s="5" t="s">
        <v>63</v>
      </c>
      <c r="L301" s="6">
        <v>7171.4</v>
      </c>
      <c r="M301" s="5" t="s">
        <v>33</v>
      </c>
      <c r="N301" s="5" t="s">
        <v>56</v>
      </c>
      <c r="O301" s="5">
        <v>1</v>
      </c>
      <c r="P301" s="5" t="s">
        <v>668</v>
      </c>
      <c r="Q301" s="5" t="s">
        <v>669</v>
      </c>
      <c r="R301" s="5">
        <v>21.11</v>
      </c>
      <c r="S301" s="4">
        <v>45519</v>
      </c>
      <c r="T301" s="4">
        <v>45524</v>
      </c>
      <c r="U301" s="5">
        <f t="shared" si="14"/>
        <v>5</v>
      </c>
      <c r="V301" s="5" t="s">
        <v>67</v>
      </c>
      <c r="X301" s="5"/>
    </row>
    <row r="302" spans="1:24">
      <c r="A302" s="4">
        <v>45006</v>
      </c>
      <c r="B302" s="5" t="str">
        <f t="shared" si="12"/>
        <v>March</v>
      </c>
      <c r="C302" s="5" t="s">
        <v>20</v>
      </c>
      <c r="D302" s="5" t="s">
        <v>101</v>
      </c>
      <c r="E302" s="5">
        <v>16</v>
      </c>
      <c r="F302" s="5">
        <v>33.18</v>
      </c>
      <c r="G302" s="6">
        <f t="shared" si="13"/>
        <v>530.88</v>
      </c>
      <c r="H302" s="5" t="s">
        <v>77</v>
      </c>
      <c r="I302" s="5" t="s">
        <v>62</v>
      </c>
      <c r="J302" s="5">
        <v>0.05</v>
      </c>
      <c r="K302" s="5" t="s">
        <v>55</v>
      </c>
      <c r="L302" s="6">
        <v>504.336</v>
      </c>
      <c r="M302" s="5" t="s">
        <v>30</v>
      </c>
      <c r="N302" s="5" t="s">
        <v>64</v>
      </c>
      <c r="O302" s="5">
        <v>0</v>
      </c>
      <c r="P302" s="5" t="s">
        <v>670</v>
      </c>
      <c r="Q302" s="5" t="s">
        <v>671</v>
      </c>
      <c r="R302" s="5">
        <v>22.94</v>
      </c>
      <c r="S302" s="4">
        <v>45006</v>
      </c>
      <c r="T302" s="4">
        <v>45011</v>
      </c>
      <c r="U302" s="5">
        <f t="shared" si="14"/>
        <v>5</v>
      </c>
      <c r="V302" s="5" t="s">
        <v>94</v>
      </c>
      <c r="X302" s="5"/>
    </row>
    <row r="303" spans="1:24">
      <c r="A303" s="4">
        <v>45225</v>
      </c>
      <c r="B303" s="5" t="str">
        <f t="shared" si="12"/>
        <v>October</v>
      </c>
      <c r="C303" s="5" t="s">
        <v>20</v>
      </c>
      <c r="D303" s="5" t="s">
        <v>26</v>
      </c>
      <c r="E303" s="5">
        <v>2</v>
      </c>
      <c r="F303" s="5">
        <v>124.4</v>
      </c>
      <c r="G303" s="6">
        <f t="shared" si="13"/>
        <v>248.8</v>
      </c>
      <c r="H303" s="5" t="s">
        <v>53</v>
      </c>
      <c r="I303" s="5" t="s">
        <v>62</v>
      </c>
      <c r="J303" s="5">
        <v>0</v>
      </c>
      <c r="K303" s="5" t="s">
        <v>55</v>
      </c>
      <c r="L303" s="6">
        <v>248.8</v>
      </c>
      <c r="M303" s="5" t="s">
        <v>30</v>
      </c>
      <c r="N303" s="5"/>
      <c r="O303" s="5">
        <v>0</v>
      </c>
      <c r="P303" s="5" t="s">
        <v>672</v>
      </c>
      <c r="Q303" s="5" t="s">
        <v>673</v>
      </c>
      <c r="R303" s="5">
        <v>37.05</v>
      </c>
      <c r="S303" s="4">
        <v>45225</v>
      </c>
      <c r="T303" s="4">
        <v>45230</v>
      </c>
      <c r="U303" s="5">
        <f t="shared" si="14"/>
        <v>5</v>
      </c>
      <c r="V303" s="5" t="s">
        <v>94</v>
      </c>
      <c r="X303" s="5"/>
    </row>
    <row r="304" spans="1:24">
      <c r="A304" s="4">
        <v>45233</v>
      </c>
      <c r="B304" s="5" t="str">
        <f t="shared" si="12"/>
        <v>November</v>
      </c>
      <c r="C304" s="5" t="s">
        <v>20</v>
      </c>
      <c r="D304" s="5" t="s">
        <v>23</v>
      </c>
      <c r="E304" s="5">
        <v>12</v>
      </c>
      <c r="F304" s="5">
        <v>17.76</v>
      </c>
      <c r="G304" s="6">
        <f t="shared" si="13"/>
        <v>213.12</v>
      </c>
      <c r="H304" s="5" t="s">
        <v>81</v>
      </c>
      <c r="I304" s="5" t="s">
        <v>62</v>
      </c>
      <c r="J304" s="5">
        <v>0.1</v>
      </c>
      <c r="K304" s="5" t="s">
        <v>78</v>
      </c>
      <c r="L304" s="6">
        <v>191.808</v>
      </c>
      <c r="M304" s="5" t="s">
        <v>30</v>
      </c>
      <c r="N304" s="5" t="s">
        <v>56</v>
      </c>
      <c r="O304" s="5">
        <v>0</v>
      </c>
      <c r="P304" s="5" t="s">
        <v>674</v>
      </c>
      <c r="Q304" s="5" t="s">
        <v>675</v>
      </c>
      <c r="R304" s="5">
        <v>12.18</v>
      </c>
      <c r="S304" s="4">
        <v>45233</v>
      </c>
      <c r="T304" s="4">
        <v>45241</v>
      </c>
      <c r="U304" s="5">
        <f t="shared" si="14"/>
        <v>8</v>
      </c>
      <c r="V304" s="5" t="s">
        <v>94</v>
      </c>
      <c r="X304" s="5"/>
    </row>
    <row r="305" spans="1:24">
      <c r="A305" s="4">
        <v>45687</v>
      </c>
      <c r="B305" s="5" t="str">
        <f t="shared" si="12"/>
        <v>January</v>
      </c>
      <c r="C305" s="5" t="s">
        <v>18</v>
      </c>
      <c r="D305" s="5" t="s">
        <v>25</v>
      </c>
      <c r="E305" s="5">
        <v>16</v>
      </c>
      <c r="F305" s="5">
        <v>345.53</v>
      </c>
      <c r="G305" s="6">
        <f t="shared" si="13"/>
        <v>5528.48</v>
      </c>
      <c r="H305" s="5" t="s">
        <v>77</v>
      </c>
      <c r="I305" s="5" t="s">
        <v>62</v>
      </c>
      <c r="J305" s="5">
        <v>0.15</v>
      </c>
      <c r="K305" s="5" t="s">
        <v>73</v>
      </c>
      <c r="L305" s="6">
        <v>4699.208</v>
      </c>
      <c r="M305" s="5" t="s">
        <v>31</v>
      </c>
      <c r="N305" s="5" t="s">
        <v>64</v>
      </c>
      <c r="O305" s="5">
        <v>0</v>
      </c>
      <c r="P305" s="5" t="s">
        <v>676</v>
      </c>
      <c r="Q305" s="5" t="s">
        <v>677</v>
      </c>
      <c r="R305" s="5">
        <v>13.43</v>
      </c>
      <c r="S305" s="4">
        <v>45687</v>
      </c>
      <c r="T305" s="4">
        <v>45693</v>
      </c>
      <c r="U305" s="5">
        <f t="shared" si="14"/>
        <v>6</v>
      </c>
      <c r="V305" s="5" t="s">
        <v>72</v>
      </c>
      <c r="X305" s="5"/>
    </row>
    <row r="306" spans="1:24">
      <c r="A306" s="4">
        <v>45316</v>
      </c>
      <c r="B306" s="5" t="str">
        <f t="shared" si="12"/>
        <v>January</v>
      </c>
      <c r="C306" s="5" t="s">
        <v>20</v>
      </c>
      <c r="D306" s="5" t="s">
        <v>22</v>
      </c>
      <c r="E306" s="5">
        <v>13</v>
      </c>
      <c r="F306" s="5">
        <v>453.48</v>
      </c>
      <c r="G306" s="6">
        <f t="shared" si="13"/>
        <v>5895.24</v>
      </c>
      <c r="H306" s="5" t="s">
        <v>61</v>
      </c>
      <c r="I306" s="5" t="s">
        <v>54</v>
      </c>
      <c r="J306" s="5">
        <v>0.05</v>
      </c>
      <c r="K306" s="5" t="s">
        <v>63</v>
      </c>
      <c r="L306" s="6">
        <v>5600.478</v>
      </c>
      <c r="M306" s="5" t="s">
        <v>31</v>
      </c>
      <c r="N306" s="5" t="s">
        <v>64</v>
      </c>
      <c r="O306" s="5">
        <v>0</v>
      </c>
      <c r="P306" s="5" t="s">
        <v>678</v>
      </c>
      <c r="Q306" s="5" t="s">
        <v>679</v>
      </c>
      <c r="R306" s="5">
        <v>46.28</v>
      </c>
      <c r="S306" s="4">
        <v>45316</v>
      </c>
      <c r="T306" s="4">
        <v>45325</v>
      </c>
      <c r="U306" s="5">
        <f t="shared" si="14"/>
        <v>9</v>
      </c>
      <c r="V306" s="5" t="s">
        <v>94</v>
      </c>
      <c r="X306" s="5"/>
    </row>
    <row r="307" spans="1:24">
      <c r="A307" s="4">
        <v>45745</v>
      </c>
      <c r="B307" s="5" t="str">
        <f t="shared" si="12"/>
        <v>March</v>
      </c>
      <c r="C307" s="5" t="s">
        <v>17</v>
      </c>
      <c r="D307" s="5" t="s">
        <v>22</v>
      </c>
      <c r="E307" s="5">
        <v>10</v>
      </c>
      <c r="F307" s="5">
        <v>277.74</v>
      </c>
      <c r="G307" s="6">
        <f t="shared" si="13"/>
        <v>2777.4</v>
      </c>
      <c r="H307" s="5" t="s">
        <v>53</v>
      </c>
      <c r="I307" s="5" t="s">
        <v>62</v>
      </c>
      <c r="J307" s="5">
        <v>0.15</v>
      </c>
      <c r="K307" s="5" t="s">
        <v>78</v>
      </c>
      <c r="L307" s="6">
        <v>2360.79</v>
      </c>
      <c r="M307" s="5" t="s">
        <v>31</v>
      </c>
      <c r="N307" s="5" t="s">
        <v>64</v>
      </c>
      <c r="O307" s="5">
        <v>1</v>
      </c>
      <c r="P307" s="5" t="s">
        <v>680</v>
      </c>
      <c r="Q307" s="5" t="s">
        <v>681</v>
      </c>
      <c r="R307" s="5">
        <v>35.02</v>
      </c>
      <c r="S307" s="4">
        <v>45745</v>
      </c>
      <c r="T307" s="4">
        <v>45749</v>
      </c>
      <c r="U307" s="5">
        <f t="shared" si="14"/>
        <v>4</v>
      </c>
      <c r="V307" s="5" t="s">
        <v>67</v>
      </c>
      <c r="X307" s="5"/>
    </row>
    <row r="308" spans="1:24">
      <c r="A308" s="4">
        <v>45598</v>
      </c>
      <c r="B308" s="5" t="str">
        <f t="shared" si="12"/>
        <v>November</v>
      </c>
      <c r="C308" s="5" t="s">
        <v>19</v>
      </c>
      <c r="D308" s="5" t="s">
        <v>25</v>
      </c>
      <c r="E308" s="5">
        <v>16</v>
      </c>
      <c r="F308" s="5">
        <v>89.76</v>
      </c>
      <c r="G308" s="6">
        <f t="shared" si="13"/>
        <v>1436.16</v>
      </c>
      <c r="H308" s="5" t="s">
        <v>61</v>
      </c>
      <c r="I308" s="5" t="s">
        <v>54</v>
      </c>
      <c r="J308" s="5">
        <v>0</v>
      </c>
      <c r="K308" s="5" t="s">
        <v>63</v>
      </c>
      <c r="L308" s="6">
        <v>1436.16</v>
      </c>
      <c r="M308" s="5" t="s">
        <v>33</v>
      </c>
      <c r="N308" s="5" t="s">
        <v>69</v>
      </c>
      <c r="O308" s="5">
        <v>1</v>
      </c>
      <c r="P308" s="5" t="s">
        <v>682</v>
      </c>
      <c r="Q308" s="5" t="s">
        <v>683</v>
      </c>
      <c r="R308" s="5">
        <v>44.69</v>
      </c>
      <c r="S308" s="4">
        <v>45598</v>
      </c>
      <c r="T308" s="4">
        <v>45605</v>
      </c>
      <c r="U308" s="5">
        <f t="shared" si="14"/>
        <v>7</v>
      </c>
      <c r="V308" s="5" t="s">
        <v>76</v>
      </c>
      <c r="X308" s="5"/>
    </row>
    <row r="309" spans="1:24">
      <c r="A309" s="4">
        <v>45473</v>
      </c>
      <c r="B309" s="5" t="str">
        <f t="shared" si="12"/>
        <v>June</v>
      </c>
      <c r="C309" s="5" t="s">
        <v>19</v>
      </c>
      <c r="D309" s="5" t="s">
        <v>25</v>
      </c>
      <c r="E309" s="5">
        <v>11</v>
      </c>
      <c r="F309" s="5">
        <v>535.37</v>
      </c>
      <c r="G309" s="6">
        <f t="shared" si="13"/>
        <v>5889.07</v>
      </c>
      <c r="H309" s="5" t="s">
        <v>81</v>
      </c>
      <c r="I309" s="5" t="s">
        <v>54</v>
      </c>
      <c r="J309" s="5">
        <v>0</v>
      </c>
      <c r="K309" s="5" t="s">
        <v>73</v>
      </c>
      <c r="L309" s="6">
        <v>5889.07</v>
      </c>
      <c r="M309" s="5" t="s">
        <v>34</v>
      </c>
      <c r="N309" s="5"/>
      <c r="O309" s="5">
        <v>0</v>
      </c>
      <c r="P309" s="5" t="s">
        <v>684</v>
      </c>
      <c r="Q309" s="5" t="s">
        <v>685</v>
      </c>
      <c r="R309" s="5">
        <v>35.96</v>
      </c>
      <c r="S309" s="4">
        <v>45473</v>
      </c>
      <c r="T309" s="4">
        <v>45482</v>
      </c>
      <c r="U309" s="5">
        <f t="shared" si="14"/>
        <v>9</v>
      </c>
      <c r="V309" s="5" t="s">
        <v>76</v>
      </c>
      <c r="X309" s="5"/>
    </row>
    <row r="310" spans="1:24">
      <c r="A310" s="4">
        <v>44937</v>
      </c>
      <c r="B310" s="5" t="str">
        <f t="shared" si="12"/>
        <v>January</v>
      </c>
      <c r="C310" s="5" t="s">
        <v>17</v>
      </c>
      <c r="D310" s="5" t="s">
        <v>101</v>
      </c>
      <c r="E310" s="5">
        <v>9</v>
      </c>
      <c r="F310" s="5">
        <v>15.58</v>
      </c>
      <c r="G310" s="6">
        <f t="shared" si="13"/>
        <v>140.22</v>
      </c>
      <c r="H310" s="5" t="s">
        <v>81</v>
      </c>
      <c r="I310" s="5" t="s">
        <v>62</v>
      </c>
      <c r="J310" s="5">
        <v>0.1</v>
      </c>
      <c r="K310" s="5" t="s">
        <v>73</v>
      </c>
      <c r="L310" s="6">
        <v>126.198</v>
      </c>
      <c r="M310" s="5" t="s">
        <v>31</v>
      </c>
      <c r="N310" s="5" t="s">
        <v>56</v>
      </c>
      <c r="O310" s="5">
        <v>1</v>
      </c>
      <c r="P310" s="5" t="s">
        <v>686</v>
      </c>
      <c r="Q310" s="5" t="s">
        <v>687</v>
      </c>
      <c r="R310" s="5">
        <v>27.81</v>
      </c>
      <c r="S310" s="4">
        <v>44937</v>
      </c>
      <c r="T310" s="4">
        <v>44945</v>
      </c>
      <c r="U310" s="5">
        <f t="shared" si="14"/>
        <v>8</v>
      </c>
      <c r="V310" s="5" t="s">
        <v>67</v>
      </c>
      <c r="X310" s="5"/>
    </row>
    <row r="311" spans="1:24">
      <c r="A311" s="4">
        <v>45813</v>
      </c>
      <c r="B311" s="5" t="str">
        <f t="shared" si="12"/>
        <v>June</v>
      </c>
      <c r="C311" s="5" t="s">
        <v>18</v>
      </c>
      <c r="D311" s="5" t="s">
        <v>24</v>
      </c>
      <c r="E311" s="5">
        <v>13</v>
      </c>
      <c r="F311" s="5">
        <v>466.54</v>
      </c>
      <c r="G311" s="6">
        <f t="shared" si="13"/>
        <v>6065.02</v>
      </c>
      <c r="H311" s="5" t="s">
        <v>77</v>
      </c>
      <c r="I311" s="5" t="s">
        <v>54</v>
      </c>
      <c r="J311" s="5">
        <v>0</v>
      </c>
      <c r="K311" s="5" t="s">
        <v>55</v>
      </c>
      <c r="L311" s="6">
        <v>6065.02</v>
      </c>
      <c r="M311" s="5" t="s">
        <v>34</v>
      </c>
      <c r="N311" s="5" t="s">
        <v>56</v>
      </c>
      <c r="O311" s="5">
        <v>0</v>
      </c>
      <c r="P311" s="5" t="s">
        <v>688</v>
      </c>
      <c r="Q311" s="5" t="s">
        <v>689</v>
      </c>
      <c r="R311" s="5">
        <v>18.63</v>
      </c>
      <c r="S311" s="4">
        <v>45813</v>
      </c>
      <c r="T311" s="4">
        <v>45822</v>
      </c>
      <c r="U311" s="5">
        <f t="shared" si="14"/>
        <v>9</v>
      </c>
      <c r="V311" s="5" t="s">
        <v>72</v>
      </c>
      <c r="X311" s="5"/>
    </row>
    <row r="312" spans="1:24">
      <c r="A312" s="4">
        <v>45372</v>
      </c>
      <c r="B312" s="5" t="str">
        <f t="shared" si="12"/>
        <v>March</v>
      </c>
      <c r="C312" s="5" t="s">
        <v>18</v>
      </c>
      <c r="D312" s="5" t="s">
        <v>26</v>
      </c>
      <c r="E312" s="5">
        <v>16</v>
      </c>
      <c r="F312" s="5">
        <v>593</v>
      </c>
      <c r="G312" s="6">
        <f t="shared" si="13"/>
        <v>9488</v>
      </c>
      <c r="H312" s="5" t="s">
        <v>81</v>
      </c>
      <c r="I312" s="5" t="s">
        <v>62</v>
      </c>
      <c r="J312" s="5">
        <v>0.1</v>
      </c>
      <c r="K312" s="5" t="s">
        <v>55</v>
      </c>
      <c r="L312" s="6">
        <v>8539.2</v>
      </c>
      <c r="M312" s="5" t="s">
        <v>31</v>
      </c>
      <c r="N312" s="5" t="s">
        <v>64</v>
      </c>
      <c r="O312" s="5">
        <v>0</v>
      </c>
      <c r="P312" s="5" t="s">
        <v>690</v>
      </c>
      <c r="Q312" s="5" t="s">
        <v>691</v>
      </c>
      <c r="R312" s="5">
        <v>18.77</v>
      </c>
      <c r="S312" s="4">
        <v>45372</v>
      </c>
      <c r="T312" s="4">
        <v>45375</v>
      </c>
      <c r="U312" s="5">
        <f t="shared" si="14"/>
        <v>3</v>
      </c>
      <c r="V312" s="5" t="s">
        <v>72</v>
      </c>
      <c r="X312" s="5"/>
    </row>
    <row r="313" spans="1:24">
      <c r="A313" s="4">
        <v>45169</v>
      </c>
      <c r="B313" s="5" t="str">
        <f t="shared" si="12"/>
        <v>August</v>
      </c>
      <c r="C313" s="5" t="s">
        <v>17</v>
      </c>
      <c r="D313" s="5" t="s">
        <v>24</v>
      </c>
      <c r="E313" s="5">
        <v>6</v>
      </c>
      <c r="F313" s="5">
        <v>567.36</v>
      </c>
      <c r="G313" s="6">
        <f t="shared" si="13"/>
        <v>3404.16</v>
      </c>
      <c r="H313" s="5" t="s">
        <v>77</v>
      </c>
      <c r="I313" s="5" t="s">
        <v>54</v>
      </c>
      <c r="J313" s="5">
        <v>0.05</v>
      </c>
      <c r="K313" s="5" t="s">
        <v>63</v>
      </c>
      <c r="L313" s="6">
        <v>3233.952</v>
      </c>
      <c r="M313" s="5" t="s">
        <v>31</v>
      </c>
      <c r="N313" s="5" t="s">
        <v>69</v>
      </c>
      <c r="O313" s="5">
        <v>0</v>
      </c>
      <c r="P313" s="5" t="s">
        <v>692</v>
      </c>
      <c r="Q313" s="5" t="s">
        <v>693</v>
      </c>
      <c r="R313" s="5">
        <v>45.98</v>
      </c>
      <c r="S313" s="4">
        <v>45169</v>
      </c>
      <c r="T313" s="4">
        <v>45177</v>
      </c>
      <c r="U313" s="5">
        <f t="shared" si="14"/>
        <v>8</v>
      </c>
      <c r="V313" s="5" t="s">
        <v>67</v>
      </c>
      <c r="X313" s="5"/>
    </row>
    <row r="314" spans="1:24">
      <c r="A314" s="4">
        <v>45572</v>
      </c>
      <c r="B314" s="5" t="str">
        <f t="shared" si="12"/>
        <v>October</v>
      </c>
      <c r="C314" s="5" t="s">
        <v>17</v>
      </c>
      <c r="D314" s="5" t="s">
        <v>23</v>
      </c>
      <c r="E314" s="5">
        <v>17</v>
      </c>
      <c r="F314" s="5">
        <v>523.04</v>
      </c>
      <c r="G314" s="6">
        <f t="shared" si="13"/>
        <v>8891.68</v>
      </c>
      <c r="H314" s="5" t="s">
        <v>61</v>
      </c>
      <c r="I314" s="5" t="s">
        <v>62</v>
      </c>
      <c r="J314" s="5">
        <v>0.05</v>
      </c>
      <c r="K314" s="5" t="s">
        <v>55</v>
      </c>
      <c r="L314" s="6">
        <v>8447.096</v>
      </c>
      <c r="M314" s="5" t="s">
        <v>33</v>
      </c>
      <c r="N314" s="5" t="s">
        <v>56</v>
      </c>
      <c r="O314" s="5">
        <v>0</v>
      </c>
      <c r="P314" s="5" t="s">
        <v>694</v>
      </c>
      <c r="Q314" s="5" t="s">
        <v>695</v>
      </c>
      <c r="R314" s="5">
        <v>37.38</v>
      </c>
      <c r="S314" s="4">
        <v>45572</v>
      </c>
      <c r="T314" s="4">
        <v>45582</v>
      </c>
      <c r="U314" s="5">
        <f t="shared" si="14"/>
        <v>10</v>
      </c>
      <c r="V314" s="5" t="s">
        <v>67</v>
      </c>
      <c r="X314" s="5"/>
    </row>
    <row r="315" spans="1:24">
      <c r="A315" s="4">
        <v>45028</v>
      </c>
      <c r="B315" s="5" t="str">
        <f t="shared" si="12"/>
        <v>April</v>
      </c>
      <c r="C315" s="5" t="s">
        <v>18</v>
      </c>
      <c r="D315" s="5" t="s">
        <v>22</v>
      </c>
      <c r="E315" s="5">
        <v>17</v>
      </c>
      <c r="F315" s="5">
        <v>376.4</v>
      </c>
      <c r="G315" s="6">
        <f t="shared" si="13"/>
        <v>6398.8</v>
      </c>
      <c r="H315" s="5" t="s">
        <v>77</v>
      </c>
      <c r="I315" s="5" t="s">
        <v>54</v>
      </c>
      <c r="J315" s="5">
        <v>0</v>
      </c>
      <c r="K315" s="5" t="s">
        <v>63</v>
      </c>
      <c r="L315" s="6">
        <v>6398.8</v>
      </c>
      <c r="M315" s="5" t="s">
        <v>33</v>
      </c>
      <c r="N315" s="5" t="s">
        <v>56</v>
      </c>
      <c r="O315" s="5">
        <v>0</v>
      </c>
      <c r="P315" s="5" t="s">
        <v>696</v>
      </c>
      <c r="Q315" s="5" t="s">
        <v>697</v>
      </c>
      <c r="R315" s="5">
        <v>33.38</v>
      </c>
      <c r="S315" s="4">
        <v>45028</v>
      </c>
      <c r="T315" s="4">
        <v>45031</v>
      </c>
      <c r="U315" s="5">
        <f t="shared" si="14"/>
        <v>3</v>
      </c>
      <c r="V315" s="5" t="s">
        <v>72</v>
      </c>
      <c r="X315" s="5"/>
    </row>
    <row r="316" spans="1:24">
      <c r="A316" s="4">
        <v>45236</v>
      </c>
      <c r="B316" s="5" t="str">
        <f t="shared" si="12"/>
        <v>November</v>
      </c>
      <c r="C316" s="5" t="s">
        <v>17</v>
      </c>
      <c r="D316" s="5" t="s">
        <v>27</v>
      </c>
      <c r="E316" s="5">
        <v>5</v>
      </c>
      <c r="F316" s="5">
        <v>95.19</v>
      </c>
      <c r="G316" s="6">
        <f t="shared" si="13"/>
        <v>475.95</v>
      </c>
      <c r="H316" s="5" t="s">
        <v>61</v>
      </c>
      <c r="I316" s="5" t="s">
        <v>62</v>
      </c>
      <c r="J316" s="5">
        <v>0.15</v>
      </c>
      <c r="K316" s="5" t="s">
        <v>73</v>
      </c>
      <c r="L316" s="6">
        <v>404.5575</v>
      </c>
      <c r="M316" s="5" t="s">
        <v>32</v>
      </c>
      <c r="N316" s="5" t="s">
        <v>69</v>
      </c>
      <c r="O316" s="5">
        <v>0</v>
      </c>
      <c r="P316" s="5" t="s">
        <v>698</v>
      </c>
      <c r="Q316" s="5" t="s">
        <v>699</v>
      </c>
      <c r="R316" s="5">
        <v>48.55</v>
      </c>
      <c r="S316" s="4">
        <v>45236</v>
      </c>
      <c r="T316" s="4">
        <v>45246</v>
      </c>
      <c r="U316" s="5">
        <f t="shared" si="14"/>
        <v>10</v>
      </c>
      <c r="V316" s="5" t="s">
        <v>67</v>
      </c>
      <c r="X316" s="5"/>
    </row>
    <row r="317" spans="1:24">
      <c r="A317" s="4">
        <v>45044</v>
      </c>
      <c r="B317" s="5" t="str">
        <f t="shared" si="12"/>
        <v>April</v>
      </c>
      <c r="C317" s="5" t="s">
        <v>20</v>
      </c>
      <c r="D317" s="5" t="s">
        <v>24</v>
      </c>
      <c r="E317" s="5">
        <v>2</v>
      </c>
      <c r="F317" s="5">
        <v>210.71</v>
      </c>
      <c r="G317" s="6">
        <f t="shared" si="13"/>
        <v>421.42</v>
      </c>
      <c r="H317" s="5" t="s">
        <v>81</v>
      </c>
      <c r="I317" s="5" t="s">
        <v>54</v>
      </c>
      <c r="J317" s="5">
        <v>0.15</v>
      </c>
      <c r="K317" s="5" t="s">
        <v>82</v>
      </c>
      <c r="L317" s="6">
        <v>358.207</v>
      </c>
      <c r="M317" s="5" t="s">
        <v>32</v>
      </c>
      <c r="N317" s="5" t="s">
        <v>64</v>
      </c>
      <c r="O317" s="5">
        <v>0</v>
      </c>
      <c r="P317" s="5" t="s">
        <v>700</v>
      </c>
      <c r="Q317" s="5" t="s">
        <v>701</v>
      </c>
      <c r="R317" s="5">
        <v>7.78</v>
      </c>
      <c r="S317" s="4">
        <v>45044</v>
      </c>
      <c r="T317" s="4">
        <v>45054</v>
      </c>
      <c r="U317" s="5">
        <f t="shared" si="14"/>
        <v>10</v>
      </c>
      <c r="V317" s="5" t="s">
        <v>94</v>
      </c>
      <c r="X317" s="5"/>
    </row>
    <row r="318" spans="1:24">
      <c r="A318" s="4">
        <v>45278</v>
      </c>
      <c r="B318" s="5" t="str">
        <f t="shared" si="12"/>
        <v>December</v>
      </c>
      <c r="C318" s="5" t="s">
        <v>20</v>
      </c>
      <c r="D318" s="5" t="s">
        <v>27</v>
      </c>
      <c r="E318" s="5">
        <v>7</v>
      </c>
      <c r="F318" s="5">
        <v>393.39</v>
      </c>
      <c r="G318" s="6">
        <f t="shared" si="13"/>
        <v>2753.73</v>
      </c>
      <c r="H318" s="5" t="s">
        <v>53</v>
      </c>
      <c r="I318" s="5" t="s">
        <v>62</v>
      </c>
      <c r="J318" s="5">
        <v>0.1</v>
      </c>
      <c r="K318" s="5" t="s">
        <v>63</v>
      </c>
      <c r="L318" s="6">
        <v>2478.357</v>
      </c>
      <c r="M318" s="5" t="s">
        <v>34</v>
      </c>
      <c r="N318" s="5" t="s">
        <v>64</v>
      </c>
      <c r="O318" s="5">
        <v>0</v>
      </c>
      <c r="P318" s="5" t="s">
        <v>702</v>
      </c>
      <c r="Q318" s="5" t="s">
        <v>703</v>
      </c>
      <c r="R318" s="5">
        <v>34.35</v>
      </c>
      <c r="S318" s="4">
        <v>45278</v>
      </c>
      <c r="T318" s="4">
        <v>45281</v>
      </c>
      <c r="U318" s="5">
        <f t="shared" si="14"/>
        <v>3</v>
      </c>
      <c r="V318" s="5" t="s">
        <v>94</v>
      </c>
      <c r="X318" s="5"/>
    </row>
    <row r="319" spans="1:24">
      <c r="A319" s="4">
        <v>45575</v>
      </c>
      <c r="B319" s="5" t="str">
        <f t="shared" si="12"/>
        <v>October</v>
      </c>
      <c r="C319" s="5" t="s">
        <v>17</v>
      </c>
      <c r="D319" s="5" t="s">
        <v>23</v>
      </c>
      <c r="E319" s="5">
        <v>13</v>
      </c>
      <c r="F319" s="5">
        <v>114.03</v>
      </c>
      <c r="G319" s="6">
        <f t="shared" si="13"/>
        <v>1482.39</v>
      </c>
      <c r="H319" s="5" t="s">
        <v>61</v>
      </c>
      <c r="I319" s="5" t="s">
        <v>62</v>
      </c>
      <c r="J319" s="5">
        <v>0</v>
      </c>
      <c r="K319" s="5" t="s">
        <v>89</v>
      </c>
      <c r="L319" s="6">
        <v>1482.39</v>
      </c>
      <c r="M319" s="5" t="s">
        <v>34</v>
      </c>
      <c r="N319" s="5"/>
      <c r="O319" s="5">
        <v>0</v>
      </c>
      <c r="P319" s="5" t="s">
        <v>704</v>
      </c>
      <c r="Q319" s="5" t="s">
        <v>705</v>
      </c>
      <c r="R319" s="5">
        <v>43.81</v>
      </c>
      <c r="S319" s="4">
        <v>45575</v>
      </c>
      <c r="T319" s="4">
        <v>45581</v>
      </c>
      <c r="U319" s="5">
        <f t="shared" si="14"/>
        <v>6</v>
      </c>
      <c r="V319" s="5" t="s">
        <v>67</v>
      </c>
      <c r="X319" s="5"/>
    </row>
    <row r="320" spans="1:24">
      <c r="A320" s="4">
        <v>44962</v>
      </c>
      <c r="B320" s="5" t="str">
        <f t="shared" si="12"/>
        <v>February</v>
      </c>
      <c r="C320" s="5" t="s">
        <v>18</v>
      </c>
      <c r="D320" s="5" t="s">
        <v>101</v>
      </c>
      <c r="E320" s="5">
        <v>18</v>
      </c>
      <c r="F320" s="5">
        <v>336.48</v>
      </c>
      <c r="G320" s="6">
        <f t="shared" si="13"/>
        <v>6056.64</v>
      </c>
      <c r="H320" s="5" t="s">
        <v>53</v>
      </c>
      <c r="I320" s="5" t="s">
        <v>62</v>
      </c>
      <c r="J320" s="5">
        <v>0</v>
      </c>
      <c r="K320" s="5" t="s">
        <v>73</v>
      </c>
      <c r="L320" s="6">
        <v>6056.64</v>
      </c>
      <c r="M320" s="5" t="s">
        <v>30</v>
      </c>
      <c r="N320" s="5" t="s">
        <v>69</v>
      </c>
      <c r="O320" s="5">
        <v>0</v>
      </c>
      <c r="P320" s="5" t="s">
        <v>706</v>
      </c>
      <c r="Q320" s="5" t="s">
        <v>707</v>
      </c>
      <c r="R320" s="5">
        <v>18.59</v>
      </c>
      <c r="S320" s="4">
        <v>44962</v>
      </c>
      <c r="T320" s="4">
        <v>44964</v>
      </c>
      <c r="U320" s="5">
        <f t="shared" si="14"/>
        <v>2</v>
      </c>
      <c r="V320" s="5" t="s">
        <v>72</v>
      </c>
      <c r="X320" s="5"/>
    </row>
    <row r="321" spans="1:24">
      <c r="A321" s="4">
        <v>45508</v>
      </c>
      <c r="B321" s="5" t="str">
        <f t="shared" si="12"/>
        <v>August</v>
      </c>
      <c r="C321" s="5" t="s">
        <v>19</v>
      </c>
      <c r="D321" s="5" t="s">
        <v>26</v>
      </c>
      <c r="E321" s="5">
        <v>9</v>
      </c>
      <c r="F321" s="5">
        <v>24.44</v>
      </c>
      <c r="G321" s="6">
        <f t="shared" si="13"/>
        <v>219.96</v>
      </c>
      <c r="H321" s="5" t="s">
        <v>77</v>
      </c>
      <c r="I321" s="5" t="s">
        <v>54</v>
      </c>
      <c r="J321" s="5">
        <v>0.15</v>
      </c>
      <c r="K321" s="5" t="s">
        <v>55</v>
      </c>
      <c r="L321" s="6">
        <v>186.966</v>
      </c>
      <c r="M321" s="5" t="s">
        <v>31</v>
      </c>
      <c r="N321" s="5" t="s">
        <v>64</v>
      </c>
      <c r="O321" s="5">
        <v>1</v>
      </c>
      <c r="P321" s="5" t="s">
        <v>708</v>
      </c>
      <c r="Q321" s="5" t="s">
        <v>709</v>
      </c>
      <c r="R321" s="5">
        <v>22.06</v>
      </c>
      <c r="S321" s="4">
        <v>45508</v>
      </c>
      <c r="T321" s="4">
        <v>45518</v>
      </c>
      <c r="U321" s="5">
        <f t="shared" si="14"/>
        <v>10</v>
      </c>
      <c r="V321" s="5" t="s">
        <v>76</v>
      </c>
      <c r="X321" s="5"/>
    </row>
    <row r="322" spans="1:24">
      <c r="A322" s="4">
        <v>45588</v>
      </c>
      <c r="B322" s="5" t="str">
        <f t="shared" si="12"/>
        <v>October</v>
      </c>
      <c r="C322" s="5" t="s">
        <v>19</v>
      </c>
      <c r="D322" s="5" t="s">
        <v>101</v>
      </c>
      <c r="E322" s="5">
        <v>12</v>
      </c>
      <c r="F322" s="5">
        <v>352.2</v>
      </c>
      <c r="G322" s="6">
        <f t="shared" si="13"/>
        <v>4226.4</v>
      </c>
      <c r="H322" s="5" t="s">
        <v>61</v>
      </c>
      <c r="I322" s="5" t="s">
        <v>62</v>
      </c>
      <c r="J322" s="5">
        <v>0.05</v>
      </c>
      <c r="K322" s="5" t="s">
        <v>55</v>
      </c>
      <c r="L322" s="6">
        <v>4015.08</v>
      </c>
      <c r="M322" s="5" t="s">
        <v>32</v>
      </c>
      <c r="N322" s="5" t="s">
        <v>69</v>
      </c>
      <c r="O322" s="5">
        <v>0</v>
      </c>
      <c r="P322" s="5" t="s">
        <v>710</v>
      </c>
      <c r="Q322" s="5" t="s">
        <v>711</v>
      </c>
      <c r="R322" s="5">
        <v>18.39</v>
      </c>
      <c r="S322" s="4">
        <v>45588</v>
      </c>
      <c r="T322" s="4">
        <v>45597</v>
      </c>
      <c r="U322" s="5">
        <f t="shared" si="14"/>
        <v>9</v>
      </c>
      <c r="V322" s="5" t="s">
        <v>76</v>
      </c>
      <c r="X322" s="5"/>
    </row>
    <row r="323" spans="1:24">
      <c r="A323" s="4">
        <v>45335</v>
      </c>
      <c r="B323" s="5" t="str">
        <f t="shared" ref="B323:B386" si="15">TEXT(A323,"mmmm")</f>
        <v>February</v>
      </c>
      <c r="C323" s="5" t="s">
        <v>20</v>
      </c>
      <c r="D323" s="5" t="s">
        <v>26</v>
      </c>
      <c r="E323" s="5">
        <v>7</v>
      </c>
      <c r="F323" s="5">
        <v>353.99</v>
      </c>
      <c r="G323" s="6">
        <f t="shared" ref="G323:G386" si="16">F323*E323</f>
        <v>2477.93</v>
      </c>
      <c r="H323" s="5" t="s">
        <v>77</v>
      </c>
      <c r="I323" s="5" t="s">
        <v>54</v>
      </c>
      <c r="J323" s="5">
        <v>0.05</v>
      </c>
      <c r="K323" s="5" t="s">
        <v>78</v>
      </c>
      <c r="L323" s="6">
        <v>2354.0335</v>
      </c>
      <c r="M323" s="5" t="s">
        <v>31</v>
      </c>
      <c r="N323" s="5" t="s">
        <v>56</v>
      </c>
      <c r="O323" s="5">
        <v>0</v>
      </c>
      <c r="P323" s="5" t="s">
        <v>712</v>
      </c>
      <c r="Q323" s="5" t="s">
        <v>713</v>
      </c>
      <c r="R323" s="5">
        <v>5.93</v>
      </c>
      <c r="S323" s="4">
        <v>45335</v>
      </c>
      <c r="T323" s="4">
        <v>45342</v>
      </c>
      <c r="U323" s="5">
        <f t="shared" ref="U323:U386" si="17">T323-S323</f>
        <v>7</v>
      </c>
      <c r="V323" s="5" t="s">
        <v>94</v>
      </c>
      <c r="X323" s="5"/>
    </row>
    <row r="324" spans="1:24">
      <c r="A324" s="4">
        <v>45446</v>
      </c>
      <c r="B324" s="5" t="str">
        <f t="shared" si="15"/>
        <v>June</v>
      </c>
      <c r="C324" s="5" t="s">
        <v>17</v>
      </c>
      <c r="D324" s="5" t="s">
        <v>101</v>
      </c>
      <c r="E324" s="5">
        <v>15</v>
      </c>
      <c r="F324" s="5">
        <v>10.22</v>
      </c>
      <c r="G324" s="6">
        <f t="shared" si="16"/>
        <v>153.3</v>
      </c>
      <c r="H324" s="5" t="s">
        <v>77</v>
      </c>
      <c r="I324" s="5" t="s">
        <v>62</v>
      </c>
      <c r="J324" s="5">
        <v>0</v>
      </c>
      <c r="K324" s="5" t="s">
        <v>63</v>
      </c>
      <c r="L324" s="6">
        <v>153.3</v>
      </c>
      <c r="M324" s="5" t="s">
        <v>31</v>
      </c>
      <c r="N324" s="5" t="s">
        <v>56</v>
      </c>
      <c r="O324" s="5">
        <v>0</v>
      </c>
      <c r="P324" s="5" t="s">
        <v>714</v>
      </c>
      <c r="Q324" s="5" t="s">
        <v>715</v>
      </c>
      <c r="R324" s="5">
        <v>36.27</v>
      </c>
      <c r="S324" s="4">
        <v>45446</v>
      </c>
      <c r="T324" s="4">
        <v>45450</v>
      </c>
      <c r="U324" s="5">
        <f t="shared" si="17"/>
        <v>4</v>
      </c>
      <c r="V324" s="5" t="s">
        <v>67</v>
      </c>
      <c r="X324" s="5"/>
    </row>
    <row r="325" spans="1:24">
      <c r="A325" s="4">
        <v>45030</v>
      </c>
      <c r="B325" s="5" t="str">
        <f t="shared" si="15"/>
        <v>April</v>
      </c>
      <c r="C325" s="5" t="s">
        <v>17</v>
      </c>
      <c r="D325" s="5" t="s">
        <v>27</v>
      </c>
      <c r="E325" s="5">
        <v>17</v>
      </c>
      <c r="F325" s="5">
        <v>464.16</v>
      </c>
      <c r="G325" s="6">
        <f t="shared" si="16"/>
        <v>7890.72</v>
      </c>
      <c r="H325" s="5" t="s">
        <v>61</v>
      </c>
      <c r="I325" s="5" t="s">
        <v>62</v>
      </c>
      <c r="J325" s="5">
        <v>0.15</v>
      </c>
      <c r="K325" s="5" t="s">
        <v>78</v>
      </c>
      <c r="L325" s="6">
        <v>6707.112</v>
      </c>
      <c r="M325" s="5" t="s">
        <v>33</v>
      </c>
      <c r="N325" s="5" t="s">
        <v>56</v>
      </c>
      <c r="O325" s="5">
        <v>1</v>
      </c>
      <c r="P325" s="5" t="s">
        <v>716</v>
      </c>
      <c r="Q325" s="5" t="s">
        <v>717</v>
      </c>
      <c r="R325" s="5">
        <v>46.83</v>
      </c>
      <c r="S325" s="4">
        <v>45030</v>
      </c>
      <c r="T325" s="4">
        <v>45034</v>
      </c>
      <c r="U325" s="5">
        <f t="shared" si="17"/>
        <v>4</v>
      </c>
      <c r="V325" s="5" t="s">
        <v>67</v>
      </c>
      <c r="X325" s="5"/>
    </row>
    <row r="326" spans="1:24">
      <c r="A326" s="4">
        <v>45584</v>
      </c>
      <c r="B326" s="5" t="str">
        <f t="shared" si="15"/>
        <v>October</v>
      </c>
      <c r="C326" s="5" t="s">
        <v>19</v>
      </c>
      <c r="D326" s="5" t="s">
        <v>22</v>
      </c>
      <c r="E326" s="5">
        <v>16</v>
      </c>
      <c r="F326" s="5">
        <v>436.31</v>
      </c>
      <c r="G326" s="6">
        <f t="shared" si="16"/>
        <v>6980.96</v>
      </c>
      <c r="H326" s="5" t="s">
        <v>77</v>
      </c>
      <c r="I326" s="5" t="s">
        <v>62</v>
      </c>
      <c r="J326" s="5">
        <v>0.05</v>
      </c>
      <c r="K326" s="5" t="s">
        <v>82</v>
      </c>
      <c r="L326" s="6">
        <v>6631.912</v>
      </c>
      <c r="M326" s="5" t="s">
        <v>30</v>
      </c>
      <c r="N326" s="5"/>
      <c r="O326" s="5">
        <v>0</v>
      </c>
      <c r="P326" s="5" t="s">
        <v>718</v>
      </c>
      <c r="Q326" s="5" t="s">
        <v>719</v>
      </c>
      <c r="R326" s="5">
        <v>47.61</v>
      </c>
      <c r="S326" s="4">
        <v>45584</v>
      </c>
      <c r="T326" s="4">
        <v>45588</v>
      </c>
      <c r="U326" s="5">
        <f t="shared" si="17"/>
        <v>4</v>
      </c>
      <c r="V326" s="5" t="s">
        <v>76</v>
      </c>
      <c r="X326" s="5"/>
    </row>
    <row r="327" spans="1:24">
      <c r="A327" s="4">
        <v>45278</v>
      </c>
      <c r="B327" s="5" t="str">
        <f t="shared" si="15"/>
        <v>December</v>
      </c>
      <c r="C327" s="5" t="s">
        <v>17</v>
      </c>
      <c r="D327" s="5" t="s">
        <v>22</v>
      </c>
      <c r="E327" s="5">
        <v>9</v>
      </c>
      <c r="F327" s="5">
        <v>219.93</v>
      </c>
      <c r="G327" s="6">
        <f t="shared" si="16"/>
        <v>1979.37</v>
      </c>
      <c r="H327" s="5" t="s">
        <v>53</v>
      </c>
      <c r="I327" s="5" t="s">
        <v>54</v>
      </c>
      <c r="J327" s="5">
        <v>0.05</v>
      </c>
      <c r="K327" s="5" t="s">
        <v>89</v>
      </c>
      <c r="L327" s="6">
        <v>1880.4015</v>
      </c>
      <c r="M327" s="5" t="s">
        <v>31</v>
      </c>
      <c r="N327" s="5" t="s">
        <v>56</v>
      </c>
      <c r="O327" s="5">
        <v>0</v>
      </c>
      <c r="P327" s="5" t="s">
        <v>720</v>
      </c>
      <c r="Q327" s="5" t="s">
        <v>721</v>
      </c>
      <c r="R327" s="5">
        <v>44.78</v>
      </c>
      <c r="S327" s="4">
        <v>45278</v>
      </c>
      <c r="T327" s="4">
        <v>45282</v>
      </c>
      <c r="U327" s="5">
        <f t="shared" si="17"/>
        <v>4</v>
      </c>
      <c r="V327" s="5" t="s">
        <v>67</v>
      </c>
      <c r="X327" s="5"/>
    </row>
    <row r="328" spans="1:24">
      <c r="A328" s="4">
        <v>45169</v>
      </c>
      <c r="B328" s="5" t="str">
        <f t="shared" si="15"/>
        <v>August</v>
      </c>
      <c r="C328" s="5" t="s">
        <v>18</v>
      </c>
      <c r="D328" s="5" t="s">
        <v>22</v>
      </c>
      <c r="E328" s="5">
        <v>5</v>
      </c>
      <c r="F328" s="5">
        <v>311.22</v>
      </c>
      <c r="G328" s="6">
        <f t="shared" si="16"/>
        <v>1556.1</v>
      </c>
      <c r="H328" s="5" t="s">
        <v>61</v>
      </c>
      <c r="I328" s="5" t="s">
        <v>54</v>
      </c>
      <c r="J328" s="5">
        <v>0.15</v>
      </c>
      <c r="K328" s="5" t="s">
        <v>82</v>
      </c>
      <c r="L328" s="6">
        <v>1322.685</v>
      </c>
      <c r="M328" s="5" t="s">
        <v>34</v>
      </c>
      <c r="N328" s="5" t="s">
        <v>56</v>
      </c>
      <c r="O328" s="5">
        <v>0</v>
      </c>
      <c r="P328" s="5" t="s">
        <v>722</v>
      </c>
      <c r="Q328" s="5" t="s">
        <v>723</v>
      </c>
      <c r="R328" s="5">
        <v>36.98</v>
      </c>
      <c r="S328" s="4">
        <v>45169</v>
      </c>
      <c r="T328" s="4">
        <v>45175</v>
      </c>
      <c r="U328" s="5">
        <f t="shared" si="17"/>
        <v>6</v>
      </c>
      <c r="V328" s="5" t="s">
        <v>72</v>
      </c>
      <c r="X328" s="5"/>
    </row>
    <row r="329" spans="1:24">
      <c r="A329" s="4">
        <v>45188</v>
      </c>
      <c r="B329" s="5" t="str">
        <f t="shared" si="15"/>
        <v>September</v>
      </c>
      <c r="C329" s="5" t="s">
        <v>17</v>
      </c>
      <c r="D329" s="5" t="s">
        <v>22</v>
      </c>
      <c r="E329" s="5">
        <v>4</v>
      </c>
      <c r="F329" s="5">
        <v>547.56</v>
      </c>
      <c r="G329" s="6">
        <f t="shared" si="16"/>
        <v>2190.24</v>
      </c>
      <c r="H329" s="5" t="s">
        <v>81</v>
      </c>
      <c r="I329" s="5" t="s">
        <v>62</v>
      </c>
      <c r="J329" s="5">
        <v>0.15</v>
      </c>
      <c r="K329" s="5" t="s">
        <v>73</v>
      </c>
      <c r="L329" s="6">
        <v>1861.704</v>
      </c>
      <c r="M329" s="5" t="s">
        <v>31</v>
      </c>
      <c r="N329" s="5"/>
      <c r="O329" s="5">
        <v>0</v>
      </c>
      <c r="P329" s="5" t="s">
        <v>724</v>
      </c>
      <c r="Q329" s="5" t="s">
        <v>725</v>
      </c>
      <c r="R329" s="5">
        <v>25.88</v>
      </c>
      <c r="S329" s="4">
        <v>45188</v>
      </c>
      <c r="T329" s="4">
        <v>45195</v>
      </c>
      <c r="U329" s="5">
        <f t="shared" si="17"/>
        <v>7</v>
      </c>
      <c r="V329" s="5" t="s">
        <v>67</v>
      </c>
      <c r="X329" s="5"/>
    </row>
    <row r="330" spans="1:24">
      <c r="A330" s="4">
        <v>44984</v>
      </c>
      <c r="B330" s="5" t="str">
        <f t="shared" si="15"/>
        <v>February</v>
      </c>
      <c r="C330" s="5" t="s">
        <v>19</v>
      </c>
      <c r="D330" s="5" t="s">
        <v>22</v>
      </c>
      <c r="E330" s="5">
        <v>9</v>
      </c>
      <c r="F330" s="5">
        <v>52.69</v>
      </c>
      <c r="G330" s="6">
        <f t="shared" si="16"/>
        <v>474.21</v>
      </c>
      <c r="H330" s="5" t="s">
        <v>81</v>
      </c>
      <c r="I330" s="5" t="s">
        <v>62</v>
      </c>
      <c r="J330" s="5">
        <v>0.15</v>
      </c>
      <c r="K330" s="5" t="s">
        <v>82</v>
      </c>
      <c r="L330" s="6">
        <v>403.0785</v>
      </c>
      <c r="M330" s="5" t="s">
        <v>30</v>
      </c>
      <c r="N330" s="5" t="s">
        <v>64</v>
      </c>
      <c r="O330" s="5">
        <v>0</v>
      </c>
      <c r="P330" s="5" t="s">
        <v>726</v>
      </c>
      <c r="Q330" s="5" t="s">
        <v>727</v>
      </c>
      <c r="R330" s="5">
        <v>14.59</v>
      </c>
      <c r="S330" s="4">
        <v>44984</v>
      </c>
      <c r="T330" s="4">
        <v>44989</v>
      </c>
      <c r="U330" s="5">
        <f t="shared" si="17"/>
        <v>5</v>
      </c>
      <c r="V330" s="5" t="s">
        <v>76</v>
      </c>
      <c r="X330" s="5"/>
    </row>
    <row r="331" spans="1:24">
      <c r="A331" s="4">
        <v>45319</v>
      </c>
      <c r="B331" s="5" t="str">
        <f t="shared" si="15"/>
        <v>January</v>
      </c>
      <c r="C331" s="5" t="s">
        <v>17</v>
      </c>
      <c r="D331" s="5" t="s">
        <v>101</v>
      </c>
      <c r="E331" s="5">
        <v>9</v>
      </c>
      <c r="F331" s="5">
        <v>434.74</v>
      </c>
      <c r="G331" s="6">
        <f t="shared" si="16"/>
        <v>3912.66</v>
      </c>
      <c r="H331" s="5" t="s">
        <v>81</v>
      </c>
      <c r="I331" s="5" t="s">
        <v>54</v>
      </c>
      <c r="J331" s="5">
        <v>0.1</v>
      </c>
      <c r="K331" s="5" t="s">
        <v>89</v>
      </c>
      <c r="L331" s="6">
        <v>3521.394</v>
      </c>
      <c r="M331" s="5" t="s">
        <v>30</v>
      </c>
      <c r="N331" s="5" t="s">
        <v>64</v>
      </c>
      <c r="O331" s="5">
        <v>0</v>
      </c>
      <c r="P331" s="5" t="s">
        <v>728</v>
      </c>
      <c r="Q331" s="5" t="s">
        <v>729</v>
      </c>
      <c r="R331" s="5">
        <v>20.11</v>
      </c>
      <c r="S331" s="4">
        <v>45319</v>
      </c>
      <c r="T331" s="4">
        <v>45322</v>
      </c>
      <c r="U331" s="5">
        <f t="shared" si="17"/>
        <v>3</v>
      </c>
      <c r="V331" s="5" t="s">
        <v>67</v>
      </c>
      <c r="X331" s="5"/>
    </row>
    <row r="332" spans="1:24">
      <c r="A332" s="4">
        <v>45783</v>
      </c>
      <c r="B332" s="5" t="str">
        <f t="shared" si="15"/>
        <v>May</v>
      </c>
      <c r="C332" s="5" t="s">
        <v>17</v>
      </c>
      <c r="D332" s="5" t="s">
        <v>26</v>
      </c>
      <c r="E332" s="5">
        <v>9</v>
      </c>
      <c r="F332" s="5">
        <v>124.17</v>
      </c>
      <c r="G332" s="6">
        <f t="shared" si="16"/>
        <v>1117.53</v>
      </c>
      <c r="H332" s="5" t="s">
        <v>77</v>
      </c>
      <c r="I332" s="5" t="s">
        <v>54</v>
      </c>
      <c r="J332" s="5">
        <v>0</v>
      </c>
      <c r="K332" s="5" t="s">
        <v>55</v>
      </c>
      <c r="L332" s="6">
        <v>1117.53</v>
      </c>
      <c r="M332" s="5" t="s">
        <v>33</v>
      </c>
      <c r="N332" s="5" t="s">
        <v>69</v>
      </c>
      <c r="O332" s="5">
        <v>0</v>
      </c>
      <c r="P332" s="5" t="s">
        <v>730</v>
      </c>
      <c r="Q332" s="5" t="s">
        <v>731</v>
      </c>
      <c r="R332" s="5">
        <v>13.31</v>
      </c>
      <c r="S332" s="4">
        <v>45783</v>
      </c>
      <c r="T332" s="4">
        <v>45787</v>
      </c>
      <c r="U332" s="5">
        <f t="shared" si="17"/>
        <v>4</v>
      </c>
      <c r="V332" s="5" t="s">
        <v>67</v>
      </c>
      <c r="X332" s="5"/>
    </row>
    <row r="333" spans="1:24">
      <c r="A333" s="4">
        <v>45548</v>
      </c>
      <c r="B333" s="5" t="str">
        <f t="shared" si="15"/>
        <v>September</v>
      </c>
      <c r="C333" s="5" t="s">
        <v>16</v>
      </c>
      <c r="D333" s="5" t="s">
        <v>26</v>
      </c>
      <c r="E333" s="5">
        <v>2</v>
      </c>
      <c r="F333" s="5">
        <v>375.48</v>
      </c>
      <c r="G333" s="6">
        <f t="shared" si="16"/>
        <v>750.96</v>
      </c>
      <c r="H333" s="5" t="s">
        <v>81</v>
      </c>
      <c r="I333" s="5" t="s">
        <v>62</v>
      </c>
      <c r="J333" s="5">
        <v>0.05</v>
      </c>
      <c r="K333" s="5" t="s">
        <v>82</v>
      </c>
      <c r="L333" s="6">
        <v>713.412</v>
      </c>
      <c r="M333" s="5" t="s">
        <v>32</v>
      </c>
      <c r="N333" s="5" t="s">
        <v>56</v>
      </c>
      <c r="O333" s="5">
        <v>0</v>
      </c>
      <c r="P333" s="5" t="s">
        <v>732</v>
      </c>
      <c r="Q333" s="5" t="s">
        <v>733</v>
      </c>
      <c r="R333" s="5">
        <v>26.39</v>
      </c>
      <c r="S333" s="4">
        <v>45548</v>
      </c>
      <c r="T333" s="4">
        <v>45550</v>
      </c>
      <c r="U333" s="5">
        <f t="shared" si="17"/>
        <v>2</v>
      </c>
      <c r="V333" s="5" t="s">
        <v>59</v>
      </c>
      <c r="X333" s="5"/>
    </row>
    <row r="334" spans="1:24">
      <c r="A334" s="4">
        <v>45071</v>
      </c>
      <c r="B334" s="5" t="str">
        <f t="shared" si="15"/>
        <v>May</v>
      </c>
      <c r="C334" s="5" t="s">
        <v>16</v>
      </c>
      <c r="D334" s="5" t="s">
        <v>27</v>
      </c>
      <c r="E334" s="5">
        <v>13</v>
      </c>
      <c r="F334" s="5">
        <v>211.06</v>
      </c>
      <c r="G334" s="6">
        <f t="shared" si="16"/>
        <v>2743.78</v>
      </c>
      <c r="H334" s="5" t="s">
        <v>53</v>
      </c>
      <c r="I334" s="5" t="s">
        <v>62</v>
      </c>
      <c r="J334" s="5">
        <v>0.1</v>
      </c>
      <c r="K334" s="5" t="s">
        <v>89</v>
      </c>
      <c r="L334" s="6">
        <v>2469.402</v>
      </c>
      <c r="M334" s="5" t="s">
        <v>31</v>
      </c>
      <c r="N334" s="5"/>
      <c r="O334" s="5">
        <v>1</v>
      </c>
      <c r="P334" s="5" t="s">
        <v>734</v>
      </c>
      <c r="Q334" s="5" t="s">
        <v>735</v>
      </c>
      <c r="R334" s="5">
        <v>19.58</v>
      </c>
      <c r="S334" s="4">
        <v>45071</v>
      </c>
      <c r="T334" s="4">
        <v>45075</v>
      </c>
      <c r="U334" s="5">
        <f t="shared" si="17"/>
        <v>4</v>
      </c>
      <c r="V334" s="5" t="s">
        <v>59</v>
      </c>
      <c r="X334" s="5"/>
    </row>
    <row r="335" spans="1:24">
      <c r="A335" s="4">
        <v>45561</v>
      </c>
      <c r="B335" s="5" t="str">
        <f t="shared" si="15"/>
        <v>September</v>
      </c>
      <c r="C335" s="5" t="s">
        <v>17</v>
      </c>
      <c r="D335" s="5" t="s">
        <v>101</v>
      </c>
      <c r="E335" s="5">
        <v>7</v>
      </c>
      <c r="F335" s="5">
        <v>88.87</v>
      </c>
      <c r="G335" s="6">
        <f t="shared" si="16"/>
        <v>622.09</v>
      </c>
      <c r="H335" s="5" t="s">
        <v>77</v>
      </c>
      <c r="I335" s="5" t="s">
        <v>62</v>
      </c>
      <c r="J335" s="5">
        <v>0</v>
      </c>
      <c r="K335" s="5" t="s">
        <v>63</v>
      </c>
      <c r="L335" s="6">
        <v>622.09</v>
      </c>
      <c r="M335" s="5" t="s">
        <v>30</v>
      </c>
      <c r="N335" s="5" t="s">
        <v>64</v>
      </c>
      <c r="O335" s="5">
        <v>0</v>
      </c>
      <c r="P335" s="5" t="s">
        <v>736</v>
      </c>
      <c r="Q335" s="5" t="s">
        <v>737</v>
      </c>
      <c r="R335" s="5">
        <v>8.36</v>
      </c>
      <c r="S335" s="4">
        <v>45561</v>
      </c>
      <c r="T335" s="4">
        <v>45566</v>
      </c>
      <c r="U335" s="5">
        <f t="shared" si="17"/>
        <v>5</v>
      </c>
      <c r="V335" s="5" t="s">
        <v>67</v>
      </c>
      <c r="X335" s="5"/>
    </row>
    <row r="336" spans="1:24">
      <c r="A336" s="4">
        <v>44970</v>
      </c>
      <c r="B336" s="5" t="str">
        <f t="shared" si="15"/>
        <v>February</v>
      </c>
      <c r="C336" s="5" t="s">
        <v>17</v>
      </c>
      <c r="D336" s="5" t="s">
        <v>23</v>
      </c>
      <c r="E336" s="5">
        <v>5</v>
      </c>
      <c r="F336" s="5">
        <v>254.24</v>
      </c>
      <c r="G336" s="6">
        <f t="shared" si="16"/>
        <v>1271.2</v>
      </c>
      <c r="H336" s="5" t="s">
        <v>53</v>
      </c>
      <c r="I336" s="5" t="s">
        <v>54</v>
      </c>
      <c r="J336" s="5">
        <v>0.05</v>
      </c>
      <c r="K336" s="5" t="s">
        <v>89</v>
      </c>
      <c r="L336" s="6">
        <v>1207.64</v>
      </c>
      <c r="M336" s="5" t="s">
        <v>30</v>
      </c>
      <c r="N336" s="5"/>
      <c r="O336" s="5">
        <v>0</v>
      </c>
      <c r="P336" s="5" t="s">
        <v>738</v>
      </c>
      <c r="Q336" s="5" t="s">
        <v>739</v>
      </c>
      <c r="R336" s="5">
        <v>9.97</v>
      </c>
      <c r="S336" s="4">
        <v>44970</v>
      </c>
      <c r="T336" s="4">
        <v>44975</v>
      </c>
      <c r="U336" s="5">
        <f t="shared" si="17"/>
        <v>5</v>
      </c>
      <c r="V336" s="5" t="s">
        <v>67</v>
      </c>
      <c r="X336" s="5"/>
    </row>
    <row r="337" spans="1:24">
      <c r="A337" s="4">
        <v>45463</v>
      </c>
      <c r="B337" s="5" t="str">
        <f t="shared" si="15"/>
        <v>June</v>
      </c>
      <c r="C337" s="5" t="s">
        <v>19</v>
      </c>
      <c r="D337" s="5" t="s">
        <v>25</v>
      </c>
      <c r="E337" s="5">
        <v>5</v>
      </c>
      <c r="F337" s="5">
        <v>432.35</v>
      </c>
      <c r="G337" s="6">
        <f t="shared" si="16"/>
        <v>2161.75</v>
      </c>
      <c r="H337" s="5" t="s">
        <v>77</v>
      </c>
      <c r="I337" s="5" t="s">
        <v>54</v>
      </c>
      <c r="J337" s="5">
        <v>0.1</v>
      </c>
      <c r="K337" s="5" t="s">
        <v>89</v>
      </c>
      <c r="L337" s="6">
        <v>1945.575</v>
      </c>
      <c r="M337" s="5" t="s">
        <v>31</v>
      </c>
      <c r="N337" s="5"/>
      <c r="O337" s="5">
        <v>1</v>
      </c>
      <c r="P337" s="5" t="s">
        <v>740</v>
      </c>
      <c r="Q337" s="5" t="s">
        <v>741</v>
      </c>
      <c r="R337" s="5">
        <v>41.48</v>
      </c>
      <c r="S337" s="4">
        <v>45463</v>
      </c>
      <c r="T337" s="4">
        <v>45470</v>
      </c>
      <c r="U337" s="5">
        <f t="shared" si="17"/>
        <v>7</v>
      </c>
      <c r="V337" s="5" t="s">
        <v>76</v>
      </c>
      <c r="X337" s="5"/>
    </row>
    <row r="338" spans="1:24">
      <c r="A338" s="4">
        <v>45373</v>
      </c>
      <c r="B338" s="5" t="str">
        <f t="shared" si="15"/>
        <v>March</v>
      </c>
      <c r="C338" s="5" t="s">
        <v>20</v>
      </c>
      <c r="D338" s="5" t="s">
        <v>22</v>
      </c>
      <c r="E338" s="5">
        <v>19</v>
      </c>
      <c r="F338" s="5">
        <v>590</v>
      </c>
      <c r="G338" s="6">
        <f t="shared" si="16"/>
        <v>11210</v>
      </c>
      <c r="H338" s="5" t="s">
        <v>81</v>
      </c>
      <c r="I338" s="5" t="s">
        <v>62</v>
      </c>
      <c r="J338" s="5">
        <v>0.05</v>
      </c>
      <c r="K338" s="5" t="s">
        <v>63</v>
      </c>
      <c r="L338" s="6">
        <v>10649.5</v>
      </c>
      <c r="M338" s="5" t="s">
        <v>30</v>
      </c>
      <c r="N338" s="5" t="s">
        <v>56</v>
      </c>
      <c r="O338" s="5">
        <v>0</v>
      </c>
      <c r="P338" s="5" t="s">
        <v>742</v>
      </c>
      <c r="Q338" s="5" t="s">
        <v>743</v>
      </c>
      <c r="R338" s="5">
        <v>5.91</v>
      </c>
      <c r="S338" s="4">
        <v>45373</v>
      </c>
      <c r="T338" s="4">
        <v>45376</v>
      </c>
      <c r="U338" s="5">
        <f t="shared" si="17"/>
        <v>3</v>
      </c>
      <c r="V338" s="5" t="s">
        <v>94</v>
      </c>
      <c r="X338" s="5"/>
    </row>
    <row r="339" spans="1:24">
      <c r="A339" s="4">
        <v>45330</v>
      </c>
      <c r="B339" s="5" t="str">
        <f t="shared" si="15"/>
        <v>February</v>
      </c>
      <c r="C339" s="5" t="s">
        <v>20</v>
      </c>
      <c r="D339" s="5" t="s">
        <v>26</v>
      </c>
      <c r="E339" s="5">
        <v>11</v>
      </c>
      <c r="F339" s="5">
        <v>151.25</v>
      </c>
      <c r="G339" s="6">
        <f t="shared" si="16"/>
        <v>1663.75</v>
      </c>
      <c r="H339" s="5" t="s">
        <v>53</v>
      </c>
      <c r="I339" s="5" t="s">
        <v>54</v>
      </c>
      <c r="J339" s="5">
        <v>0.1</v>
      </c>
      <c r="K339" s="5" t="s">
        <v>73</v>
      </c>
      <c r="L339" s="6">
        <v>1497.375</v>
      </c>
      <c r="M339" s="5" t="s">
        <v>32</v>
      </c>
      <c r="N339" s="5"/>
      <c r="O339" s="5">
        <v>1</v>
      </c>
      <c r="P339" s="5" t="s">
        <v>744</v>
      </c>
      <c r="Q339" s="5" t="s">
        <v>745</v>
      </c>
      <c r="R339" s="5">
        <v>22.65</v>
      </c>
      <c r="S339" s="4">
        <v>45330</v>
      </c>
      <c r="T339" s="4">
        <v>45333</v>
      </c>
      <c r="U339" s="5">
        <f t="shared" si="17"/>
        <v>3</v>
      </c>
      <c r="V339" s="5" t="s">
        <v>94</v>
      </c>
      <c r="X339" s="5"/>
    </row>
    <row r="340" spans="1:24">
      <c r="A340" s="4">
        <v>45444</v>
      </c>
      <c r="B340" s="5" t="str">
        <f t="shared" si="15"/>
        <v>June</v>
      </c>
      <c r="C340" s="5" t="s">
        <v>16</v>
      </c>
      <c r="D340" s="5" t="s">
        <v>24</v>
      </c>
      <c r="E340" s="5">
        <v>3</v>
      </c>
      <c r="F340" s="5">
        <v>204.79</v>
      </c>
      <c r="G340" s="6">
        <f t="shared" si="16"/>
        <v>614.37</v>
      </c>
      <c r="H340" s="5" t="s">
        <v>53</v>
      </c>
      <c r="I340" s="5" t="s">
        <v>62</v>
      </c>
      <c r="J340" s="5">
        <v>0.1</v>
      </c>
      <c r="K340" s="5" t="s">
        <v>73</v>
      </c>
      <c r="L340" s="6">
        <v>552.933</v>
      </c>
      <c r="M340" s="5" t="s">
        <v>30</v>
      </c>
      <c r="N340" s="5" t="s">
        <v>56</v>
      </c>
      <c r="O340" s="5">
        <v>1</v>
      </c>
      <c r="P340" s="5" t="s">
        <v>746</v>
      </c>
      <c r="Q340" s="5" t="s">
        <v>747</v>
      </c>
      <c r="R340" s="5">
        <v>7.72</v>
      </c>
      <c r="S340" s="4">
        <v>45444</v>
      </c>
      <c r="T340" s="4">
        <v>45447</v>
      </c>
      <c r="U340" s="5">
        <f t="shared" si="17"/>
        <v>3</v>
      </c>
      <c r="V340" s="5" t="s">
        <v>59</v>
      </c>
      <c r="X340" s="5"/>
    </row>
    <row r="341" spans="1:24">
      <c r="A341" s="4">
        <v>45438</v>
      </c>
      <c r="B341" s="5" t="str">
        <f t="shared" si="15"/>
        <v>May</v>
      </c>
      <c r="C341" s="5" t="s">
        <v>18</v>
      </c>
      <c r="D341" s="5" t="s">
        <v>22</v>
      </c>
      <c r="E341" s="5">
        <v>16</v>
      </c>
      <c r="F341" s="5">
        <v>586.52</v>
      </c>
      <c r="G341" s="6">
        <f t="shared" si="16"/>
        <v>9384.32</v>
      </c>
      <c r="H341" s="5" t="s">
        <v>77</v>
      </c>
      <c r="I341" s="5" t="s">
        <v>54</v>
      </c>
      <c r="J341" s="5">
        <v>0</v>
      </c>
      <c r="K341" s="5" t="s">
        <v>82</v>
      </c>
      <c r="L341" s="6">
        <v>9384.32</v>
      </c>
      <c r="M341" s="5" t="s">
        <v>32</v>
      </c>
      <c r="N341" s="5" t="s">
        <v>69</v>
      </c>
      <c r="O341" s="5">
        <v>1</v>
      </c>
      <c r="P341" s="5" t="s">
        <v>748</v>
      </c>
      <c r="Q341" s="5" t="s">
        <v>749</v>
      </c>
      <c r="R341" s="5">
        <v>17.06</v>
      </c>
      <c r="S341" s="4">
        <v>45438</v>
      </c>
      <c r="T341" s="4">
        <v>45444</v>
      </c>
      <c r="U341" s="5">
        <f t="shared" si="17"/>
        <v>6</v>
      </c>
      <c r="V341" s="5" t="s">
        <v>72</v>
      </c>
      <c r="X341" s="5"/>
    </row>
    <row r="342" spans="1:24">
      <c r="A342" s="4">
        <v>45468</v>
      </c>
      <c r="B342" s="5" t="str">
        <f t="shared" si="15"/>
        <v>June</v>
      </c>
      <c r="C342" s="5" t="s">
        <v>16</v>
      </c>
      <c r="D342" s="5" t="s">
        <v>27</v>
      </c>
      <c r="E342" s="5">
        <v>16</v>
      </c>
      <c r="F342" s="5">
        <v>104.83</v>
      </c>
      <c r="G342" s="6">
        <f t="shared" si="16"/>
        <v>1677.28</v>
      </c>
      <c r="H342" s="5" t="s">
        <v>61</v>
      </c>
      <c r="I342" s="5" t="s">
        <v>54</v>
      </c>
      <c r="J342" s="5">
        <v>0</v>
      </c>
      <c r="K342" s="5" t="s">
        <v>78</v>
      </c>
      <c r="L342" s="6">
        <v>1677.28</v>
      </c>
      <c r="M342" s="5" t="s">
        <v>31</v>
      </c>
      <c r="N342" s="5" t="s">
        <v>56</v>
      </c>
      <c r="O342" s="5">
        <v>0</v>
      </c>
      <c r="P342" s="5" t="s">
        <v>750</v>
      </c>
      <c r="Q342" s="5" t="s">
        <v>603</v>
      </c>
      <c r="R342" s="5">
        <v>33.99</v>
      </c>
      <c r="S342" s="4">
        <v>45468</v>
      </c>
      <c r="T342" s="4">
        <v>45473</v>
      </c>
      <c r="U342" s="5">
        <f t="shared" si="17"/>
        <v>5</v>
      </c>
      <c r="V342" s="5" t="s">
        <v>59</v>
      </c>
      <c r="X342" s="5"/>
    </row>
    <row r="343" spans="1:24">
      <c r="A343" s="4">
        <v>45320</v>
      </c>
      <c r="B343" s="5" t="str">
        <f t="shared" si="15"/>
        <v>January</v>
      </c>
      <c r="C343" s="5" t="s">
        <v>19</v>
      </c>
      <c r="D343" s="5" t="s">
        <v>27</v>
      </c>
      <c r="E343" s="5">
        <v>16</v>
      </c>
      <c r="F343" s="5">
        <v>598.48</v>
      </c>
      <c r="G343" s="6">
        <f t="shared" si="16"/>
        <v>9575.68</v>
      </c>
      <c r="H343" s="5" t="s">
        <v>61</v>
      </c>
      <c r="I343" s="5" t="s">
        <v>62</v>
      </c>
      <c r="J343" s="5">
        <v>0.1</v>
      </c>
      <c r="K343" s="5" t="s">
        <v>73</v>
      </c>
      <c r="L343" s="6">
        <v>8618.112</v>
      </c>
      <c r="M343" s="5" t="s">
        <v>34</v>
      </c>
      <c r="N343" s="5"/>
      <c r="O343" s="5">
        <v>0</v>
      </c>
      <c r="P343" s="5" t="s">
        <v>751</v>
      </c>
      <c r="Q343" s="5" t="s">
        <v>752</v>
      </c>
      <c r="R343" s="5">
        <v>47.86</v>
      </c>
      <c r="S343" s="4">
        <v>45320</v>
      </c>
      <c r="T343" s="4">
        <v>45329</v>
      </c>
      <c r="U343" s="5">
        <f t="shared" si="17"/>
        <v>9</v>
      </c>
      <c r="V343" s="5" t="s">
        <v>76</v>
      </c>
      <c r="X343" s="5"/>
    </row>
    <row r="344" spans="1:24">
      <c r="A344" s="4">
        <v>45633</v>
      </c>
      <c r="B344" s="5" t="str">
        <f t="shared" si="15"/>
        <v>December</v>
      </c>
      <c r="C344" s="5" t="s">
        <v>17</v>
      </c>
      <c r="D344" s="5" t="s">
        <v>25</v>
      </c>
      <c r="E344" s="5">
        <v>8</v>
      </c>
      <c r="F344" s="5">
        <v>367.89</v>
      </c>
      <c r="G344" s="6">
        <f t="shared" si="16"/>
        <v>2943.12</v>
      </c>
      <c r="H344" s="5" t="s">
        <v>53</v>
      </c>
      <c r="I344" s="5" t="s">
        <v>62</v>
      </c>
      <c r="J344" s="5">
        <v>0.05</v>
      </c>
      <c r="K344" s="5" t="s">
        <v>63</v>
      </c>
      <c r="L344" s="6">
        <v>2795.964</v>
      </c>
      <c r="M344" s="5" t="s">
        <v>34</v>
      </c>
      <c r="N344" s="5" t="s">
        <v>56</v>
      </c>
      <c r="O344" s="5">
        <v>0</v>
      </c>
      <c r="P344" s="5" t="s">
        <v>753</v>
      </c>
      <c r="Q344" s="5" t="s">
        <v>754</v>
      </c>
      <c r="R344" s="5">
        <v>18.1</v>
      </c>
      <c r="S344" s="4">
        <v>45633</v>
      </c>
      <c r="T344" s="4">
        <v>45635</v>
      </c>
      <c r="U344" s="5">
        <f t="shared" si="17"/>
        <v>2</v>
      </c>
      <c r="V344" s="5" t="s">
        <v>67</v>
      </c>
      <c r="X344" s="5"/>
    </row>
    <row r="345" spans="1:24">
      <c r="A345" s="4">
        <v>45251</v>
      </c>
      <c r="B345" s="5" t="str">
        <f t="shared" si="15"/>
        <v>November</v>
      </c>
      <c r="C345" s="5" t="s">
        <v>20</v>
      </c>
      <c r="D345" s="5" t="s">
        <v>25</v>
      </c>
      <c r="E345" s="5">
        <v>10</v>
      </c>
      <c r="F345" s="5">
        <v>333.35</v>
      </c>
      <c r="G345" s="6">
        <f t="shared" si="16"/>
        <v>3333.5</v>
      </c>
      <c r="H345" s="5" t="s">
        <v>61</v>
      </c>
      <c r="I345" s="5" t="s">
        <v>62</v>
      </c>
      <c r="J345" s="5">
        <v>0.15</v>
      </c>
      <c r="K345" s="5" t="s">
        <v>63</v>
      </c>
      <c r="L345" s="6">
        <v>2833.475</v>
      </c>
      <c r="M345" s="5" t="s">
        <v>33</v>
      </c>
      <c r="N345" s="5" t="s">
        <v>56</v>
      </c>
      <c r="O345" s="5">
        <v>0</v>
      </c>
      <c r="P345" s="5" t="s">
        <v>755</v>
      </c>
      <c r="Q345" s="5" t="s">
        <v>756</v>
      </c>
      <c r="R345" s="5">
        <v>39.35</v>
      </c>
      <c r="S345" s="4">
        <v>45251</v>
      </c>
      <c r="T345" s="4">
        <v>45256</v>
      </c>
      <c r="U345" s="5">
        <f t="shared" si="17"/>
        <v>5</v>
      </c>
      <c r="V345" s="5" t="s">
        <v>94</v>
      </c>
      <c r="X345" s="5"/>
    </row>
    <row r="346" spans="1:24">
      <c r="A346" s="4">
        <v>45642</v>
      </c>
      <c r="B346" s="5" t="str">
        <f t="shared" si="15"/>
        <v>December</v>
      </c>
      <c r="C346" s="5" t="s">
        <v>18</v>
      </c>
      <c r="D346" s="5" t="s">
        <v>25</v>
      </c>
      <c r="E346" s="5">
        <v>8</v>
      </c>
      <c r="F346" s="5">
        <v>378.88</v>
      </c>
      <c r="G346" s="6">
        <f t="shared" si="16"/>
        <v>3031.04</v>
      </c>
      <c r="H346" s="5" t="s">
        <v>61</v>
      </c>
      <c r="I346" s="5" t="s">
        <v>54</v>
      </c>
      <c r="J346" s="5">
        <v>0.1</v>
      </c>
      <c r="K346" s="5" t="s">
        <v>73</v>
      </c>
      <c r="L346" s="6">
        <v>2727.936</v>
      </c>
      <c r="M346" s="5" t="s">
        <v>33</v>
      </c>
      <c r="N346" s="5" t="s">
        <v>69</v>
      </c>
      <c r="O346" s="5">
        <v>1</v>
      </c>
      <c r="P346" s="5" t="s">
        <v>757</v>
      </c>
      <c r="Q346" s="5" t="s">
        <v>758</v>
      </c>
      <c r="R346" s="5">
        <v>5.22</v>
      </c>
      <c r="S346" s="4">
        <v>45642</v>
      </c>
      <c r="T346" s="4">
        <v>45650</v>
      </c>
      <c r="U346" s="5">
        <f t="shared" si="17"/>
        <v>8</v>
      </c>
      <c r="V346" s="5" t="s">
        <v>72</v>
      </c>
      <c r="X346" s="5"/>
    </row>
    <row r="347" spans="1:24">
      <c r="A347" s="4">
        <v>45143</v>
      </c>
      <c r="B347" s="5" t="str">
        <f t="shared" si="15"/>
        <v>August</v>
      </c>
      <c r="C347" s="5" t="s">
        <v>19</v>
      </c>
      <c r="D347" s="5" t="s">
        <v>26</v>
      </c>
      <c r="E347" s="5">
        <v>12</v>
      </c>
      <c r="F347" s="5">
        <v>169.2</v>
      </c>
      <c r="G347" s="6">
        <f t="shared" si="16"/>
        <v>2030.4</v>
      </c>
      <c r="H347" s="5" t="s">
        <v>77</v>
      </c>
      <c r="I347" s="5" t="s">
        <v>62</v>
      </c>
      <c r="J347" s="5">
        <v>0.05</v>
      </c>
      <c r="K347" s="5" t="s">
        <v>82</v>
      </c>
      <c r="L347" s="6">
        <v>1928.88</v>
      </c>
      <c r="M347" s="5" t="s">
        <v>31</v>
      </c>
      <c r="N347" s="5" t="s">
        <v>64</v>
      </c>
      <c r="O347" s="5">
        <v>0</v>
      </c>
      <c r="P347" s="5" t="s">
        <v>759</v>
      </c>
      <c r="Q347" s="5" t="s">
        <v>760</v>
      </c>
      <c r="R347" s="5">
        <v>28.65</v>
      </c>
      <c r="S347" s="4">
        <v>45143</v>
      </c>
      <c r="T347" s="4">
        <v>45153</v>
      </c>
      <c r="U347" s="5">
        <f t="shared" si="17"/>
        <v>10</v>
      </c>
      <c r="V347" s="5" t="s">
        <v>76</v>
      </c>
      <c r="X347" s="5"/>
    </row>
    <row r="348" spans="1:24">
      <c r="A348" s="4">
        <v>45168</v>
      </c>
      <c r="B348" s="5" t="str">
        <f t="shared" si="15"/>
        <v>August</v>
      </c>
      <c r="C348" s="5" t="s">
        <v>19</v>
      </c>
      <c r="D348" s="5" t="s">
        <v>25</v>
      </c>
      <c r="E348" s="5">
        <v>7</v>
      </c>
      <c r="F348" s="5">
        <v>103.03</v>
      </c>
      <c r="G348" s="6">
        <f t="shared" si="16"/>
        <v>721.21</v>
      </c>
      <c r="H348" s="5" t="s">
        <v>81</v>
      </c>
      <c r="I348" s="5" t="s">
        <v>62</v>
      </c>
      <c r="J348" s="5">
        <v>0.1</v>
      </c>
      <c r="K348" s="5" t="s">
        <v>89</v>
      </c>
      <c r="L348" s="6">
        <v>649.089</v>
      </c>
      <c r="M348" s="5" t="s">
        <v>30</v>
      </c>
      <c r="N348" s="5" t="s">
        <v>56</v>
      </c>
      <c r="O348" s="5">
        <v>1</v>
      </c>
      <c r="P348" s="5" t="s">
        <v>761</v>
      </c>
      <c r="Q348" s="5" t="s">
        <v>762</v>
      </c>
      <c r="R348" s="5">
        <v>5.29</v>
      </c>
      <c r="S348" s="4">
        <v>45168</v>
      </c>
      <c r="T348" s="4">
        <v>45175</v>
      </c>
      <c r="U348" s="5">
        <f t="shared" si="17"/>
        <v>7</v>
      </c>
      <c r="V348" s="5" t="s">
        <v>76</v>
      </c>
      <c r="X348" s="5"/>
    </row>
    <row r="349" spans="1:24">
      <c r="A349" s="4">
        <v>45741</v>
      </c>
      <c r="B349" s="5" t="str">
        <f t="shared" si="15"/>
        <v>March</v>
      </c>
      <c r="C349" s="5" t="s">
        <v>16</v>
      </c>
      <c r="D349" s="5" t="s">
        <v>27</v>
      </c>
      <c r="E349" s="5">
        <v>3</v>
      </c>
      <c r="F349" s="5">
        <v>378.74</v>
      </c>
      <c r="G349" s="6">
        <f t="shared" si="16"/>
        <v>1136.22</v>
      </c>
      <c r="H349" s="5" t="s">
        <v>81</v>
      </c>
      <c r="I349" s="5" t="s">
        <v>54</v>
      </c>
      <c r="J349" s="5">
        <v>0.15</v>
      </c>
      <c r="K349" s="5" t="s">
        <v>73</v>
      </c>
      <c r="L349" s="6">
        <v>965.787</v>
      </c>
      <c r="M349" s="5" t="s">
        <v>30</v>
      </c>
      <c r="N349" s="5" t="s">
        <v>64</v>
      </c>
      <c r="O349" s="5">
        <v>0</v>
      </c>
      <c r="P349" s="5" t="s">
        <v>763</v>
      </c>
      <c r="Q349" s="5" t="s">
        <v>764</v>
      </c>
      <c r="R349" s="5">
        <v>8.22</v>
      </c>
      <c r="S349" s="4">
        <v>45741</v>
      </c>
      <c r="T349" s="4">
        <v>45743</v>
      </c>
      <c r="U349" s="5">
        <f t="shared" si="17"/>
        <v>2</v>
      </c>
      <c r="V349" s="5" t="s">
        <v>59</v>
      </c>
      <c r="X349" s="5"/>
    </row>
    <row r="350" spans="1:24">
      <c r="A350" s="4">
        <v>45639</v>
      </c>
      <c r="B350" s="5" t="str">
        <f t="shared" si="15"/>
        <v>December</v>
      </c>
      <c r="C350" s="5" t="s">
        <v>18</v>
      </c>
      <c r="D350" s="5" t="s">
        <v>23</v>
      </c>
      <c r="E350" s="5">
        <v>15</v>
      </c>
      <c r="F350" s="5">
        <v>27.21</v>
      </c>
      <c r="G350" s="6">
        <f t="shared" si="16"/>
        <v>408.15</v>
      </c>
      <c r="H350" s="5" t="s">
        <v>77</v>
      </c>
      <c r="I350" s="5" t="s">
        <v>54</v>
      </c>
      <c r="J350" s="5">
        <v>0</v>
      </c>
      <c r="K350" s="5" t="s">
        <v>63</v>
      </c>
      <c r="L350" s="6">
        <v>408.15</v>
      </c>
      <c r="M350" s="5" t="s">
        <v>30</v>
      </c>
      <c r="N350" s="5" t="s">
        <v>69</v>
      </c>
      <c r="O350" s="5">
        <v>0</v>
      </c>
      <c r="P350" s="5" t="s">
        <v>765</v>
      </c>
      <c r="Q350" s="5" t="s">
        <v>766</v>
      </c>
      <c r="R350" s="5">
        <v>43.69</v>
      </c>
      <c r="S350" s="4">
        <v>45639</v>
      </c>
      <c r="T350" s="4">
        <v>45648</v>
      </c>
      <c r="U350" s="5">
        <f t="shared" si="17"/>
        <v>9</v>
      </c>
      <c r="V350" s="5" t="s">
        <v>72</v>
      </c>
      <c r="X350" s="5"/>
    </row>
    <row r="351" spans="1:24">
      <c r="A351" s="4">
        <v>45176</v>
      </c>
      <c r="B351" s="5" t="str">
        <f t="shared" si="15"/>
        <v>September</v>
      </c>
      <c r="C351" s="5" t="s">
        <v>19</v>
      </c>
      <c r="D351" s="5" t="s">
        <v>23</v>
      </c>
      <c r="E351" s="5">
        <v>14</v>
      </c>
      <c r="F351" s="5">
        <v>52.09</v>
      </c>
      <c r="G351" s="6">
        <f t="shared" si="16"/>
        <v>729.26</v>
      </c>
      <c r="H351" s="5" t="s">
        <v>61</v>
      </c>
      <c r="I351" s="5" t="s">
        <v>62</v>
      </c>
      <c r="J351" s="5">
        <v>0</v>
      </c>
      <c r="K351" s="5" t="s">
        <v>89</v>
      </c>
      <c r="L351" s="6">
        <v>729.26</v>
      </c>
      <c r="M351" s="5" t="s">
        <v>31</v>
      </c>
      <c r="N351" s="5"/>
      <c r="O351" s="5">
        <v>1</v>
      </c>
      <c r="P351" s="5" t="s">
        <v>767</v>
      </c>
      <c r="Q351" s="5" t="s">
        <v>768</v>
      </c>
      <c r="R351" s="5">
        <v>48.02</v>
      </c>
      <c r="S351" s="4">
        <v>45176</v>
      </c>
      <c r="T351" s="4">
        <v>45183</v>
      </c>
      <c r="U351" s="5">
        <f t="shared" si="17"/>
        <v>7</v>
      </c>
      <c r="V351" s="5" t="s">
        <v>76</v>
      </c>
      <c r="X351" s="5"/>
    </row>
    <row r="352" spans="1:24">
      <c r="A352" s="4">
        <v>45272</v>
      </c>
      <c r="B352" s="5" t="str">
        <f t="shared" si="15"/>
        <v>December</v>
      </c>
      <c r="C352" s="5" t="s">
        <v>18</v>
      </c>
      <c r="D352" s="5" t="s">
        <v>26</v>
      </c>
      <c r="E352" s="5">
        <v>7</v>
      </c>
      <c r="F352" s="5">
        <v>570.01</v>
      </c>
      <c r="G352" s="6">
        <f t="shared" si="16"/>
        <v>3990.07</v>
      </c>
      <c r="H352" s="5" t="s">
        <v>77</v>
      </c>
      <c r="I352" s="5" t="s">
        <v>54</v>
      </c>
      <c r="J352" s="5">
        <v>0</v>
      </c>
      <c r="K352" s="5" t="s">
        <v>78</v>
      </c>
      <c r="L352" s="6">
        <v>3990.07</v>
      </c>
      <c r="M352" s="5" t="s">
        <v>32</v>
      </c>
      <c r="N352" s="5" t="s">
        <v>69</v>
      </c>
      <c r="O352" s="5">
        <v>0</v>
      </c>
      <c r="P352" s="5" t="s">
        <v>769</v>
      </c>
      <c r="Q352" s="5" t="s">
        <v>770</v>
      </c>
      <c r="R352" s="5">
        <v>42.33</v>
      </c>
      <c r="S352" s="4">
        <v>45272</v>
      </c>
      <c r="T352" s="4">
        <v>45281</v>
      </c>
      <c r="U352" s="5">
        <f t="shared" si="17"/>
        <v>9</v>
      </c>
      <c r="V352" s="5" t="s">
        <v>72</v>
      </c>
      <c r="X352" s="5"/>
    </row>
    <row r="353" spans="1:24">
      <c r="A353" s="4">
        <v>45407</v>
      </c>
      <c r="B353" s="5" t="str">
        <f t="shared" si="15"/>
        <v>April</v>
      </c>
      <c r="C353" s="5" t="s">
        <v>16</v>
      </c>
      <c r="D353" s="5" t="s">
        <v>26</v>
      </c>
      <c r="E353" s="5">
        <v>19</v>
      </c>
      <c r="F353" s="5">
        <v>526.23</v>
      </c>
      <c r="G353" s="6">
        <f t="shared" si="16"/>
        <v>9998.37</v>
      </c>
      <c r="H353" s="5" t="s">
        <v>53</v>
      </c>
      <c r="I353" s="5" t="s">
        <v>62</v>
      </c>
      <c r="J353" s="5">
        <v>0</v>
      </c>
      <c r="K353" s="5" t="s">
        <v>89</v>
      </c>
      <c r="L353" s="6">
        <v>9998.37</v>
      </c>
      <c r="M353" s="5" t="s">
        <v>32</v>
      </c>
      <c r="N353" s="5" t="s">
        <v>69</v>
      </c>
      <c r="O353" s="5">
        <v>0</v>
      </c>
      <c r="P353" s="5" t="s">
        <v>771</v>
      </c>
      <c r="Q353" s="5" t="s">
        <v>772</v>
      </c>
      <c r="R353" s="5">
        <v>32.77</v>
      </c>
      <c r="S353" s="4">
        <v>45407</v>
      </c>
      <c r="T353" s="4">
        <v>45417</v>
      </c>
      <c r="U353" s="5">
        <f t="shared" si="17"/>
        <v>10</v>
      </c>
      <c r="V353" s="5" t="s">
        <v>59</v>
      </c>
      <c r="X353" s="5"/>
    </row>
    <row r="354" spans="1:24">
      <c r="A354" s="4">
        <v>45781</v>
      </c>
      <c r="B354" s="5" t="str">
        <f t="shared" si="15"/>
        <v>May</v>
      </c>
      <c r="C354" s="5" t="s">
        <v>18</v>
      </c>
      <c r="D354" s="5" t="s">
        <v>22</v>
      </c>
      <c r="E354" s="5">
        <v>8</v>
      </c>
      <c r="F354" s="5">
        <v>294.51</v>
      </c>
      <c r="G354" s="6">
        <f t="shared" si="16"/>
        <v>2356.08</v>
      </c>
      <c r="H354" s="5" t="s">
        <v>61</v>
      </c>
      <c r="I354" s="5" t="s">
        <v>54</v>
      </c>
      <c r="J354" s="5">
        <v>0.15</v>
      </c>
      <c r="K354" s="5" t="s">
        <v>82</v>
      </c>
      <c r="L354" s="6">
        <v>2002.668</v>
      </c>
      <c r="M354" s="5" t="s">
        <v>31</v>
      </c>
      <c r="N354" s="5"/>
      <c r="O354" s="5">
        <v>0</v>
      </c>
      <c r="P354" s="5" t="s">
        <v>773</v>
      </c>
      <c r="Q354" s="5" t="s">
        <v>774</v>
      </c>
      <c r="R354" s="5">
        <v>10.46</v>
      </c>
      <c r="S354" s="4">
        <v>45781</v>
      </c>
      <c r="T354" s="4">
        <v>45784</v>
      </c>
      <c r="U354" s="5">
        <f t="shared" si="17"/>
        <v>3</v>
      </c>
      <c r="V354" s="5" t="s">
        <v>72</v>
      </c>
      <c r="X354" s="5"/>
    </row>
    <row r="355" spans="1:24">
      <c r="A355" s="4">
        <v>45185</v>
      </c>
      <c r="B355" s="5" t="str">
        <f t="shared" si="15"/>
        <v>September</v>
      </c>
      <c r="C355" s="5" t="s">
        <v>17</v>
      </c>
      <c r="D355" s="5" t="s">
        <v>26</v>
      </c>
      <c r="E355" s="5">
        <v>18</v>
      </c>
      <c r="F355" s="5">
        <v>448.27</v>
      </c>
      <c r="G355" s="6">
        <f t="shared" si="16"/>
        <v>8068.86</v>
      </c>
      <c r="H355" s="5" t="s">
        <v>77</v>
      </c>
      <c r="I355" s="5" t="s">
        <v>54</v>
      </c>
      <c r="J355" s="5">
        <v>0.05</v>
      </c>
      <c r="K355" s="5" t="s">
        <v>82</v>
      </c>
      <c r="L355" s="6">
        <v>7665.417</v>
      </c>
      <c r="M355" s="5" t="s">
        <v>32</v>
      </c>
      <c r="N355" s="5" t="s">
        <v>64</v>
      </c>
      <c r="O355" s="5">
        <v>0</v>
      </c>
      <c r="P355" s="5" t="s">
        <v>775</v>
      </c>
      <c r="Q355" s="5" t="s">
        <v>776</v>
      </c>
      <c r="R355" s="5">
        <v>47.56</v>
      </c>
      <c r="S355" s="4">
        <v>45185</v>
      </c>
      <c r="T355" s="4">
        <v>45189</v>
      </c>
      <c r="U355" s="5">
        <f t="shared" si="17"/>
        <v>4</v>
      </c>
      <c r="V355" s="5" t="s">
        <v>67</v>
      </c>
      <c r="X355" s="5"/>
    </row>
    <row r="356" spans="1:24">
      <c r="A356" s="4">
        <v>45588</v>
      </c>
      <c r="B356" s="5" t="str">
        <f t="shared" si="15"/>
        <v>October</v>
      </c>
      <c r="C356" s="5" t="s">
        <v>20</v>
      </c>
      <c r="D356" s="5" t="s">
        <v>24</v>
      </c>
      <c r="E356" s="5">
        <v>17</v>
      </c>
      <c r="F356" s="5">
        <v>583.88</v>
      </c>
      <c r="G356" s="6">
        <f t="shared" si="16"/>
        <v>9925.96</v>
      </c>
      <c r="H356" s="5" t="s">
        <v>81</v>
      </c>
      <c r="I356" s="5" t="s">
        <v>62</v>
      </c>
      <c r="J356" s="5">
        <v>0.1</v>
      </c>
      <c r="K356" s="5" t="s">
        <v>63</v>
      </c>
      <c r="L356" s="6">
        <v>8933.364</v>
      </c>
      <c r="M356" s="5" t="s">
        <v>32</v>
      </c>
      <c r="N356" s="5" t="s">
        <v>69</v>
      </c>
      <c r="O356" s="5">
        <v>0</v>
      </c>
      <c r="P356" s="5" t="s">
        <v>777</v>
      </c>
      <c r="Q356" s="5" t="s">
        <v>778</v>
      </c>
      <c r="R356" s="5">
        <v>37.53</v>
      </c>
      <c r="S356" s="4">
        <v>45588</v>
      </c>
      <c r="T356" s="4">
        <v>45591</v>
      </c>
      <c r="U356" s="5">
        <f t="shared" si="17"/>
        <v>3</v>
      </c>
      <c r="V356" s="5" t="s">
        <v>94</v>
      </c>
      <c r="X356" s="5"/>
    </row>
    <row r="357" spans="1:24">
      <c r="A357" s="4">
        <v>45049</v>
      </c>
      <c r="B357" s="5" t="str">
        <f t="shared" si="15"/>
        <v>May</v>
      </c>
      <c r="C357" s="5" t="s">
        <v>18</v>
      </c>
      <c r="D357" s="5" t="s">
        <v>24</v>
      </c>
      <c r="E357" s="5">
        <v>2</v>
      </c>
      <c r="F357" s="5">
        <v>97.5</v>
      </c>
      <c r="G357" s="6">
        <f t="shared" si="16"/>
        <v>195</v>
      </c>
      <c r="H357" s="5" t="s">
        <v>81</v>
      </c>
      <c r="I357" s="5" t="s">
        <v>62</v>
      </c>
      <c r="J357" s="5">
        <v>0.1</v>
      </c>
      <c r="K357" s="5" t="s">
        <v>63</v>
      </c>
      <c r="L357" s="6">
        <v>175.5</v>
      </c>
      <c r="M357" s="5" t="s">
        <v>34</v>
      </c>
      <c r="N357" s="5"/>
      <c r="O357" s="5">
        <v>1</v>
      </c>
      <c r="P357" s="5" t="s">
        <v>779</v>
      </c>
      <c r="Q357" s="5" t="s">
        <v>780</v>
      </c>
      <c r="R357" s="5">
        <v>46.37</v>
      </c>
      <c r="S357" s="4">
        <v>45049</v>
      </c>
      <c r="T357" s="4">
        <v>45052</v>
      </c>
      <c r="U357" s="5">
        <f t="shared" si="17"/>
        <v>3</v>
      </c>
      <c r="V357" s="5" t="s">
        <v>72</v>
      </c>
      <c r="X357" s="5"/>
    </row>
    <row r="358" spans="1:24">
      <c r="A358" s="4">
        <v>45734</v>
      </c>
      <c r="B358" s="5" t="str">
        <f t="shared" si="15"/>
        <v>March</v>
      </c>
      <c r="C358" s="5" t="s">
        <v>18</v>
      </c>
      <c r="D358" s="5" t="s">
        <v>27</v>
      </c>
      <c r="E358" s="5">
        <v>16</v>
      </c>
      <c r="F358" s="5">
        <v>420.79</v>
      </c>
      <c r="G358" s="6">
        <f t="shared" si="16"/>
        <v>6732.64</v>
      </c>
      <c r="H358" s="5" t="s">
        <v>53</v>
      </c>
      <c r="I358" s="5" t="s">
        <v>54</v>
      </c>
      <c r="J358" s="5">
        <v>0.15</v>
      </c>
      <c r="K358" s="5" t="s">
        <v>78</v>
      </c>
      <c r="L358" s="6">
        <v>5722.744</v>
      </c>
      <c r="M358" s="5" t="s">
        <v>34</v>
      </c>
      <c r="N358" s="5" t="s">
        <v>56</v>
      </c>
      <c r="O358" s="5">
        <v>1</v>
      </c>
      <c r="P358" s="5" t="s">
        <v>781</v>
      </c>
      <c r="Q358" s="5" t="s">
        <v>169</v>
      </c>
      <c r="R358" s="5">
        <v>22.13</v>
      </c>
      <c r="S358" s="4">
        <v>45734</v>
      </c>
      <c r="T358" s="4">
        <v>45741</v>
      </c>
      <c r="U358" s="5">
        <f t="shared" si="17"/>
        <v>7</v>
      </c>
      <c r="V358" s="5" t="s">
        <v>72</v>
      </c>
      <c r="X358" s="5"/>
    </row>
    <row r="359" spans="1:24">
      <c r="A359" s="4">
        <v>45163</v>
      </c>
      <c r="B359" s="5" t="str">
        <f t="shared" si="15"/>
        <v>August</v>
      </c>
      <c r="C359" s="5" t="s">
        <v>20</v>
      </c>
      <c r="D359" s="5" t="s">
        <v>25</v>
      </c>
      <c r="E359" s="5">
        <v>13</v>
      </c>
      <c r="F359" s="5">
        <v>513.18</v>
      </c>
      <c r="G359" s="6">
        <f t="shared" si="16"/>
        <v>6671.34</v>
      </c>
      <c r="H359" s="5" t="s">
        <v>53</v>
      </c>
      <c r="I359" s="5" t="s">
        <v>62</v>
      </c>
      <c r="J359" s="5">
        <v>0</v>
      </c>
      <c r="K359" s="5" t="s">
        <v>55</v>
      </c>
      <c r="L359" s="6">
        <v>6671.34</v>
      </c>
      <c r="M359" s="5" t="s">
        <v>32</v>
      </c>
      <c r="N359" s="5" t="s">
        <v>56</v>
      </c>
      <c r="O359" s="5">
        <v>0</v>
      </c>
      <c r="P359" s="5" t="s">
        <v>782</v>
      </c>
      <c r="Q359" s="5" t="s">
        <v>783</v>
      </c>
      <c r="R359" s="5">
        <v>10.57</v>
      </c>
      <c r="S359" s="4">
        <v>45163</v>
      </c>
      <c r="T359" s="4">
        <v>45165</v>
      </c>
      <c r="U359" s="5">
        <f t="shared" si="17"/>
        <v>2</v>
      </c>
      <c r="V359" s="5" t="s">
        <v>94</v>
      </c>
      <c r="X359" s="5"/>
    </row>
    <row r="360" spans="1:24">
      <c r="A360" s="4">
        <v>45120</v>
      </c>
      <c r="B360" s="5" t="str">
        <f t="shared" si="15"/>
        <v>July</v>
      </c>
      <c r="C360" s="5" t="s">
        <v>18</v>
      </c>
      <c r="D360" s="5" t="s">
        <v>26</v>
      </c>
      <c r="E360" s="5">
        <v>19</v>
      </c>
      <c r="F360" s="5">
        <v>475.64</v>
      </c>
      <c r="G360" s="6">
        <f t="shared" si="16"/>
        <v>9037.16</v>
      </c>
      <c r="H360" s="5" t="s">
        <v>77</v>
      </c>
      <c r="I360" s="5" t="s">
        <v>62</v>
      </c>
      <c r="J360" s="5">
        <v>0.1</v>
      </c>
      <c r="K360" s="5" t="s">
        <v>73</v>
      </c>
      <c r="L360" s="6">
        <v>8133.444</v>
      </c>
      <c r="M360" s="5" t="s">
        <v>34</v>
      </c>
      <c r="N360" s="5" t="s">
        <v>69</v>
      </c>
      <c r="O360" s="5">
        <v>1</v>
      </c>
      <c r="P360" s="5" t="s">
        <v>784</v>
      </c>
      <c r="Q360" s="5" t="s">
        <v>785</v>
      </c>
      <c r="R360" s="5">
        <v>11.17</v>
      </c>
      <c r="S360" s="4">
        <v>45120</v>
      </c>
      <c r="T360" s="4">
        <v>45124</v>
      </c>
      <c r="U360" s="5">
        <f t="shared" si="17"/>
        <v>4</v>
      </c>
      <c r="V360" s="5" t="s">
        <v>72</v>
      </c>
      <c r="X360" s="5"/>
    </row>
    <row r="361" spans="1:24">
      <c r="A361" s="4">
        <v>45713</v>
      </c>
      <c r="B361" s="5" t="str">
        <f t="shared" si="15"/>
        <v>February</v>
      </c>
      <c r="C361" s="5" t="s">
        <v>18</v>
      </c>
      <c r="D361" s="5" t="s">
        <v>101</v>
      </c>
      <c r="E361" s="5">
        <v>13</v>
      </c>
      <c r="F361" s="5">
        <v>238.34</v>
      </c>
      <c r="G361" s="6">
        <f t="shared" si="16"/>
        <v>3098.42</v>
      </c>
      <c r="H361" s="5" t="s">
        <v>77</v>
      </c>
      <c r="I361" s="5" t="s">
        <v>62</v>
      </c>
      <c r="J361" s="5">
        <v>0.1</v>
      </c>
      <c r="K361" s="5" t="s">
        <v>78</v>
      </c>
      <c r="L361" s="6">
        <v>2788.578</v>
      </c>
      <c r="M361" s="5" t="s">
        <v>32</v>
      </c>
      <c r="N361" s="5" t="s">
        <v>64</v>
      </c>
      <c r="O361" s="5">
        <v>1</v>
      </c>
      <c r="P361" s="5" t="s">
        <v>786</v>
      </c>
      <c r="Q361" s="5" t="s">
        <v>787</v>
      </c>
      <c r="R361" s="5">
        <v>7.9</v>
      </c>
      <c r="S361" s="4">
        <v>45713</v>
      </c>
      <c r="T361" s="4">
        <v>45722</v>
      </c>
      <c r="U361" s="5">
        <f t="shared" si="17"/>
        <v>9</v>
      </c>
      <c r="V361" s="5" t="s">
        <v>72</v>
      </c>
      <c r="X361" s="5"/>
    </row>
    <row r="362" spans="1:24">
      <c r="A362" s="4">
        <v>45761</v>
      </c>
      <c r="B362" s="5" t="str">
        <f t="shared" si="15"/>
        <v>April</v>
      </c>
      <c r="C362" s="5" t="s">
        <v>19</v>
      </c>
      <c r="D362" s="5" t="s">
        <v>22</v>
      </c>
      <c r="E362" s="5">
        <v>14</v>
      </c>
      <c r="F362" s="5">
        <v>285.03</v>
      </c>
      <c r="G362" s="6">
        <f t="shared" si="16"/>
        <v>3990.42</v>
      </c>
      <c r="H362" s="5" t="s">
        <v>53</v>
      </c>
      <c r="I362" s="5" t="s">
        <v>54</v>
      </c>
      <c r="J362" s="5">
        <v>0.1</v>
      </c>
      <c r="K362" s="5" t="s">
        <v>55</v>
      </c>
      <c r="L362" s="6">
        <v>3591.378</v>
      </c>
      <c r="M362" s="5" t="s">
        <v>32</v>
      </c>
      <c r="N362" s="5" t="s">
        <v>64</v>
      </c>
      <c r="O362" s="5">
        <v>0</v>
      </c>
      <c r="P362" s="5" t="s">
        <v>788</v>
      </c>
      <c r="Q362" s="5" t="s">
        <v>789</v>
      </c>
      <c r="R362" s="5">
        <v>41.5</v>
      </c>
      <c r="S362" s="4">
        <v>45761</v>
      </c>
      <c r="T362" s="4">
        <v>45764</v>
      </c>
      <c r="U362" s="5">
        <f t="shared" si="17"/>
        <v>3</v>
      </c>
      <c r="V362" s="5" t="s">
        <v>76</v>
      </c>
      <c r="X362" s="5"/>
    </row>
    <row r="363" spans="1:24">
      <c r="A363" s="4">
        <v>45823</v>
      </c>
      <c r="B363" s="5" t="str">
        <f t="shared" si="15"/>
        <v>June</v>
      </c>
      <c r="C363" s="5" t="s">
        <v>19</v>
      </c>
      <c r="D363" s="5" t="s">
        <v>24</v>
      </c>
      <c r="E363" s="5">
        <v>5</v>
      </c>
      <c r="F363" s="5">
        <v>5.52</v>
      </c>
      <c r="G363" s="6">
        <f t="shared" si="16"/>
        <v>27.6</v>
      </c>
      <c r="H363" s="5" t="s">
        <v>77</v>
      </c>
      <c r="I363" s="5" t="s">
        <v>62</v>
      </c>
      <c r="J363" s="5">
        <v>0.05</v>
      </c>
      <c r="K363" s="5" t="s">
        <v>63</v>
      </c>
      <c r="L363" s="6">
        <v>26.22</v>
      </c>
      <c r="M363" s="5" t="s">
        <v>32</v>
      </c>
      <c r="N363" s="5" t="s">
        <v>56</v>
      </c>
      <c r="O363" s="5">
        <v>0</v>
      </c>
      <c r="P363" s="5" t="s">
        <v>790</v>
      </c>
      <c r="Q363" s="5" t="s">
        <v>791</v>
      </c>
      <c r="R363" s="5">
        <v>10.58</v>
      </c>
      <c r="S363" s="4">
        <v>45823</v>
      </c>
      <c r="T363" s="4">
        <v>45826</v>
      </c>
      <c r="U363" s="5">
        <f t="shared" si="17"/>
        <v>3</v>
      </c>
      <c r="V363" s="5" t="s">
        <v>76</v>
      </c>
      <c r="X363" s="5"/>
    </row>
    <row r="364" spans="1:24">
      <c r="A364" s="4">
        <v>45587</v>
      </c>
      <c r="B364" s="5" t="str">
        <f t="shared" si="15"/>
        <v>October</v>
      </c>
      <c r="C364" s="5" t="s">
        <v>18</v>
      </c>
      <c r="D364" s="5" t="s">
        <v>26</v>
      </c>
      <c r="E364" s="5">
        <v>18</v>
      </c>
      <c r="F364" s="5">
        <v>396.25</v>
      </c>
      <c r="G364" s="6">
        <f t="shared" si="16"/>
        <v>7132.5</v>
      </c>
      <c r="H364" s="5" t="s">
        <v>81</v>
      </c>
      <c r="I364" s="5" t="s">
        <v>62</v>
      </c>
      <c r="J364" s="5">
        <v>0.1</v>
      </c>
      <c r="K364" s="5" t="s">
        <v>73</v>
      </c>
      <c r="L364" s="6">
        <v>6419.25</v>
      </c>
      <c r="M364" s="5" t="s">
        <v>32</v>
      </c>
      <c r="N364" s="5" t="s">
        <v>56</v>
      </c>
      <c r="O364" s="5">
        <v>0</v>
      </c>
      <c r="P364" s="5" t="s">
        <v>792</v>
      </c>
      <c r="Q364" s="5" t="s">
        <v>793</v>
      </c>
      <c r="R364" s="5">
        <v>20.39</v>
      </c>
      <c r="S364" s="4">
        <v>45587</v>
      </c>
      <c r="T364" s="4">
        <v>45592</v>
      </c>
      <c r="U364" s="5">
        <f t="shared" si="17"/>
        <v>5</v>
      </c>
      <c r="V364" s="5" t="s">
        <v>72</v>
      </c>
      <c r="X364" s="5"/>
    </row>
    <row r="365" spans="1:24">
      <c r="A365" s="4">
        <v>45097</v>
      </c>
      <c r="B365" s="5" t="str">
        <f t="shared" si="15"/>
        <v>June</v>
      </c>
      <c r="C365" s="5" t="s">
        <v>17</v>
      </c>
      <c r="D365" s="5" t="s">
        <v>22</v>
      </c>
      <c r="E365" s="5">
        <v>9</v>
      </c>
      <c r="F365" s="5">
        <v>282.8</v>
      </c>
      <c r="G365" s="6">
        <f t="shared" si="16"/>
        <v>2545.2</v>
      </c>
      <c r="H365" s="5" t="s">
        <v>81</v>
      </c>
      <c r="I365" s="5" t="s">
        <v>54</v>
      </c>
      <c r="J365" s="5">
        <v>0.05</v>
      </c>
      <c r="K365" s="5" t="s">
        <v>55</v>
      </c>
      <c r="L365" s="6">
        <v>2417.94</v>
      </c>
      <c r="M365" s="5" t="s">
        <v>30</v>
      </c>
      <c r="N365" s="5"/>
      <c r="O365" s="5">
        <v>0</v>
      </c>
      <c r="P365" s="5" t="s">
        <v>794</v>
      </c>
      <c r="Q365" s="5" t="s">
        <v>795</v>
      </c>
      <c r="R365" s="5">
        <v>49.79</v>
      </c>
      <c r="S365" s="4">
        <v>45097</v>
      </c>
      <c r="T365" s="4">
        <v>45102</v>
      </c>
      <c r="U365" s="5">
        <f t="shared" si="17"/>
        <v>5</v>
      </c>
      <c r="V365" s="5" t="s">
        <v>67</v>
      </c>
      <c r="X365" s="5"/>
    </row>
    <row r="366" spans="1:24">
      <c r="A366" s="4">
        <v>45721</v>
      </c>
      <c r="B366" s="5" t="str">
        <f t="shared" si="15"/>
        <v>March</v>
      </c>
      <c r="C366" s="5" t="s">
        <v>17</v>
      </c>
      <c r="D366" s="5" t="s">
        <v>23</v>
      </c>
      <c r="E366" s="5">
        <v>6</v>
      </c>
      <c r="F366" s="5">
        <v>525.43</v>
      </c>
      <c r="G366" s="6">
        <f t="shared" si="16"/>
        <v>3152.58</v>
      </c>
      <c r="H366" s="5" t="s">
        <v>77</v>
      </c>
      <c r="I366" s="5" t="s">
        <v>54</v>
      </c>
      <c r="J366" s="5">
        <v>0.05</v>
      </c>
      <c r="K366" s="5" t="s">
        <v>63</v>
      </c>
      <c r="L366" s="6">
        <v>2994.951</v>
      </c>
      <c r="M366" s="5" t="s">
        <v>32</v>
      </c>
      <c r="N366" s="5"/>
      <c r="O366" s="5">
        <v>0</v>
      </c>
      <c r="P366" s="5" t="s">
        <v>796</v>
      </c>
      <c r="Q366" s="5" t="s">
        <v>797</v>
      </c>
      <c r="R366" s="5">
        <v>39.28</v>
      </c>
      <c r="S366" s="4">
        <v>45721</v>
      </c>
      <c r="T366" s="4">
        <v>45727</v>
      </c>
      <c r="U366" s="5">
        <f t="shared" si="17"/>
        <v>6</v>
      </c>
      <c r="V366" s="5" t="s">
        <v>67</v>
      </c>
      <c r="X366" s="5"/>
    </row>
    <row r="367" spans="1:24">
      <c r="A367" s="4">
        <v>45227</v>
      </c>
      <c r="B367" s="5" t="str">
        <f t="shared" si="15"/>
        <v>October</v>
      </c>
      <c r="C367" s="5" t="s">
        <v>20</v>
      </c>
      <c r="D367" s="5" t="s">
        <v>101</v>
      </c>
      <c r="E367" s="5">
        <v>15</v>
      </c>
      <c r="F367" s="5">
        <v>127.67</v>
      </c>
      <c r="G367" s="6">
        <f t="shared" si="16"/>
        <v>1915.05</v>
      </c>
      <c r="H367" s="5" t="s">
        <v>81</v>
      </c>
      <c r="I367" s="5" t="s">
        <v>62</v>
      </c>
      <c r="J367" s="5">
        <v>0.1</v>
      </c>
      <c r="K367" s="5" t="s">
        <v>63</v>
      </c>
      <c r="L367" s="6">
        <v>1723.545</v>
      </c>
      <c r="M367" s="5" t="s">
        <v>33</v>
      </c>
      <c r="N367" s="5"/>
      <c r="O367" s="5">
        <v>0</v>
      </c>
      <c r="P367" s="5" t="s">
        <v>798</v>
      </c>
      <c r="Q367" s="5" t="s">
        <v>799</v>
      </c>
      <c r="R367" s="5">
        <v>48.77</v>
      </c>
      <c r="S367" s="4">
        <v>45227</v>
      </c>
      <c r="T367" s="4">
        <v>45229</v>
      </c>
      <c r="U367" s="5">
        <f t="shared" si="17"/>
        <v>2</v>
      </c>
      <c r="V367" s="5" t="s">
        <v>94</v>
      </c>
      <c r="X367" s="5"/>
    </row>
    <row r="368" spans="1:24">
      <c r="A368" s="4">
        <v>45735</v>
      </c>
      <c r="B368" s="5" t="str">
        <f t="shared" si="15"/>
        <v>March</v>
      </c>
      <c r="C368" s="5" t="s">
        <v>19</v>
      </c>
      <c r="D368" s="5" t="s">
        <v>22</v>
      </c>
      <c r="E368" s="5">
        <v>17</v>
      </c>
      <c r="F368" s="5">
        <v>511.8</v>
      </c>
      <c r="G368" s="6">
        <f t="shared" si="16"/>
        <v>8700.6</v>
      </c>
      <c r="H368" s="5" t="s">
        <v>53</v>
      </c>
      <c r="I368" s="5" t="s">
        <v>62</v>
      </c>
      <c r="J368" s="5">
        <v>0.05</v>
      </c>
      <c r="K368" s="5" t="s">
        <v>78</v>
      </c>
      <c r="L368" s="6">
        <v>8265.57</v>
      </c>
      <c r="M368" s="5" t="s">
        <v>32</v>
      </c>
      <c r="N368" s="5" t="s">
        <v>69</v>
      </c>
      <c r="O368" s="5">
        <v>1</v>
      </c>
      <c r="P368" s="5" t="s">
        <v>800</v>
      </c>
      <c r="Q368" s="5" t="s">
        <v>801</v>
      </c>
      <c r="R368" s="5">
        <v>13.33</v>
      </c>
      <c r="S368" s="4">
        <v>45735</v>
      </c>
      <c r="T368" s="4">
        <v>45742</v>
      </c>
      <c r="U368" s="5">
        <f t="shared" si="17"/>
        <v>7</v>
      </c>
      <c r="V368" s="5" t="s">
        <v>76</v>
      </c>
      <c r="X368" s="5"/>
    </row>
    <row r="369" spans="1:24">
      <c r="A369" s="4">
        <v>45144</v>
      </c>
      <c r="B369" s="5" t="str">
        <f t="shared" si="15"/>
        <v>August</v>
      </c>
      <c r="C369" s="5" t="s">
        <v>20</v>
      </c>
      <c r="D369" s="5" t="s">
        <v>101</v>
      </c>
      <c r="E369" s="5">
        <v>4</v>
      </c>
      <c r="F369" s="5">
        <v>555.86</v>
      </c>
      <c r="G369" s="6">
        <f t="shared" si="16"/>
        <v>2223.44</v>
      </c>
      <c r="H369" s="5" t="s">
        <v>77</v>
      </c>
      <c r="I369" s="5" t="s">
        <v>62</v>
      </c>
      <c r="J369" s="5">
        <v>0.05</v>
      </c>
      <c r="K369" s="5" t="s">
        <v>89</v>
      </c>
      <c r="L369" s="6">
        <v>2112.268</v>
      </c>
      <c r="M369" s="5" t="s">
        <v>34</v>
      </c>
      <c r="N369" s="5" t="s">
        <v>56</v>
      </c>
      <c r="O369" s="5">
        <v>0</v>
      </c>
      <c r="P369" s="5" t="s">
        <v>802</v>
      </c>
      <c r="Q369" s="5" t="s">
        <v>803</v>
      </c>
      <c r="R369" s="5">
        <v>28.92</v>
      </c>
      <c r="S369" s="4">
        <v>45144</v>
      </c>
      <c r="T369" s="4">
        <v>45146</v>
      </c>
      <c r="U369" s="5">
        <f t="shared" si="17"/>
        <v>2</v>
      </c>
      <c r="V369" s="5" t="s">
        <v>94</v>
      </c>
      <c r="X369" s="5"/>
    </row>
    <row r="370" spans="1:24">
      <c r="A370" s="4">
        <v>45546</v>
      </c>
      <c r="B370" s="5" t="str">
        <f t="shared" si="15"/>
        <v>September</v>
      </c>
      <c r="C370" s="5" t="s">
        <v>19</v>
      </c>
      <c r="D370" s="5" t="s">
        <v>26</v>
      </c>
      <c r="E370" s="5">
        <v>15</v>
      </c>
      <c r="F370" s="5">
        <v>202.72</v>
      </c>
      <c r="G370" s="6">
        <f t="shared" si="16"/>
        <v>3040.8</v>
      </c>
      <c r="H370" s="5" t="s">
        <v>81</v>
      </c>
      <c r="I370" s="5" t="s">
        <v>62</v>
      </c>
      <c r="J370" s="5">
        <v>0.05</v>
      </c>
      <c r="K370" s="5" t="s">
        <v>55</v>
      </c>
      <c r="L370" s="6">
        <v>2888.76</v>
      </c>
      <c r="M370" s="5" t="s">
        <v>33</v>
      </c>
      <c r="N370" s="5" t="s">
        <v>69</v>
      </c>
      <c r="O370" s="5">
        <v>1</v>
      </c>
      <c r="P370" s="5" t="s">
        <v>804</v>
      </c>
      <c r="Q370" s="5" t="s">
        <v>805</v>
      </c>
      <c r="R370" s="5">
        <v>41.61</v>
      </c>
      <c r="S370" s="4">
        <v>45546</v>
      </c>
      <c r="T370" s="4">
        <v>45554</v>
      </c>
      <c r="U370" s="5">
        <f t="shared" si="17"/>
        <v>8</v>
      </c>
      <c r="V370" s="5" t="s">
        <v>76</v>
      </c>
      <c r="X370" s="5"/>
    </row>
    <row r="371" spans="1:24">
      <c r="A371" s="4">
        <v>45665</v>
      </c>
      <c r="B371" s="5" t="str">
        <f t="shared" si="15"/>
        <v>January</v>
      </c>
      <c r="C371" s="5" t="s">
        <v>19</v>
      </c>
      <c r="D371" s="5" t="s">
        <v>25</v>
      </c>
      <c r="E371" s="5">
        <v>4</v>
      </c>
      <c r="F371" s="5">
        <v>353.7</v>
      </c>
      <c r="G371" s="6">
        <f t="shared" si="16"/>
        <v>1414.8</v>
      </c>
      <c r="H371" s="5" t="s">
        <v>61</v>
      </c>
      <c r="I371" s="5" t="s">
        <v>54</v>
      </c>
      <c r="J371" s="5">
        <v>0</v>
      </c>
      <c r="K371" s="5" t="s">
        <v>73</v>
      </c>
      <c r="L371" s="6">
        <v>1414.8</v>
      </c>
      <c r="M371" s="5" t="s">
        <v>32</v>
      </c>
      <c r="N371" s="5" t="s">
        <v>56</v>
      </c>
      <c r="O371" s="5">
        <v>0</v>
      </c>
      <c r="P371" s="5" t="s">
        <v>806</v>
      </c>
      <c r="Q371" s="5" t="s">
        <v>807</v>
      </c>
      <c r="R371" s="5">
        <v>41.98</v>
      </c>
      <c r="S371" s="4">
        <v>45665</v>
      </c>
      <c r="T371" s="4">
        <v>45669</v>
      </c>
      <c r="U371" s="5">
        <f t="shared" si="17"/>
        <v>4</v>
      </c>
      <c r="V371" s="5" t="s">
        <v>76</v>
      </c>
      <c r="X371" s="5"/>
    </row>
    <row r="372" spans="1:24">
      <c r="A372" s="4">
        <v>45516</v>
      </c>
      <c r="B372" s="5" t="str">
        <f t="shared" si="15"/>
        <v>August</v>
      </c>
      <c r="C372" s="5" t="s">
        <v>19</v>
      </c>
      <c r="D372" s="5" t="s">
        <v>25</v>
      </c>
      <c r="E372" s="5">
        <v>3</v>
      </c>
      <c r="F372" s="5">
        <v>149.25</v>
      </c>
      <c r="G372" s="6">
        <f t="shared" si="16"/>
        <v>447.75</v>
      </c>
      <c r="H372" s="5" t="s">
        <v>81</v>
      </c>
      <c r="I372" s="5" t="s">
        <v>54</v>
      </c>
      <c r="J372" s="5">
        <v>0</v>
      </c>
      <c r="K372" s="5" t="s">
        <v>78</v>
      </c>
      <c r="L372" s="6">
        <v>447.75</v>
      </c>
      <c r="M372" s="5" t="s">
        <v>33</v>
      </c>
      <c r="N372" s="5"/>
      <c r="O372" s="5">
        <v>1</v>
      </c>
      <c r="P372" s="5" t="s">
        <v>808</v>
      </c>
      <c r="Q372" s="5" t="s">
        <v>809</v>
      </c>
      <c r="R372" s="5">
        <v>13.17</v>
      </c>
      <c r="S372" s="4">
        <v>45516</v>
      </c>
      <c r="T372" s="4">
        <v>45518</v>
      </c>
      <c r="U372" s="5">
        <f t="shared" si="17"/>
        <v>2</v>
      </c>
      <c r="V372" s="5" t="s">
        <v>76</v>
      </c>
      <c r="X372" s="5"/>
    </row>
    <row r="373" spans="1:24">
      <c r="A373" s="4">
        <v>45015</v>
      </c>
      <c r="B373" s="5" t="str">
        <f t="shared" si="15"/>
        <v>March</v>
      </c>
      <c r="C373" s="5" t="s">
        <v>18</v>
      </c>
      <c r="D373" s="5" t="s">
        <v>26</v>
      </c>
      <c r="E373" s="5">
        <v>19</v>
      </c>
      <c r="F373" s="5">
        <v>156.44</v>
      </c>
      <c r="G373" s="6">
        <f t="shared" si="16"/>
        <v>2972.36</v>
      </c>
      <c r="H373" s="5" t="s">
        <v>77</v>
      </c>
      <c r="I373" s="5" t="s">
        <v>54</v>
      </c>
      <c r="J373" s="5">
        <v>0.1</v>
      </c>
      <c r="K373" s="5" t="s">
        <v>63</v>
      </c>
      <c r="L373" s="6">
        <v>2675.124</v>
      </c>
      <c r="M373" s="5" t="s">
        <v>30</v>
      </c>
      <c r="N373" s="5" t="s">
        <v>69</v>
      </c>
      <c r="O373" s="5">
        <v>0</v>
      </c>
      <c r="P373" s="5" t="s">
        <v>810</v>
      </c>
      <c r="Q373" s="5" t="s">
        <v>811</v>
      </c>
      <c r="R373" s="5">
        <v>19.44</v>
      </c>
      <c r="S373" s="4">
        <v>45015</v>
      </c>
      <c r="T373" s="4">
        <v>45020</v>
      </c>
      <c r="U373" s="5">
        <f t="shared" si="17"/>
        <v>5</v>
      </c>
      <c r="V373" s="5" t="s">
        <v>72</v>
      </c>
      <c r="X373" s="5"/>
    </row>
    <row r="374" spans="1:24">
      <c r="A374" s="4">
        <v>44958</v>
      </c>
      <c r="B374" s="5" t="str">
        <f t="shared" si="15"/>
        <v>February</v>
      </c>
      <c r="C374" s="5" t="s">
        <v>19</v>
      </c>
      <c r="D374" s="5" t="s">
        <v>23</v>
      </c>
      <c r="E374" s="5">
        <v>7</v>
      </c>
      <c r="F374" s="5">
        <v>241.76</v>
      </c>
      <c r="G374" s="6">
        <f t="shared" si="16"/>
        <v>1692.32</v>
      </c>
      <c r="H374" s="5" t="s">
        <v>81</v>
      </c>
      <c r="I374" s="5" t="s">
        <v>54</v>
      </c>
      <c r="J374" s="5">
        <v>0</v>
      </c>
      <c r="K374" s="5" t="s">
        <v>78</v>
      </c>
      <c r="L374" s="6">
        <v>1692.32</v>
      </c>
      <c r="M374" s="5" t="s">
        <v>30</v>
      </c>
      <c r="N374" s="5" t="s">
        <v>64</v>
      </c>
      <c r="O374" s="5">
        <v>0</v>
      </c>
      <c r="P374" s="5" t="s">
        <v>812</v>
      </c>
      <c r="Q374" s="5" t="s">
        <v>813</v>
      </c>
      <c r="R374" s="5">
        <v>48.13</v>
      </c>
      <c r="S374" s="4">
        <v>44958</v>
      </c>
      <c r="T374" s="4">
        <v>44966</v>
      </c>
      <c r="U374" s="5">
        <f t="shared" si="17"/>
        <v>8</v>
      </c>
      <c r="V374" s="5" t="s">
        <v>76</v>
      </c>
      <c r="X374" s="5"/>
    </row>
    <row r="375" spans="1:24">
      <c r="A375" s="4">
        <v>45765</v>
      </c>
      <c r="B375" s="5" t="str">
        <f t="shared" si="15"/>
        <v>April</v>
      </c>
      <c r="C375" s="5" t="s">
        <v>18</v>
      </c>
      <c r="D375" s="5" t="s">
        <v>22</v>
      </c>
      <c r="E375" s="5">
        <v>20</v>
      </c>
      <c r="F375" s="5">
        <v>170.49</v>
      </c>
      <c r="G375" s="6">
        <f t="shared" si="16"/>
        <v>3409.8</v>
      </c>
      <c r="H375" s="5" t="s">
        <v>61</v>
      </c>
      <c r="I375" s="5" t="s">
        <v>54</v>
      </c>
      <c r="J375" s="5">
        <v>0</v>
      </c>
      <c r="K375" s="5" t="s">
        <v>82</v>
      </c>
      <c r="L375" s="6">
        <v>3409.8</v>
      </c>
      <c r="M375" s="5" t="s">
        <v>30</v>
      </c>
      <c r="N375" s="5" t="s">
        <v>56</v>
      </c>
      <c r="O375" s="5">
        <v>0</v>
      </c>
      <c r="P375" s="5" t="s">
        <v>814</v>
      </c>
      <c r="Q375" s="5" t="s">
        <v>277</v>
      </c>
      <c r="R375" s="5">
        <v>19.74</v>
      </c>
      <c r="S375" s="4">
        <v>45765</v>
      </c>
      <c r="T375" s="4">
        <v>45774</v>
      </c>
      <c r="U375" s="5">
        <f t="shared" si="17"/>
        <v>9</v>
      </c>
      <c r="V375" s="5" t="s">
        <v>72</v>
      </c>
      <c r="X375" s="5"/>
    </row>
    <row r="376" spans="1:24">
      <c r="A376" s="4">
        <v>45745</v>
      </c>
      <c r="B376" s="5" t="str">
        <f t="shared" si="15"/>
        <v>March</v>
      </c>
      <c r="C376" s="5" t="s">
        <v>19</v>
      </c>
      <c r="D376" s="5" t="s">
        <v>26</v>
      </c>
      <c r="E376" s="5">
        <v>11</v>
      </c>
      <c r="F376" s="5">
        <v>149.67</v>
      </c>
      <c r="G376" s="6">
        <f t="shared" si="16"/>
        <v>1646.37</v>
      </c>
      <c r="H376" s="5" t="s">
        <v>77</v>
      </c>
      <c r="I376" s="5" t="s">
        <v>62</v>
      </c>
      <c r="J376" s="5">
        <v>0.1</v>
      </c>
      <c r="K376" s="5" t="s">
        <v>55</v>
      </c>
      <c r="L376" s="6">
        <v>1481.733</v>
      </c>
      <c r="M376" s="5" t="s">
        <v>32</v>
      </c>
      <c r="N376" s="5"/>
      <c r="O376" s="5">
        <v>0</v>
      </c>
      <c r="P376" s="5" t="s">
        <v>815</v>
      </c>
      <c r="Q376" s="5" t="s">
        <v>816</v>
      </c>
      <c r="R376" s="5">
        <v>34.13</v>
      </c>
      <c r="S376" s="4">
        <v>45745</v>
      </c>
      <c r="T376" s="4">
        <v>45749</v>
      </c>
      <c r="U376" s="5">
        <f t="shared" si="17"/>
        <v>4</v>
      </c>
      <c r="V376" s="5" t="s">
        <v>76</v>
      </c>
      <c r="X376" s="5"/>
    </row>
    <row r="377" spans="1:24">
      <c r="A377" s="4">
        <v>45407</v>
      </c>
      <c r="B377" s="5" t="str">
        <f t="shared" si="15"/>
        <v>April</v>
      </c>
      <c r="C377" s="5" t="s">
        <v>16</v>
      </c>
      <c r="D377" s="5" t="s">
        <v>101</v>
      </c>
      <c r="E377" s="5">
        <v>1</v>
      </c>
      <c r="F377" s="5">
        <v>173.56</v>
      </c>
      <c r="G377" s="6">
        <f t="shared" si="16"/>
        <v>173.56</v>
      </c>
      <c r="H377" s="5" t="s">
        <v>81</v>
      </c>
      <c r="I377" s="5" t="s">
        <v>62</v>
      </c>
      <c r="J377" s="5">
        <v>0.1</v>
      </c>
      <c r="K377" s="5" t="s">
        <v>55</v>
      </c>
      <c r="L377" s="6">
        <v>156.204</v>
      </c>
      <c r="M377" s="5" t="s">
        <v>33</v>
      </c>
      <c r="N377" s="5" t="s">
        <v>56</v>
      </c>
      <c r="O377" s="5">
        <v>0</v>
      </c>
      <c r="P377" s="5" t="s">
        <v>817</v>
      </c>
      <c r="Q377" s="5" t="s">
        <v>818</v>
      </c>
      <c r="R377" s="5">
        <v>39.1</v>
      </c>
      <c r="S377" s="4">
        <v>45407</v>
      </c>
      <c r="T377" s="4">
        <v>45410</v>
      </c>
      <c r="U377" s="5">
        <f t="shared" si="17"/>
        <v>3</v>
      </c>
      <c r="V377" s="5" t="s">
        <v>59</v>
      </c>
      <c r="X377" s="5"/>
    </row>
    <row r="378" spans="1:24">
      <c r="A378" s="4">
        <v>45557</v>
      </c>
      <c r="B378" s="5" t="str">
        <f t="shared" si="15"/>
        <v>September</v>
      </c>
      <c r="C378" s="5" t="s">
        <v>17</v>
      </c>
      <c r="D378" s="5" t="s">
        <v>26</v>
      </c>
      <c r="E378" s="5">
        <v>7</v>
      </c>
      <c r="F378" s="5">
        <v>349.55</v>
      </c>
      <c r="G378" s="6">
        <f t="shared" si="16"/>
        <v>2446.85</v>
      </c>
      <c r="H378" s="5" t="s">
        <v>61</v>
      </c>
      <c r="I378" s="5" t="s">
        <v>62</v>
      </c>
      <c r="J378" s="5">
        <v>0.05</v>
      </c>
      <c r="K378" s="5" t="s">
        <v>78</v>
      </c>
      <c r="L378" s="6">
        <v>2324.5075</v>
      </c>
      <c r="M378" s="5" t="s">
        <v>32</v>
      </c>
      <c r="N378" s="5" t="s">
        <v>56</v>
      </c>
      <c r="O378" s="5">
        <v>0</v>
      </c>
      <c r="P378" s="5" t="s">
        <v>819</v>
      </c>
      <c r="Q378" s="5" t="s">
        <v>820</v>
      </c>
      <c r="R378" s="5">
        <v>23.7</v>
      </c>
      <c r="S378" s="4">
        <v>45557</v>
      </c>
      <c r="T378" s="4">
        <v>45562</v>
      </c>
      <c r="U378" s="5">
        <f t="shared" si="17"/>
        <v>5</v>
      </c>
      <c r="V378" s="5" t="s">
        <v>67</v>
      </c>
      <c r="X378" s="5"/>
    </row>
    <row r="379" spans="1:24">
      <c r="A379" s="4">
        <v>45143</v>
      </c>
      <c r="B379" s="5" t="str">
        <f t="shared" si="15"/>
        <v>August</v>
      </c>
      <c r="C379" s="5" t="s">
        <v>19</v>
      </c>
      <c r="D379" s="5" t="s">
        <v>101</v>
      </c>
      <c r="E379" s="5">
        <v>9</v>
      </c>
      <c r="F379" s="5">
        <v>245.14</v>
      </c>
      <c r="G379" s="6">
        <f t="shared" si="16"/>
        <v>2206.26</v>
      </c>
      <c r="H379" s="5" t="s">
        <v>53</v>
      </c>
      <c r="I379" s="5" t="s">
        <v>54</v>
      </c>
      <c r="J379" s="5">
        <v>0</v>
      </c>
      <c r="K379" s="5" t="s">
        <v>63</v>
      </c>
      <c r="L379" s="6">
        <v>2206.26</v>
      </c>
      <c r="M379" s="5" t="s">
        <v>30</v>
      </c>
      <c r="N379" s="5" t="s">
        <v>64</v>
      </c>
      <c r="O379" s="5">
        <v>1</v>
      </c>
      <c r="P379" s="5" t="s">
        <v>821</v>
      </c>
      <c r="Q379" s="5" t="s">
        <v>822</v>
      </c>
      <c r="R379" s="5">
        <v>44.6</v>
      </c>
      <c r="S379" s="4">
        <v>45143</v>
      </c>
      <c r="T379" s="4">
        <v>45152</v>
      </c>
      <c r="U379" s="5">
        <f t="shared" si="17"/>
        <v>9</v>
      </c>
      <c r="V379" s="5" t="s">
        <v>76</v>
      </c>
      <c r="X379" s="5"/>
    </row>
    <row r="380" spans="1:24">
      <c r="A380" s="4">
        <v>45450</v>
      </c>
      <c r="B380" s="5" t="str">
        <f t="shared" si="15"/>
        <v>June</v>
      </c>
      <c r="C380" s="5" t="s">
        <v>17</v>
      </c>
      <c r="D380" s="5" t="s">
        <v>24</v>
      </c>
      <c r="E380" s="5">
        <v>1</v>
      </c>
      <c r="F380" s="5">
        <v>423.08</v>
      </c>
      <c r="G380" s="6">
        <f t="shared" si="16"/>
        <v>423.08</v>
      </c>
      <c r="H380" s="5" t="s">
        <v>53</v>
      </c>
      <c r="I380" s="5" t="s">
        <v>54</v>
      </c>
      <c r="J380" s="5">
        <v>0.05</v>
      </c>
      <c r="K380" s="5" t="s">
        <v>89</v>
      </c>
      <c r="L380" s="6">
        <v>401.926</v>
      </c>
      <c r="M380" s="5" t="s">
        <v>31</v>
      </c>
      <c r="N380" s="5" t="s">
        <v>69</v>
      </c>
      <c r="O380" s="5">
        <v>0</v>
      </c>
      <c r="P380" s="5" t="s">
        <v>823</v>
      </c>
      <c r="Q380" s="5" t="s">
        <v>824</v>
      </c>
      <c r="R380" s="5">
        <v>31.75</v>
      </c>
      <c r="S380" s="4">
        <v>45450</v>
      </c>
      <c r="T380" s="4">
        <v>45454</v>
      </c>
      <c r="U380" s="5">
        <f t="shared" si="17"/>
        <v>4</v>
      </c>
      <c r="V380" s="5" t="s">
        <v>67</v>
      </c>
      <c r="X380" s="5"/>
    </row>
    <row r="381" spans="1:24">
      <c r="A381" s="4">
        <v>45801</v>
      </c>
      <c r="B381" s="5" t="str">
        <f t="shared" si="15"/>
        <v>May</v>
      </c>
      <c r="C381" s="5" t="s">
        <v>16</v>
      </c>
      <c r="D381" s="5" t="s">
        <v>23</v>
      </c>
      <c r="E381" s="5">
        <v>19</v>
      </c>
      <c r="F381" s="5">
        <v>337.82</v>
      </c>
      <c r="G381" s="6">
        <f t="shared" si="16"/>
        <v>6418.58</v>
      </c>
      <c r="H381" s="5" t="s">
        <v>53</v>
      </c>
      <c r="I381" s="5" t="s">
        <v>54</v>
      </c>
      <c r="J381" s="5">
        <v>0.15</v>
      </c>
      <c r="K381" s="5" t="s">
        <v>63</v>
      </c>
      <c r="L381" s="6">
        <v>5455.793</v>
      </c>
      <c r="M381" s="5" t="s">
        <v>30</v>
      </c>
      <c r="N381" s="5" t="s">
        <v>56</v>
      </c>
      <c r="O381" s="5">
        <v>0</v>
      </c>
      <c r="P381" s="5" t="s">
        <v>825</v>
      </c>
      <c r="Q381" s="5" t="s">
        <v>826</v>
      </c>
      <c r="R381" s="5">
        <v>45.74</v>
      </c>
      <c r="S381" s="4">
        <v>45801</v>
      </c>
      <c r="T381" s="4">
        <v>45807</v>
      </c>
      <c r="U381" s="5">
        <f t="shared" si="17"/>
        <v>6</v>
      </c>
      <c r="V381" s="5" t="s">
        <v>59</v>
      </c>
      <c r="X381" s="5"/>
    </row>
    <row r="382" spans="1:24">
      <c r="A382" s="4">
        <v>45491</v>
      </c>
      <c r="B382" s="5" t="str">
        <f t="shared" si="15"/>
        <v>July</v>
      </c>
      <c r="C382" s="5" t="s">
        <v>17</v>
      </c>
      <c r="D382" s="5" t="s">
        <v>25</v>
      </c>
      <c r="E382" s="5">
        <v>10</v>
      </c>
      <c r="F382" s="5">
        <v>252.63</v>
      </c>
      <c r="G382" s="6">
        <f t="shared" si="16"/>
        <v>2526.3</v>
      </c>
      <c r="H382" s="5" t="s">
        <v>53</v>
      </c>
      <c r="I382" s="5" t="s">
        <v>62</v>
      </c>
      <c r="J382" s="5">
        <v>0.15</v>
      </c>
      <c r="K382" s="5" t="s">
        <v>55</v>
      </c>
      <c r="L382" s="6">
        <v>2147.355</v>
      </c>
      <c r="M382" s="5" t="s">
        <v>34</v>
      </c>
      <c r="N382" s="5" t="s">
        <v>56</v>
      </c>
      <c r="O382" s="5">
        <v>0</v>
      </c>
      <c r="P382" s="5" t="s">
        <v>827</v>
      </c>
      <c r="Q382" s="5" t="s">
        <v>828</v>
      </c>
      <c r="R382" s="5">
        <v>8.92</v>
      </c>
      <c r="S382" s="4">
        <v>45491</v>
      </c>
      <c r="T382" s="4">
        <v>45498</v>
      </c>
      <c r="U382" s="5">
        <f t="shared" si="17"/>
        <v>7</v>
      </c>
      <c r="V382" s="5" t="s">
        <v>67</v>
      </c>
      <c r="X382" s="5"/>
    </row>
    <row r="383" spans="1:24">
      <c r="A383" s="4">
        <v>45487</v>
      </c>
      <c r="B383" s="5" t="str">
        <f t="shared" si="15"/>
        <v>July</v>
      </c>
      <c r="C383" s="5" t="s">
        <v>20</v>
      </c>
      <c r="D383" s="5" t="s">
        <v>101</v>
      </c>
      <c r="E383" s="5">
        <v>3</v>
      </c>
      <c r="F383" s="5">
        <v>87.02</v>
      </c>
      <c r="G383" s="6">
        <f t="shared" si="16"/>
        <v>261.06</v>
      </c>
      <c r="H383" s="5" t="s">
        <v>53</v>
      </c>
      <c r="I383" s="5" t="s">
        <v>54</v>
      </c>
      <c r="J383" s="5">
        <v>0.1</v>
      </c>
      <c r="K383" s="5" t="s">
        <v>73</v>
      </c>
      <c r="L383" s="6">
        <v>234.954</v>
      </c>
      <c r="M383" s="5" t="s">
        <v>34</v>
      </c>
      <c r="N383" s="5" t="s">
        <v>69</v>
      </c>
      <c r="O383" s="5">
        <v>0</v>
      </c>
      <c r="P383" s="5" t="s">
        <v>829</v>
      </c>
      <c r="Q383" s="5" t="s">
        <v>830</v>
      </c>
      <c r="R383" s="5">
        <v>11.13</v>
      </c>
      <c r="S383" s="4">
        <v>45487</v>
      </c>
      <c r="T383" s="4">
        <v>45489</v>
      </c>
      <c r="U383" s="5">
        <f t="shared" si="17"/>
        <v>2</v>
      </c>
      <c r="V383" s="5" t="s">
        <v>94</v>
      </c>
      <c r="X383" s="5"/>
    </row>
    <row r="384" spans="1:24">
      <c r="A384" s="4">
        <v>45030</v>
      </c>
      <c r="B384" s="5" t="str">
        <f t="shared" si="15"/>
        <v>April</v>
      </c>
      <c r="C384" s="5" t="s">
        <v>19</v>
      </c>
      <c r="D384" s="5" t="s">
        <v>101</v>
      </c>
      <c r="E384" s="5">
        <v>11</v>
      </c>
      <c r="F384" s="5">
        <v>6.72</v>
      </c>
      <c r="G384" s="6">
        <f t="shared" si="16"/>
        <v>73.92</v>
      </c>
      <c r="H384" s="5" t="s">
        <v>81</v>
      </c>
      <c r="I384" s="5" t="s">
        <v>54</v>
      </c>
      <c r="J384" s="5">
        <v>0.05</v>
      </c>
      <c r="K384" s="5" t="s">
        <v>89</v>
      </c>
      <c r="L384" s="6">
        <v>70.224</v>
      </c>
      <c r="M384" s="5" t="s">
        <v>34</v>
      </c>
      <c r="N384" s="5" t="s">
        <v>64</v>
      </c>
      <c r="O384" s="5">
        <v>0</v>
      </c>
      <c r="P384" s="5" t="s">
        <v>831</v>
      </c>
      <c r="Q384" s="5" t="s">
        <v>832</v>
      </c>
      <c r="R384" s="5">
        <v>34.27</v>
      </c>
      <c r="S384" s="4">
        <v>45030</v>
      </c>
      <c r="T384" s="4">
        <v>45035</v>
      </c>
      <c r="U384" s="5">
        <f t="shared" si="17"/>
        <v>5</v>
      </c>
      <c r="V384" s="5" t="s">
        <v>76</v>
      </c>
      <c r="X384" s="5"/>
    </row>
    <row r="385" spans="1:24">
      <c r="A385" s="4">
        <v>45078</v>
      </c>
      <c r="B385" s="5" t="str">
        <f t="shared" si="15"/>
        <v>June</v>
      </c>
      <c r="C385" s="5" t="s">
        <v>17</v>
      </c>
      <c r="D385" s="5" t="s">
        <v>27</v>
      </c>
      <c r="E385" s="5">
        <v>2</v>
      </c>
      <c r="F385" s="5">
        <v>279.38</v>
      </c>
      <c r="G385" s="6">
        <f t="shared" si="16"/>
        <v>558.76</v>
      </c>
      <c r="H385" s="5" t="s">
        <v>81</v>
      </c>
      <c r="I385" s="5" t="s">
        <v>62</v>
      </c>
      <c r="J385" s="5">
        <v>0.1</v>
      </c>
      <c r="K385" s="5" t="s">
        <v>78</v>
      </c>
      <c r="L385" s="6">
        <v>502.884</v>
      </c>
      <c r="M385" s="5" t="s">
        <v>30</v>
      </c>
      <c r="N385" s="5" t="s">
        <v>56</v>
      </c>
      <c r="O385" s="5">
        <v>0</v>
      </c>
      <c r="P385" s="5" t="s">
        <v>833</v>
      </c>
      <c r="Q385" s="5" t="s">
        <v>834</v>
      </c>
      <c r="R385" s="5">
        <v>22.95</v>
      </c>
      <c r="S385" s="4">
        <v>45078</v>
      </c>
      <c r="T385" s="4">
        <v>45083</v>
      </c>
      <c r="U385" s="5">
        <f t="shared" si="17"/>
        <v>5</v>
      </c>
      <c r="V385" s="5" t="s">
        <v>67</v>
      </c>
      <c r="X385" s="5"/>
    </row>
    <row r="386" spans="1:24">
      <c r="A386" s="4">
        <v>45764</v>
      </c>
      <c r="B386" s="5" t="str">
        <f t="shared" si="15"/>
        <v>April</v>
      </c>
      <c r="C386" s="5" t="s">
        <v>19</v>
      </c>
      <c r="D386" s="5" t="s">
        <v>23</v>
      </c>
      <c r="E386" s="5">
        <v>9</v>
      </c>
      <c r="F386" s="5">
        <v>207.8</v>
      </c>
      <c r="G386" s="6">
        <f t="shared" si="16"/>
        <v>1870.2</v>
      </c>
      <c r="H386" s="5" t="s">
        <v>81</v>
      </c>
      <c r="I386" s="5" t="s">
        <v>62</v>
      </c>
      <c r="J386" s="5">
        <v>0.1</v>
      </c>
      <c r="K386" s="5" t="s">
        <v>63</v>
      </c>
      <c r="L386" s="6">
        <v>1683.18</v>
      </c>
      <c r="M386" s="5" t="s">
        <v>30</v>
      </c>
      <c r="N386" s="5" t="s">
        <v>69</v>
      </c>
      <c r="O386" s="5">
        <v>0</v>
      </c>
      <c r="P386" s="5" t="s">
        <v>835</v>
      </c>
      <c r="Q386" s="5" t="s">
        <v>836</v>
      </c>
      <c r="R386" s="5">
        <v>16.99</v>
      </c>
      <c r="S386" s="4">
        <v>45764</v>
      </c>
      <c r="T386" s="4">
        <v>45767</v>
      </c>
      <c r="U386" s="5">
        <f t="shared" si="17"/>
        <v>3</v>
      </c>
      <c r="V386" s="5" t="s">
        <v>76</v>
      </c>
      <c r="X386" s="5"/>
    </row>
    <row r="387" spans="1:24">
      <c r="A387" s="4">
        <v>45747</v>
      </c>
      <c r="B387" s="5" t="str">
        <f t="shared" ref="B387:B450" si="18">TEXT(A387,"mmmm")</f>
        <v>March</v>
      </c>
      <c r="C387" s="5" t="s">
        <v>16</v>
      </c>
      <c r="D387" s="5" t="s">
        <v>27</v>
      </c>
      <c r="E387" s="5">
        <v>15</v>
      </c>
      <c r="F387" s="5">
        <v>511.88</v>
      </c>
      <c r="G387" s="6">
        <f t="shared" ref="G387:G450" si="19">F387*E387</f>
        <v>7678.2</v>
      </c>
      <c r="H387" s="5" t="s">
        <v>77</v>
      </c>
      <c r="I387" s="5" t="s">
        <v>54</v>
      </c>
      <c r="J387" s="5">
        <v>0.05</v>
      </c>
      <c r="K387" s="5" t="s">
        <v>89</v>
      </c>
      <c r="L387" s="6">
        <v>7294.29</v>
      </c>
      <c r="M387" s="5" t="s">
        <v>34</v>
      </c>
      <c r="N387" s="5" t="s">
        <v>64</v>
      </c>
      <c r="O387" s="5">
        <v>0</v>
      </c>
      <c r="P387" s="5" t="s">
        <v>837</v>
      </c>
      <c r="Q387" s="5" t="s">
        <v>838</v>
      </c>
      <c r="R387" s="5">
        <v>10.22</v>
      </c>
      <c r="S387" s="4">
        <v>45747</v>
      </c>
      <c r="T387" s="4">
        <v>45756</v>
      </c>
      <c r="U387" s="5">
        <f t="shared" ref="U387:U450" si="20">T387-S387</f>
        <v>9</v>
      </c>
      <c r="V387" s="5" t="s">
        <v>59</v>
      </c>
      <c r="X387" s="5"/>
    </row>
    <row r="388" spans="1:24">
      <c r="A388" s="4">
        <v>45488</v>
      </c>
      <c r="B388" s="5" t="str">
        <f t="shared" si="18"/>
        <v>July</v>
      </c>
      <c r="C388" s="5" t="s">
        <v>16</v>
      </c>
      <c r="D388" s="5" t="s">
        <v>27</v>
      </c>
      <c r="E388" s="5">
        <v>10</v>
      </c>
      <c r="F388" s="5">
        <v>325.97</v>
      </c>
      <c r="G388" s="6">
        <f t="shared" si="19"/>
        <v>3259.7</v>
      </c>
      <c r="H388" s="5" t="s">
        <v>81</v>
      </c>
      <c r="I388" s="5" t="s">
        <v>62</v>
      </c>
      <c r="J388" s="5">
        <v>0</v>
      </c>
      <c r="K388" s="5" t="s">
        <v>89</v>
      </c>
      <c r="L388" s="6">
        <v>3259.7</v>
      </c>
      <c r="M388" s="5" t="s">
        <v>34</v>
      </c>
      <c r="N388" s="5" t="s">
        <v>56</v>
      </c>
      <c r="O388" s="5">
        <v>1</v>
      </c>
      <c r="P388" s="5" t="s">
        <v>839</v>
      </c>
      <c r="Q388" s="5" t="s">
        <v>840</v>
      </c>
      <c r="R388" s="5">
        <v>49.95</v>
      </c>
      <c r="S388" s="4">
        <v>45488</v>
      </c>
      <c r="T388" s="4">
        <v>45495</v>
      </c>
      <c r="U388" s="5">
        <f t="shared" si="20"/>
        <v>7</v>
      </c>
      <c r="V388" s="5" t="s">
        <v>59</v>
      </c>
      <c r="X388" s="5"/>
    </row>
    <row r="389" spans="1:24">
      <c r="A389" s="4">
        <v>45534</v>
      </c>
      <c r="B389" s="5" t="str">
        <f t="shared" si="18"/>
        <v>August</v>
      </c>
      <c r="C389" s="5" t="s">
        <v>17</v>
      </c>
      <c r="D389" s="5" t="s">
        <v>22</v>
      </c>
      <c r="E389" s="5">
        <v>17</v>
      </c>
      <c r="F389" s="5">
        <v>469.32</v>
      </c>
      <c r="G389" s="6">
        <f t="shared" si="19"/>
        <v>7978.44</v>
      </c>
      <c r="H389" s="5" t="s">
        <v>53</v>
      </c>
      <c r="I389" s="5" t="s">
        <v>62</v>
      </c>
      <c r="J389" s="5">
        <v>0</v>
      </c>
      <c r="K389" s="5" t="s">
        <v>78</v>
      </c>
      <c r="L389" s="6">
        <v>7978.44</v>
      </c>
      <c r="M389" s="5" t="s">
        <v>31</v>
      </c>
      <c r="N389" s="5" t="s">
        <v>69</v>
      </c>
      <c r="O389" s="5">
        <v>1</v>
      </c>
      <c r="P389" s="5" t="s">
        <v>841</v>
      </c>
      <c r="Q389" s="5" t="s">
        <v>842</v>
      </c>
      <c r="R389" s="5">
        <v>5.86</v>
      </c>
      <c r="S389" s="4">
        <v>45534</v>
      </c>
      <c r="T389" s="4">
        <v>45536</v>
      </c>
      <c r="U389" s="5">
        <f t="shared" si="20"/>
        <v>2</v>
      </c>
      <c r="V389" s="5" t="s">
        <v>67</v>
      </c>
      <c r="X389" s="5"/>
    </row>
    <row r="390" spans="1:24">
      <c r="A390" s="4">
        <v>45664</v>
      </c>
      <c r="B390" s="5" t="str">
        <f t="shared" si="18"/>
        <v>January</v>
      </c>
      <c r="C390" s="5" t="s">
        <v>19</v>
      </c>
      <c r="D390" s="5" t="s">
        <v>23</v>
      </c>
      <c r="E390" s="5">
        <v>13</v>
      </c>
      <c r="F390" s="5">
        <v>186.69</v>
      </c>
      <c r="G390" s="6">
        <f t="shared" si="19"/>
        <v>2426.97</v>
      </c>
      <c r="H390" s="5" t="s">
        <v>81</v>
      </c>
      <c r="I390" s="5" t="s">
        <v>54</v>
      </c>
      <c r="J390" s="5">
        <v>0</v>
      </c>
      <c r="K390" s="5" t="s">
        <v>89</v>
      </c>
      <c r="L390" s="6">
        <v>2426.97</v>
      </c>
      <c r="M390" s="5" t="s">
        <v>34</v>
      </c>
      <c r="N390" s="5" t="s">
        <v>56</v>
      </c>
      <c r="O390" s="5">
        <v>0</v>
      </c>
      <c r="P390" s="5" t="s">
        <v>843</v>
      </c>
      <c r="Q390" s="5" t="s">
        <v>844</v>
      </c>
      <c r="R390" s="5">
        <v>19.92</v>
      </c>
      <c r="S390" s="4">
        <v>45664</v>
      </c>
      <c r="T390" s="4">
        <v>45667</v>
      </c>
      <c r="U390" s="5">
        <f t="shared" si="20"/>
        <v>3</v>
      </c>
      <c r="V390" s="5" t="s">
        <v>76</v>
      </c>
      <c r="X390" s="5"/>
    </row>
    <row r="391" spans="1:24">
      <c r="A391" s="4">
        <v>45693</v>
      </c>
      <c r="B391" s="5" t="str">
        <f t="shared" si="18"/>
        <v>February</v>
      </c>
      <c r="C391" s="5" t="s">
        <v>17</v>
      </c>
      <c r="D391" s="5" t="s">
        <v>23</v>
      </c>
      <c r="E391" s="5">
        <v>16</v>
      </c>
      <c r="F391" s="5">
        <v>34.66</v>
      </c>
      <c r="G391" s="6">
        <f t="shared" si="19"/>
        <v>554.56</v>
      </c>
      <c r="H391" s="5" t="s">
        <v>77</v>
      </c>
      <c r="I391" s="5" t="s">
        <v>62</v>
      </c>
      <c r="J391" s="5">
        <v>0.05</v>
      </c>
      <c r="K391" s="5" t="s">
        <v>63</v>
      </c>
      <c r="L391" s="6">
        <v>526.832</v>
      </c>
      <c r="M391" s="5" t="s">
        <v>33</v>
      </c>
      <c r="N391" s="5"/>
      <c r="O391" s="5">
        <v>0</v>
      </c>
      <c r="P391" s="5" t="s">
        <v>845</v>
      </c>
      <c r="Q391" s="5" t="s">
        <v>846</v>
      </c>
      <c r="R391" s="5">
        <v>49.9</v>
      </c>
      <c r="S391" s="4">
        <v>45693</v>
      </c>
      <c r="T391" s="4">
        <v>45699</v>
      </c>
      <c r="U391" s="5">
        <f t="shared" si="20"/>
        <v>6</v>
      </c>
      <c r="V391" s="5" t="s">
        <v>67</v>
      </c>
      <c r="X391" s="5"/>
    </row>
    <row r="392" spans="1:24">
      <c r="A392" s="4">
        <v>45383</v>
      </c>
      <c r="B392" s="5" t="str">
        <f t="shared" si="18"/>
        <v>April</v>
      </c>
      <c r="C392" s="5" t="s">
        <v>18</v>
      </c>
      <c r="D392" s="5" t="s">
        <v>27</v>
      </c>
      <c r="E392" s="5">
        <v>18</v>
      </c>
      <c r="F392" s="5">
        <v>155.04</v>
      </c>
      <c r="G392" s="6">
        <f t="shared" si="19"/>
        <v>2790.72</v>
      </c>
      <c r="H392" s="5" t="s">
        <v>53</v>
      </c>
      <c r="I392" s="5" t="s">
        <v>54</v>
      </c>
      <c r="J392" s="5">
        <v>0.15</v>
      </c>
      <c r="K392" s="5" t="s">
        <v>73</v>
      </c>
      <c r="L392" s="6">
        <v>2372.112</v>
      </c>
      <c r="M392" s="5" t="s">
        <v>34</v>
      </c>
      <c r="N392" s="5" t="s">
        <v>69</v>
      </c>
      <c r="O392" s="5">
        <v>0</v>
      </c>
      <c r="P392" s="5" t="s">
        <v>847</v>
      </c>
      <c r="Q392" s="5" t="s">
        <v>848</v>
      </c>
      <c r="R392" s="5">
        <v>39.99</v>
      </c>
      <c r="S392" s="4">
        <v>45383</v>
      </c>
      <c r="T392" s="4">
        <v>45386</v>
      </c>
      <c r="U392" s="5">
        <f t="shared" si="20"/>
        <v>3</v>
      </c>
      <c r="V392" s="5" t="s">
        <v>72</v>
      </c>
      <c r="X392" s="5"/>
    </row>
    <row r="393" spans="1:24">
      <c r="A393" s="4">
        <v>45717</v>
      </c>
      <c r="B393" s="5" t="str">
        <f t="shared" si="18"/>
        <v>March</v>
      </c>
      <c r="C393" s="5" t="s">
        <v>20</v>
      </c>
      <c r="D393" s="5" t="s">
        <v>26</v>
      </c>
      <c r="E393" s="5">
        <v>4</v>
      </c>
      <c r="F393" s="5">
        <v>69.6</v>
      </c>
      <c r="G393" s="6">
        <f t="shared" si="19"/>
        <v>278.4</v>
      </c>
      <c r="H393" s="5" t="s">
        <v>81</v>
      </c>
      <c r="I393" s="5" t="s">
        <v>54</v>
      </c>
      <c r="J393" s="5">
        <v>0.05</v>
      </c>
      <c r="K393" s="5" t="s">
        <v>55</v>
      </c>
      <c r="L393" s="6">
        <v>264.48</v>
      </c>
      <c r="M393" s="5" t="s">
        <v>31</v>
      </c>
      <c r="N393" s="5" t="s">
        <v>64</v>
      </c>
      <c r="O393" s="5">
        <v>0</v>
      </c>
      <c r="P393" s="5" t="s">
        <v>849</v>
      </c>
      <c r="Q393" s="5" t="s">
        <v>850</v>
      </c>
      <c r="R393" s="5">
        <v>17.68</v>
      </c>
      <c r="S393" s="4">
        <v>45717</v>
      </c>
      <c r="T393" s="4">
        <v>45725</v>
      </c>
      <c r="U393" s="5">
        <f t="shared" si="20"/>
        <v>8</v>
      </c>
      <c r="V393" s="5" t="s">
        <v>94</v>
      </c>
      <c r="X393" s="5"/>
    </row>
    <row r="394" spans="1:24">
      <c r="A394" s="4">
        <v>45110</v>
      </c>
      <c r="B394" s="5" t="str">
        <f t="shared" si="18"/>
        <v>July</v>
      </c>
      <c r="C394" s="5" t="s">
        <v>19</v>
      </c>
      <c r="D394" s="5" t="s">
        <v>26</v>
      </c>
      <c r="E394" s="5">
        <v>13</v>
      </c>
      <c r="F394" s="5">
        <v>55.09</v>
      </c>
      <c r="G394" s="6">
        <f t="shared" si="19"/>
        <v>716.17</v>
      </c>
      <c r="H394" s="5" t="s">
        <v>61</v>
      </c>
      <c r="I394" s="5" t="s">
        <v>54</v>
      </c>
      <c r="J394" s="5">
        <v>0.15</v>
      </c>
      <c r="K394" s="5" t="s">
        <v>82</v>
      </c>
      <c r="L394" s="6">
        <v>608.7445</v>
      </c>
      <c r="M394" s="5" t="s">
        <v>34</v>
      </c>
      <c r="N394" s="5" t="s">
        <v>56</v>
      </c>
      <c r="O394" s="5">
        <v>1</v>
      </c>
      <c r="P394" s="5" t="s">
        <v>851</v>
      </c>
      <c r="Q394" s="5" t="s">
        <v>852</v>
      </c>
      <c r="R394" s="5">
        <v>47.78</v>
      </c>
      <c r="S394" s="4">
        <v>45110</v>
      </c>
      <c r="T394" s="4">
        <v>45113</v>
      </c>
      <c r="U394" s="5">
        <f t="shared" si="20"/>
        <v>3</v>
      </c>
      <c r="V394" s="5" t="s">
        <v>76</v>
      </c>
      <c r="X394" s="5"/>
    </row>
    <row r="395" spans="1:24">
      <c r="A395" s="4">
        <v>45041</v>
      </c>
      <c r="B395" s="5" t="str">
        <f t="shared" si="18"/>
        <v>April</v>
      </c>
      <c r="C395" s="5" t="s">
        <v>19</v>
      </c>
      <c r="D395" s="5" t="s">
        <v>22</v>
      </c>
      <c r="E395" s="5">
        <v>13</v>
      </c>
      <c r="F395" s="5">
        <v>206.11</v>
      </c>
      <c r="G395" s="6">
        <f t="shared" si="19"/>
        <v>2679.43</v>
      </c>
      <c r="H395" s="5" t="s">
        <v>53</v>
      </c>
      <c r="I395" s="5" t="s">
        <v>62</v>
      </c>
      <c r="J395" s="5">
        <v>0.15</v>
      </c>
      <c r="K395" s="5" t="s">
        <v>89</v>
      </c>
      <c r="L395" s="6">
        <v>2277.5155</v>
      </c>
      <c r="M395" s="5" t="s">
        <v>31</v>
      </c>
      <c r="N395" s="5" t="s">
        <v>64</v>
      </c>
      <c r="O395" s="5">
        <v>1</v>
      </c>
      <c r="P395" s="5" t="s">
        <v>853</v>
      </c>
      <c r="Q395" s="5" t="s">
        <v>854</v>
      </c>
      <c r="R395" s="5">
        <v>22.59</v>
      </c>
      <c r="S395" s="4">
        <v>45041</v>
      </c>
      <c r="T395" s="4">
        <v>45047</v>
      </c>
      <c r="U395" s="5">
        <f t="shared" si="20"/>
        <v>6</v>
      </c>
      <c r="V395" s="5" t="s">
        <v>76</v>
      </c>
      <c r="X395" s="5"/>
    </row>
    <row r="396" spans="1:24">
      <c r="A396" s="4">
        <v>45756</v>
      </c>
      <c r="B396" s="5" t="str">
        <f t="shared" si="18"/>
        <v>April</v>
      </c>
      <c r="C396" s="5" t="s">
        <v>20</v>
      </c>
      <c r="D396" s="5" t="s">
        <v>101</v>
      </c>
      <c r="E396" s="5">
        <v>14</v>
      </c>
      <c r="F396" s="5">
        <v>484.38</v>
      </c>
      <c r="G396" s="6">
        <f t="shared" si="19"/>
        <v>6781.32</v>
      </c>
      <c r="H396" s="5" t="s">
        <v>81</v>
      </c>
      <c r="I396" s="5" t="s">
        <v>62</v>
      </c>
      <c r="J396" s="5">
        <v>0.05</v>
      </c>
      <c r="K396" s="5" t="s">
        <v>73</v>
      </c>
      <c r="L396" s="6">
        <v>6442.254</v>
      </c>
      <c r="M396" s="5" t="s">
        <v>33</v>
      </c>
      <c r="N396" s="5" t="s">
        <v>64</v>
      </c>
      <c r="O396" s="5">
        <v>0</v>
      </c>
      <c r="P396" s="5" t="s">
        <v>855</v>
      </c>
      <c r="Q396" s="5" t="s">
        <v>856</v>
      </c>
      <c r="R396" s="5">
        <v>29.24</v>
      </c>
      <c r="S396" s="4">
        <v>45756</v>
      </c>
      <c r="T396" s="4">
        <v>45766</v>
      </c>
      <c r="U396" s="5">
        <f t="shared" si="20"/>
        <v>10</v>
      </c>
      <c r="V396" s="5" t="s">
        <v>94</v>
      </c>
      <c r="X396" s="5"/>
    </row>
    <row r="397" spans="1:24">
      <c r="A397" s="4">
        <v>45235</v>
      </c>
      <c r="B397" s="5" t="str">
        <f t="shared" si="18"/>
        <v>November</v>
      </c>
      <c r="C397" s="5" t="s">
        <v>18</v>
      </c>
      <c r="D397" s="5" t="s">
        <v>26</v>
      </c>
      <c r="E397" s="5">
        <v>6</v>
      </c>
      <c r="F397" s="5">
        <v>449.57</v>
      </c>
      <c r="G397" s="6">
        <f t="shared" si="19"/>
        <v>2697.42</v>
      </c>
      <c r="H397" s="5" t="s">
        <v>81</v>
      </c>
      <c r="I397" s="5" t="s">
        <v>54</v>
      </c>
      <c r="J397" s="5">
        <v>0</v>
      </c>
      <c r="K397" s="5" t="s">
        <v>73</v>
      </c>
      <c r="L397" s="6">
        <v>2697.42</v>
      </c>
      <c r="M397" s="5" t="s">
        <v>31</v>
      </c>
      <c r="N397" s="5" t="s">
        <v>69</v>
      </c>
      <c r="O397" s="5">
        <v>0</v>
      </c>
      <c r="P397" s="5" t="s">
        <v>857</v>
      </c>
      <c r="Q397" s="5" t="s">
        <v>858</v>
      </c>
      <c r="R397" s="5">
        <v>23.09</v>
      </c>
      <c r="S397" s="4">
        <v>45235</v>
      </c>
      <c r="T397" s="4">
        <v>45242</v>
      </c>
      <c r="U397" s="5">
        <f t="shared" si="20"/>
        <v>7</v>
      </c>
      <c r="V397" s="5" t="s">
        <v>72</v>
      </c>
      <c r="X397" s="5"/>
    </row>
    <row r="398" spans="1:24">
      <c r="A398" s="4">
        <v>44939</v>
      </c>
      <c r="B398" s="5" t="str">
        <f t="shared" si="18"/>
        <v>January</v>
      </c>
      <c r="C398" s="5" t="s">
        <v>16</v>
      </c>
      <c r="D398" s="5" t="s">
        <v>22</v>
      </c>
      <c r="E398" s="5">
        <v>9</v>
      </c>
      <c r="F398" s="5">
        <v>223.01</v>
      </c>
      <c r="G398" s="6">
        <f t="shared" si="19"/>
        <v>2007.09</v>
      </c>
      <c r="H398" s="5" t="s">
        <v>77</v>
      </c>
      <c r="I398" s="5" t="s">
        <v>62</v>
      </c>
      <c r="J398" s="5">
        <v>0</v>
      </c>
      <c r="K398" s="5" t="s">
        <v>82</v>
      </c>
      <c r="L398" s="6">
        <v>2007.09</v>
      </c>
      <c r="M398" s="5" t="s">
        <v>34</v>
      </c>
      <c r="N398" s="5"/>
      <c r="O398" s="5">
        <v>1</v>
      </c>
      <c r="P398" s="5" t="s">
        <v>859</v>
      </c>
      <c r="Q398" s="5" t="s">
        <v>860</v>
      </c>
      <c r="R398" s="5">
        <v>11.9</v>
      </c>
      <c r="S398" s="4">
        <v>44939</v>
      </c>
      <c r="T398" s="4">
        <v>44945</v>
      </c>
      <c r="U398" s="5">
        <f t="shared" si="20"/>
        <v>6</v>
      </c>
      <c r="V398" s="5" t="s">
        <v>59</v>
      </c>
      <c r="X398" s="5"/>
    </row>
    <row r="399" spans="1:24">
      <c r="A399" s="4">
        <v>45694</v>
      </c>
      <c r="B399" s="5" t="str">
        <f t="shared" si="18"/>
        <v>February</v>
      </c>
      <c r="C399" s="5" t="s">
        <v>20</v>
      </c>
      <c r="D399" s="5" t="s">
        <v>25</v>
      </c>
      <c r="E399" s="5">
        <v>14</v>
      </c>
      <c r="F399" s="5">
        <v>291.91</v>
      </c>
      <c r="G399" s="6">
        <f t="shared" si="19"/>
        <v>4086.74</v>
      </c>
      <c r="H399" s="5" t="s">
        <v>61</v>
      </c>
      <c r="I399" s="5" t="s">
        <v>62</v>
      </c>
      <c r="J399" s="5">
        <v>0.15</v>
      </c>
      <c r="K399" s="5" t="s">
        <v>73</v>
      </c>
      <c r="L399" s="6">
        <v>3473.729</v>
      </c>
      <c r="M399" s="5" t="s">
        <v>32</v>
      </c>
      <c r="N399" s="5"/>
      <c r="O399" s="5">
        <v>0</v>
      </c>
      <c r="P399" s="5" t="s">
        <v>861</v>
      </c>
      <c r="Q399" s="5" t="s">
        <v>862</v>
      </c>
      <c r="R399" s="5">
        <v>27.51</v>
      </c>
      <c r="S399" s="4">
        <v>45694</v>
      </c>
      <c r="T399" s="4">
        <v>45698</v>
      </c>
      <c r="U399" s="5">
        <f t="shared" si="20"/>
        <v>4</v>
      </c>
      <c r="V399" s="5" t="s">
        <v>94</v>
      </c>
      <c r="X399" s="5"/>
    </row>
    <row r="400" spans="1:24">
      <c r="A400" s="4">
        <v>45066</v>
      </c>
      <c r="B400" s="5" t="str">
        <f t="shared" si="18"/>
        <v>May</v>
      </c>
      <c r="C400" s="5" t="s">
        <v>17</v>
      </c>
      <c r="D400" s="5" t="s">
        <v>26</v>
      </c>
      <c r="E400" s="5">
        <v>13</v>
      </c>
      <c r="F400" s="5">
        <v>90.86</v>
      </c>
      <c r="G400" s="6">
        <f t="shared" si="19"/>
        <v>1181.18</v>
      </c>
      <c r="H400" s="5" t="s">
        <v>61</v>
      </c>
      <c r="I400" s="5" t="s">
        <v>54</v>
      </c>
      <c r="J400" s="5">
        <v>0</v>
      </c>
      <c r="K400" s="5" t="s">
        <v>78</v>
      </c>
      <c r="L400" s="6">
        <v>1181.18</v>
      </c>
      <c r="M400" s="5" t="s">
        <v>31</v>
      </c>
      <c r="N400" s="5" t="s">
        <v>64</v>
      </c>
      <c r="O400" s="5">
        <v>0</v>
      </c>
      <c r="P400" s="5" t="s">
        <v>863</v>
      </c>
      <c r="Q400" s="5" t="s">
        <v>864</v>
      </c>
      <c r="R400" s="5">
        <v>16.74</v>
      </c>
      <c r="S400" s="4">
        <v>45066</v>
      </c>
      <c r="T400" s="4">
        <v>45071</v>
      </c>
      <c r="U400" s="5">
        <f t="shared" si="20"/>
        <v>5</v>
      </c>
      <c r="V400" s="5" t="s">
        <v>67</v>
      </c>
      <c r="X400" s="5"/>
    </row>
    <row r="401" spans="1:24">
      <c r="A401" s="4">
        <v>45826</v>
      </c>
      <c r="B401" s="5" t="str">
        <f t="shared" si="18"/>
        <v>June</v>
      </c>
      <c r="C401" s="5" t="s">
        <v>16</v>
      </c>
      <c r="D401" s="5" t="s">
        <v>24</v>
      </c>
      <c r="E401" s="5">
        <v>4</v>
      </c>
      <c r="F401" s="5">
        <v>109.05</v>
      </c>
      <c r="G401" s="6">
        <f t="shared" si="19"/>
        <v>436.2</v>
      </c>
      <c r="H401" s="5" t="s">
        <v>81</v>
      </c>
      <c r="I401" s="5" t="s">
        <v>54</v>
      </c>
      <c r="J401" s="5">
        <v>0</v>
      </c>
      <c r="K401" s="5" t="s">
        <v>82</v>
      </c>
      <c r="L401" s="6">
        <v>436.2</v>
      </c>
      <c r="M401" s="5" t="s">
        <v>31</v>
      </c>
      <c r="N401" s="5" t="s">
        <v>69</v>
      </c>
      <c r="O401" s="5">
        <v>0</v>
      </c>
      <c r="P401" s="5" t="s">
        <v>865</v>
      </c>
      <c r="Q401" s="5" t="s">
        <v>866</v>
      </c>
      <c r="R401" s="5">
        <v>21.02</v>
      </c>
      <c r="S401" s="4">
        <v>45826</v>
      </c>
      <c r="T401" s="4">
        <v>45832</v>
      </c>
      <c r="U401" s="5">
        <f t="shared" si="20"/>
        <v>6</v>
      </c>
      <c r="V401" s="5" t="s">
        <v>59</v>
      </c>
      <c r="X401" s="5"/>
    </row>
    <row r="402" spans="1:24">
      <c r="A402" s="4">
        <v>44980</v>
      </c>
      <c r="B402" s="5" t="str">
        <f t="shared" si="18"/>
        <v>February</v>
      </c>
      <c r="C402" s="5" t="s">
        <v>20</v>
      </c>
      <c r="D402" s="5" t="s">
        <v>101</v>
      </c>
      <c r="E402" s="5">
        <v>12</v>
      </c>
      <c r="F402" s="5">
        <v>245.6</v>
      </c>
      <c r="G402" s="6">
        <f t="shared" si="19"/>
        <v>2947.2</v>
      </c>
      <c r="H402" s="5" t="s">
        <v>81</v>
      </c>
      <c r="I402" s="5" t="s">
        <v>62</v>
      </c>
      <c r="J402" s="5">
        <v>0</v>
      </c>
      <c r="K402" s="5" t="s">
        <v>89</v>
      </c>
      <c r="L402" s="6">
        <v>2947.2</v>
      </c>
      <c r="M402" s="5" t="s">
        <v>34</v>
      </c>
      <c r="N402" s="5" t="s">
        <v>56</v>
      </c>
      <c r="O402" s="5">
        <v>1</v>
      </c>
      <c r="P402" s="5" t="s">
        <v>867</v>
      </c>
      <c r="Q402" s="5" t="s">
        <v>868</v>
      </c>
      <c r="R402" s="5">
        <v>43.92</v>
      </c>
      <c r="S402" s="4">
        <v>44980</v>
      </c>
      <c r="T402" s="4">
        <v>44984</v>
      </c>
      <c r="U402" s="5">
        <f t="shared" si="20"/>
        <v>4</v>
      </c>
      <c r="V402" s="5" t="s">
        <v>94</v>
      </c>
      <c r="X402" s="5"/>
    </row>
    <row r="403" spans="1:24">
      <c r="A403" s="4">
        <v>45605</v>
      </c>
      <c r="B403" s="5" t="str">
        <f t="shared" si="18"/>
        <v>November</v>
      </c>
      <c r="C403" s="5" t="s">
        <v>16</v>
      </c>
      <c r="D403" s="5" t="s">
        <v>27</v>
      </c>
      <c r="E403" s="5">
        <v>15</v>
      </c>
      <c r="F403" s="5">
        <v>380.03</v>
      </c>
      <c r="G403" s="6">
        <f t="shared" si="19"/>
        <v>5700.45</v>
      </c>
      <c r="H403" s="5" t="s">
        <v>61</v>
      </c>
      <c r="I403" s="5" t="s">
        <v>62</v>
      </c>
      <c r="J403" s="5">
        <v>0</v>
      </c>
      <c r="K403" s="5" t="s">
        <v>89</v>
      </c>
      <c r="L403" s="6">
        <v>5700.45</v>
      </c>
      <c r="M403" s="5" t="s">
        <v>30</v>
      </c>
      <c r="N403" s="5"/>
      <c r="O403" s="5">
        <v>0</v>
      </c>
      <c r="P403" s="5" t="s">
        <v>869</v>
      </c>
      <c r="Q403" s="5" t="s">
        <v>870</v>
      </c>
      <c r="R403" s="5">
        <v>25.72</v>
      </c>
      <c r="S403" s="4">
        <v>45605</v>
      </c>
      <c r="T403" s="4">
        <v>45608</v>
      </c>
      <c r="U403" s="5">
        <f t="shared" si="20"/>
        <v>3</v>
      </c>
      <c r="V403" s="5" t="s">
        <v>59</v>
      </c>
      <c r="X403" s="5"/>
    </row>
    <row r="404" spans="1:24">
      <c r="A404" s="4">
        <v>45498</v>
      </c>
      <c r="B404" s="5" t="str">
        <f t="shared" si="18"/>
        <v>July</v>
      </c>
      <c r="C404" s="5" t="s">
        <v>17</v>
      </c>
      <c r="D404" s="5" t="s">
        <v>101</v>
      </c>
      <c r="E404" s="5">
        <v>3</v>
      </c>
      <c r="F404" s="5">
        <v>417.58</v>
      </c>
      <c r="G404" s="6">
        <f t="shared" si="19"/>
        <v>1252.74</v>
      </c>
      <c r="H404" s="5" t="s">
        <v>81</v>
      </c>
      <c r="I404" s="5" t="s">
        <v>62</v>
      </c>
      <c r="J404" s="5">
        <v>0.05</v>
      </c>
      <c r="K404" s="5" t="s">
        <v>73</v>
      </c>
      <c r="L404" s="6">
        <v>1190.103</v>
      </c>
      <c r="M404" s="5" t="s">
        <v>31</v>
      </c>
      <c r="N404" s="5" t="s">
        <v>64</v>
      </c>
      <c r="O404" s="5">
        <v>0</v>
      </c>
      <c r="P404" s="5" t="s">
        <v>871</v>
      </c>
      <c r="Q404" s="5" t="s">
        <v>872</v>
      </c>
      <c r="R404" s="5">
        <v>43.42</v>
      </c>
      <c r="S404" s="4">
        <v>45498</v>
      </c>
      <c r="T404" s="4">
        <v>45504</v>
      </c>
      <c r="U404" s="5">
        <f t="shared" si="20"/>
        <v>6</v>
      </c>
      <c r="V404" s="5" t="s">
        <v>67</v>
      </c>
      <c r="X404" s="5"/>
    </row>
    <row r="405" spans="1:24">
      <c r="A405" s="4">
        <v>45157</v>
      </c>
      <c r="B405" s="5" t="str">
        <f t="shared" si="18"/>
        <v>August</v>
      </c>
      <c r="C405" s="5" t="s">
        <v>20</v>
      </c>
      <c r="D405" s="5" t="s">
        <v>22</v>
      </c>
      <c r="E405" s="5">
        <v>15</v>
      </c>
      <c r="F405" s="5">
        <v>432.17</v>
      </c>
      <c r="G405" s="6">
        <f t="shared" si="19"/>
        <v>6482.55</v>
      </c>
      <c r="H405" s="5" t="s">
        <v>81</v>
      </c>
      <c r="I405" s="5" t="s">
        <v>54</v>
      </c>
      <c r="J405" s="5">
        <v>0.15</v>
      </c>
      <c r="K405" s="5" t="s">
        <v>73</v>
      </c>
      <c r="L405" s="6">
        <v>5510.1675</v>
      </c>
      <c r="M405" s="5" t="s">
        <v>33</v>
      </c>
      <c r="N405" s="5" t="s">
        <v>69</v>
      </c>
      <c r="O405" s="5">
        <v>0</v>
      </c>
      <c r="P405" s="5" t="s">
        <v>873</v>
      </c>
      <c r="Q405" s="5" t="s">
        <v>874</v>
      </c>
      <c r="R405" s="5">
        <v>44.88</v>
      </c>
      <c r="S405" s="4">
        <v>45157</v>
      </c>
      <c r="T405" s="4">
        <v>45161</v>
      </c>
      <c r="U405" s="5">
        <f t="shared" si="20"/>
        <v>4</v>
      </c>
      <c r="V405" s="5" t="s">
        <v>94</v>
      </c>
      <c r="X405" s="5"/>
    </row>
    <row r="406" spans="1:24">
      <c r="A406" s="4">
        <v>45243</v>
      </c>
      <c r="B406" s="5" t="str">
        <f t="shared" si="18"/>
        <v>November</v>
      </c>
      <c r="C406" s="5" t="s">
        <v>17</v>
      </c>
      <c r="D406" s="5" t="s">
        <v>26</v>
      </c>
      <c r="E406" s="5">
        <v>13</v>
      </c>
      <c r="F406" s="5">
        <v>531.77</v>
      </c>
      <c r="G406" s="6">
        <f t="shared" si="19"/>
        <v>6913.01</v>
      </c>
      <c r="H406" s="5" t="s">
        <v>77</v>
      </c>
      <c r="I406" s="5" t="s">
        <v>62</v>
      </c>
      <c r="J406" s="5">
        <v>0.1</v>
      </c>
      <c r="K406" s="5" t="s">
        <v>89</v>
      </c>
      <c r="L406" s="6">
        <v>6221.709</v>
      </c>
      <c r="M406" s="5" t="s">
        <v>30</v>
      </c>
      <c r="N406" s="5" t="s">
        <v>64</v>
      </c>
      <c r="O406" s="5">
        <v>0</v>
      </c>
      <c r="P406" s="5" t="s">
        <v>875</v>
      </c>
      <c r="Q406" s="5" t="s">
        <v>876</v>
      </c>
      <c r="R406" s="5">
        <v>37.91</v>
      </c>
      <c r="S406" s="4">
        <v>45243</v>
      </c>
      <c r="T406" s="4">
        <v>45245</v>
      </c>
      <c r="U406" s="5">
        <f t="shared" si="20"/>
        <v>2</v>
      </c>
      <c r="V406" s="5" t="s">
        <v>67</v>
      </c>
      <c r="X406" s="5"/>
    </row>
    <row r="407" spans="1:24">
      <c r="A407" s="4">
        <v>45545</v>
      </c>
      <c r="B407" s="5" t="str">
        <f t="shared" si="18"/>
        <v>September</v>
      </c>
      <c r="C407" s="5" t="s">
        <v>20</v>
      </c>
      <c r="D407" s="5" t="s">
        <v>101</v>
      </c>
      <c r="E407" s="5">
        <v>13</v>
      </c>
      <c r="F407" s="5">
        <v>442.99</v>
      </c>
      <c r="G407" s="6">
        <f t="shared" si="19"/>
        <v>5758.87</v>
      </c>
      <c r="H407" s="5" t="s">
        <v>61</v>
      </c>
      <c r="I407" s="5" t="s">
        <v>54</v>
      </c>
      <c r="J407" s="5">
        <v>0.05</v>
      </c>
      <c r="K407" s="5" t="s">
        <v>63</v>
      </c>
      <c r="L407" s="6">
        <v>5470.9265</v>
      </c>
      <c r="M407" s="5" t="s">
        <v>31</v>
      </c>
      <c r="N407" s="5" t="s">
        <v>64</v>
      </c>
      <c r="O407" s="5">
        <v>0</v>
      </c>
      <c r="P407" s="5" t="s">
        <v>877</v>
      </c>
      <c r="Q407" s="5" t="s">
        <v>878</v>
      </c>
      <c r="R407" s="5">
        <v>37.12</v>
      </c>
      <c r="S407" s="4">
        <v>45545</v>
      </c>
      <c r="T407" s="4">
        <v>45553</v>
      </c>
      <c r="U407" s="5">
        <f t="shared" si="20"/>
        <v>8</v>
      </c>
      <c r="V407" s="5" t="s">
        <v>94</v>
      </c>
      <c r="X407" s="5"/>
    </row>
    <row r="408" spans="1:24">
      <c r="A408" s="4">
        <v>45534</v>
      </c>
      <c r="B408" s="5" t="str">
        <f t="shared" si="18"/>
        <v>August</v>
      </c>
      <c r="C408" s="5" t="s">
        <v>19</v>
      </c>
      <c r="D408" s="5" t="s">
        <v>25</v>
      </c>
      <c r="E408" s="5">
        <v>13</v>
      </c>
      <c r="F408" s="5">
        <v>567.5</v>
      </c>
      <c r="G408" s="6">
        <f t="shared" si="19"/>
        <v>7377.5</v>
      </c>
      <c r="H408" s="5" t="s">
        <v>61</v>
      </c>
      <c r="I408" s="5" t="s">
        <v>62</v>
      </c>
      <c r="J408" s="5">
        <v>0</v>
      </c>
      <c r="K408" s="5" t="s">
        <v>55</v>
      </c>
      <c r="L408" s="6">
        <v>7377.5</v>
      </c>
      <c r="M408" s="5" t="s">
        <v>32</v>
      </c>
      <c r="N408" s="5"/>
      <c r="O408" s="5">
        <v>0</v>
      </c>
      <c r="P408" s="5" t="s">
        <v>879</v>
      </c>
      <c r="Q408" s="5" t="s">
        <v>880</v>
      </c>
      <c r="R408" s="5">
        <v>28.41</v>
      </c>
      <c r="S408" s="4">
        <v>45534</v>
      </c>
      <c r="T408" s="4">
        <v>45537</v>
      </c>
      <c r="U408" s="5">
        <f t="shared" si="20"/>
        <v>3</v>
      </c>
      <c r="V408" s="5" t="s">
        <v>76</v>
      </c>
      <c r="X408" s="5"/>
    </row>
    <row r="409" spans="1:24">
      <c r="A409" s="4">
        <v>45606</v>
      </c>
      <c r="B409" s="5" t="str">
        <f t="shared" si="18"/>
        <v>November</v>
      </c>
      <c r="C409" s="5" t="s">
        <v>16</v>
      </c>
      <c r="D409" s="5" t="s">
        <v>101</v>
      </c>
      <c r="E409" s="5">
        <v>15</v>
      </c>
      <c r="F409" s="5">
        <v>469.52</v>
      </c>
      <c r="G409" s="6">
        <f t="shared" si="19"/>
        <v>7042.8</v>
      </c>
      <c r="H409" s="5" t="s">
        <v>77</v>
      </c>
      <c r="I409" s="5" t="s">
        <v>54</v>
      </c>
      <c r="J409" s="5">
        <v>0</v>
      </c>
      <c r="K409" s="5" t="s">
        <v>63</v>
      </c>
      <c r="L409" s="6">
        <v>7042.8</v>
      </c>
      <c r="M409" s="5" t="s">
        <v>32</v>
      </c>
      <c r="N409" s="5" t="s">
        <v>56</v>
      </c>
      <c r="O409" s="5">
        <v>0</v>
      </c>
      <c r="P409" s="5" t="s">
        <v>881</v>
      </c>
      <c r="Q409" s="5" t="s">
        <v>882</v>
      </c>
      <c r="R409" s="5">
        <v>35.6</v>
      </c>
      <c r="S409" s="4">
        <v>45606</v>
      </c>
      <c r="T409" s="4">
        <v>45613</v>
      </c>
      <c r="U409" s="5">
        <f t="shared" si="20"/>
        <v>7</v>
      </c>
      <c r="V409" s="5" t="s">
        <v>59</v>
      </c>
      <c r="X409" s="5"/>
    </row>
    <row r="410" spans="1:24">
      <c r="A410" s="4">
        <v>45029</v>
      </c>
      <c r="B410" s="5" t="str">
        <f t="shared" si="18"/>
        <v>April</v>
      </c>
      <c r="C410" s="5" t="s">
        <v>16</v>
      </c>
      <c r="D410" s="5" t="s">
        <v>27</v>
      </c>
      <c r="E410" s="5">
        <v>1</v>
      </c>
      <c r="F410" s="5">
        <v>396.09</v>
      </c>
      <c r="G410" s="6">
        <f t="shared" si="19"/>
        <v>396.09</v>
      </c>
      <c r="H410" s="5" t="s">
        <v>81</v>
      </c>
      <c r="I410" s="5" t="s">
        <v>54</v>
      </c>
      <c r="J410" s="5">
        <v>0.15</v>
      </c>
      <c r="K410" s="5" t="s">
        <v>73</v>
      </c>
      <c r="L410" s="6">
        <v>336.6765</v>
      </c>
      <c r="M410" s="5" t="s">
        <v>32</v>
      </c>
      <c r="N410" s="5" t="s">
        <v>69</v>
      </c>
      <c r="O410" s="5">
        <v>0</v>
      </c>
      <c r="P410" s="5" t="s">
        <v>883</v>
      </c>
      <c r="Q410" s="5" t="s">
        <v>884</v>
      </c>
      <c r="R410" s="5">
        <v>39.38</v>
      </c>
      <c r="S410" s="4">
        <v>45029</v>
      </c>
      <c r="T410" s="4">
        <v>45035</v>
      </c>
      <c r="U410" s="5">
        <f t="shared" si="20"/>
        <v>6</v>
      </c>
      <c r="V410" s="5" t="s">
        <v>59</v>
      </c>
      <c r="X410" s="5"/>
    </row>
    <row r="411" spans="1:24">
      <c r="A411" s="4">
        <v>45250</v>
      </c>
      <c r="B411" s="5" t="str">
        <f t="shared" si="18"/>
        <v>November</v>
      </c>
      <c r="C411" s="5" t="s">
        <v>16</v>
      </c>
      <c r="D411" s="5" t="s">
        <v>22</v>
      </c>
      <c r="E411" s="5">
        <v>12</v>
      </c>
      <c r="F411" s="5">
        <v>195.73</v>
      </c>
      <c r="G411" s="6">
        <f t="shared" si="19"/>
        <v>2348.76</v>
      </c>
      <c r="H411" s="5" t="s">
        <v>77</v>
      </c>
      <c r="I411" s="5" t="s">
        <v>54</v>
      </c>
      <c r="J411" s="5">
        <v>0.05</v>
      </c>
      <c r="K411" s="5" t="s">
        <v>63</v>
      </c>
      <c r="L411" s="6">
        <v>2231.322</v>
      </c>
      <c r="M411" s="5" t="s">
        <v>34</v>
      </c>
      <c r="N411" s="5" t="s">
        <v>64</v>
      </c>
      <c r="O411" s="5">
        <v>0</v>
      </c>
      <c r="P411" s="5" t="s">
        <v>885</v>
      </c>
      <c r="Q411" s="5" t="s">
        <v>886</v>
      </c>
      <c r="R411" s="5">
        <v>37.09</v>
      </c>
      <c r="S411" s="4">
        <v>45250</v>
      </c>
      <c r="T411" s="4">
        <v>45257</v>
      </c>
      <c r="U411" s="5">
        <f t="shared" si="20"/>
        <v>7</v>
      </c>
      <c r="V411" s="5" t="s">
        <v>59</v>
      </c>
      <c r="X411" s="5"/>
    </row>
    <row r="412" spans="1:24">
      <c r="A412" s="4">
        <v>45761</v>
      </c>
      <c r="B412" s="5" t="str">
        <f t="shared" si="18"/>
        <v>April</v>
      </c>
      <c r="C412" s="5" t="s">
        <v>18</v>
      </c>
      <c r="D412" s="5" t="s">
        <v>27</v>
      </c>
      <c r="E412" s="5">
        <v>5</v>
      </c>
      <c r="F412" s="5">
        <v>412.24</v>
      </c>
      <c r="G412" s="6">
        <f t="shared" si="19"/>
        <v>2061.2</v>
      </c>
      <c r="H412" s="5" t="s">
        <v>53</v>
      </c>
      <c r="I412" s="5" t="s">
        <v>54</v>
      </c>
      <c r="J412" s="5">
        <v>0.15</v>
      </c>
      <c r="K412" s="5" t="s">
        <v>78</v>
      </c>
      <c r="L412" s="6">
        <v>1752.02</v>
      </c>
      <c r="M412" s="5" t="s">
        <v>34</v>
      </c>
      <c r="N412" s="5" t="s">
        <v>56</v>
      </c>
      <c r="O412" s="5">
        <v>0</v>
      </c>
      <c r="P412" s="5" t="s">
        <v>887</v>
      </c>
      <c r="Q412" s="5" t="s">
        <v>486</v>
      </c>
      <c r="R412" s="5">
        <v>29.31</v>
      </c>
      <c r="S412" s="4">
        <v>45761</v>
      </c>
      <c r="T412" s="4">
        <v>45766</v>
      </c>
      <c r="U412" s="5">
        <f t="shared" si="20"/>
        <v>5</v>
      </c>
      <c r="V412" s="5" t="s">
        <v>72</v>
      </c>
      <c r="X412" s="5"/>
    </row>
    <row r="413" spans="1:24">
      <c r="A413" s="4">
        <v>44989</v>
      </c>
      <c r="B413" s="5" t="str">
        <f t="shared" si="18"/>
        <v>March</v>
      </c>
      <c r="C413" s="5" t="s">
        <v>19</v>
      </c>
      <c r="D413" s="5" t="s">
        <v>26</v>
      </c>
      <c r="E413" s="5">
        <v>11</v>
      </c>
      <c r="F413" s="5">
        <v>558.5</v>
      </c>
      <c r="G413" s="6">
        <f t="shared" si="19"/>
        <v>6143.5</v>
      </c>
      <c r="H413" s="5" t="s">
        <v>53</v>
      </c>
      <c r="I413" s="5" t="s">
        <v>62</v>
      </c>
      <c r="J413" s="5">
        <v>0.15</v>
      </c>
      <c r="K413" s="5" t="s">
        <v>78</v>
      </c>
      <c r="L413" s="6">
        <v>5221.975</v>
      </c>
      <c r="M413" s="5" t="s">
        <v>34</v>
      </c>
      <c r="N413" s="5" t="s">
        <v>69</v>
      </c>
      <c r="O413" s="5">
        <v>0</v>
      </c>
      <c r="P413" s="5" t="s">
        <v>888</v>
      </c>
      <c r="Q413" s="5" t="s">
        <v>373</v>
      </c>
      <c r="R413" s="5">
        <v>48.15</v>
      </c>
      <c r="S413" s="4">
        <v>44989</v>
      </c>
      <c r="T413" s="4">
        <v>44994</v>
      </c>
      <c r="U413" s="5">
        <f t="shared" si="20"/>
        <v>5</v>
      </c>
      <c r="V413" s="5" t="s">
        <v>76</v>
      </c>
      <c r="X413" s="5"/>
    </row>
    <row r="414" spans="1:24">
      <c r="A414" s="4">
        <v>45612</v>
      </c>
      <c r="B414" s="5" t="str">
        <f t="shared" si="18"/>
        <v>November</v>
      </c>
      <c r="C414" s="5" t="s">
        <v>18</v>
      </c>
      <c r="D414" s="5" t="s">
        <v>22</v>
      </c>
      <c r="E414" s="5">
        <v>4</v>
      </c>
      <c r="F414" s="5">
        <v>175.34</v>
      </c>
      <c r="G414" s="6">
        <f t="shared" si="19"/>
        <v>701.36</v>
      </c>
      <c r="H414" s="5" t="s">
        <v>77</v>
      </c>
      <c r="I414" s="5" t="s">
        <v>62</v>
      </c>
      <c r="J414" s="5">
        <v>0.15</v>
      </c>
      <c r="K414" s="5" t="s">
        <v>55</v>
      </c>
      <c r="L414" s="6">
        <v>596.156</v>
      </c>
      <c r="M414" s="5" t="s">
        <v>34</v>
      </c>
      <c r="N414" s="5" t="s">
        <v>56</v>
      </c>
      <c r="O414" s="5">
        <v>0</v>
      </c>
      <c r="P414" s="5" t="s">
        <v>889</v>
      </c>
      <c r="Q414" s="5" t="s">
        <v>890</v>
      </c>
      <c r="R414" s="5">
        <v>40.86</v>
      </c>
      <c r="S414" s="4">
        <v>45612</v>
      </c>
      <c r="T414" s="4">
        <v>45615</v>
      </c>
      <c r="U414" s="5">
        <f t="shared" si="20"/>
        <v>3</v>
      </c>
      <c r="V414" s="5" t="s">
        <v>72</v>
      </c>
      <c r="X414" s="5"/>
    </row>
    <row r="415" spans="1:24">
      <c r="A415" s="4">
        <v>45437</v>
      </c>
      <c r="B415" s="5" t="str">
        <f t="shared" si="18"/>
        <v>May</v>
      </c>
      <c r="C415" s="5" t="s">
        <v>17</v>
      </c>
      <c r="D415" s="5" t="s">
        <v>22</v>
      </c>
      <c r="E415" s="5">
        <v>19</v>
      </c>
      <c r="F415" s="5">
        <v>478.73</v>
      </c>
      <c r="G415" s="6">
        <f t="shared" si="19"/>
        <v>9095.87</v>
      </c>
      <c r="H415" s="5" t="s">
        <v>61</v>
      </c>
      <c r="I415" s="5" t="s">
        <v>62</v>
      </c>
      <c r="J415" s="5">
        <v>0</v>
      </c>
      <c r="K415" s="5" t="s">
        <v>73</v>
      </c>
      <c r="L415" s="6">
        <v>9095.87</v>
      </c>
      <c r="M415" s="5" t="s">
        <v>33</v>
      </c>
      <c r="N415" s="5" t="s">
        <v>69</v>
      </c>
      <c r="O415" s="5">
        <v>1</v>
      </c>
      <c r="P415" s="5" t="s">
        <v>891</v>
      </c>
      <c r="Q415" s="5" t="s">
        <v>892</v>
      </c>
      <c r="R415" s="5">
        <v>46.46</v>
      </c>
      <c r="S415" s="4">
        <v>45437</v>
      </c>
      <c r="T415" s="4">
        <v>45445</v>
      </c>
      <c r="U415" s="5">
        <f t="shared" si="20"/>
        <v>8</v>
      </c>
      <c r="V415" s="5" t="s">
        <v>67</v>
      </c>
      <c r="X415" s="5"/>
    </row>
    <row r="416" spans="1:24">
      <c r="A416" s="4">
        <v>45028</v>
      </c>
      <c r="B416" s="5" t="str">
        <f t="shared" si="18"/>
        <v>April</v>
      </c>
      <c r="C416" s="5" t="s">
        <v>16</v>
      </c>
      <c r="D416" s="5" t="s">
        <v>24</v>
      </c>
      <c r="E416" s="5">
        <v>5</v>
      </c>
      <c r="F416" s="5">
        <v>365.38</v>
      </c>
      <c r="G416" s="6">
        <f t="shared" si="19"/>
        <v>1826.9</v>
      </c>
      <c r="H416" s="5" t="s">
        <v>81</v>
      </c>
      <c r="I416" s="5" t="s">
        <v>54</v>
      </c>
      <c r="J416" s="5">
        <v>0.15</v>
      </c>
      <c r="K416" s="5" t="s">
        <v>63</v>
      </c>
      <c r="L416" s="6">
        <v>1552.865</v>
      </c>
      <c r="M416" s="5" t="s">
        <v>33</v>
      </c>
      <c r="N416" s="5" t="s">
        <v>64</v>
      </c>
      <c r="O416" s="5">
        <v>1</v>
      </c>
      <c r="P416" s="5" t="s">
        <v>893</v>
      </c>
      <c r="Q416" s="5" t="s">
        <v>894</v>
      </c>
      <c r="R416" s="5">
        <v>5.66</v>
      </c>
      <c r="S416" s="4">
        <v>45028</v>
      </c>
      <c r="T416" s="4">
        <v>45031</v>
      </c>
      <c r="U416" s="5">
        <f t="shared" si="20"/>
        <v>3</v>
      </c>
      <c r="V416" s="5" t="s">
        <v>59</v>
      </c>
      <c r="X416" s="5"/>
    </row>
    <row r="417" spans="1:24">
      <c r="A417" s="4">
        <v>44992</v>
      </c>
      <c r="B417" s="5" t="str">
        <f t="shared" si="18"/>
        <v>March</v>
      </c>
      <c r="C417" s="5" t="s">
        <v>17</v>
      </c>
      <c r="D417" s="5" t="s">
        <v>24</v>
      </c>
      <c r="E417" s="5">
        <v>10</v>
      </c>
      <c r="F417" s="5">
        <v>397.33</v>
      </c>
      <c r="G417" s="6">
        <f t="shared" si="19"/>
        <v>3973.3</v>
      </c>
      <c r="H417" s="5" t="s">
        <v>53</v>
      </c>
      <c r="I417" s="5" t="s">
        <v>62</v>
      </c>
      <c r="J417" s="5">
        <v>0.15</v>
      </c>
      <c r="K417" s="5" t="s">
        <v>63</v>
      </c>
      <c r="L417" s="6">
        <v>3377.305</v>
      </c>
      <c r="M417" s="5" t="s">
        <v>32</v>
      </c>
      <c r="N417" s="5"/>
      <c r="O417" s="5">
        <v>0</v>
      </c>
      <c r="P417" s="5" t="s">
        <v>895</v>
      </c>
      <c r="Q417" s="5" t="s">
        <v>896</v>
      </c>
      <c r="R417" s="5">
        <v>10.2</v>
      </c>
      <c r="S417" s="4">
        <v>44992</v>
      </c>
      <c r="T417" s="4">
        <v>44998</v>
      </c>
      <c r="U417" s="5">
        <f t="shared" si="20"/>
        <v>6</v>
      </c>
      <c r="V417" s="5" t="s">
        <v>67</v>
      </c>
      <c r="X417" s="5"/>
    </row>
    <row r="418" spans="1:24">
      <c r="A418" s="4">
        <v>45296</v>
      </c>
      <c r="B418" s="5" t="str">
        <f t="shared" si="18"/>
        <v>January</v>
      </c>
      <c r="C418" s="5" t="s">
        <v>19</v>
      </c>
      <c r="D418" s="5" t="s">
        <v>25</v>
      </c>
      <c r="E418" s="5">
        <v>17</v>
      </c>
      <c r="F418" s="5">
        <v>241.01</v>
      </c>
      <c r="G418" s="6">
        <f t="shared" si="19"/>
        <v>4097.17</v>
      </c>
      <c r="H418" s="5" t="s">
        <v>61</v>
      </c>
      <c r="I418" s="5" t="s">
        <v>62</v>
      </c>
      <c r="J418" s="5">
        <v>0.1</v>
      </c>
      <c r="K418" s="5" t="s">
        <v>89</v>
      </c>
      <c r="L418" s="6">
        <v>3687.453</v>
      </c>
      <c r="M418" s="5" t="s">
        <v>33</v>
      </c>
      <c r="N418" s="5" t="s">
        <v>69</v>
      </c>
      <c r="O418" s="5">
        <v>0</v>
      </c>
      <c r="P418" s="5" t="s">
        <v>897</v>
      </c>
      <c r="Q418" s="5" t="s">
        <v>898</v>
      </c>
      <c r="R418" s="5">
        <v>24.69</v>
      </c>
      <c r="S418" s="4">
        <v>45296</v>
      </c>
      <c r="T418" s="4">
        <v>45302</v>
      </c>
      <c r="U418" s="5">
        <f t="shared" si="20"/>
        <v>6</v>
      </c>
      <c r="V418" s="5" t="s">
        <v>76</v>
      </c>
      <c r="X418" s="5"/>
    </row>
    <row r="419" spans="1:24">
      <c r="A419" s="4">
        <v>45596</v>
      </c>
      <c r="B419" s="5" t="str">
        <f t="shared" si="18"/>
        <v>October</v>
      </c>
      <c r="C419" s="5" t="s">
        <v>20</v>
      </c>
      <c r="D419" s="5" t="s">
        <v>24</v>
      </c>
      <c r="E419" s="5">
        <v>17</v>
      </c>
      <c r="F419" s="5">
        <v>82.2</v>
      </c>
      <c r="G419" s="6">
        <f t="shared" si="19"/>
        <v>1397.4</v>
      </c>
      <c r="H419" s="5" t="s">
        <v>77</v>
      </c>
      <c r="I419" s="5" t="s">
        <v>54</v>
      </c>
      <c r="J419" s="5">
        <v>0</v>
      </c>
      <c r="K419" s="5" t="s">
        <v>63</v>
      </c>
      <c r="L419" s="6">
        <v>1397.4</v>
      </c>
      <c r="M419" s="5" t="s">
        <v>34</v>
      </c>
      <c r="N419" s="5" t="s">
        <v>69</v>
      </c>
      <c r="O419" s="5">
        <v>0</v>
      </c>
      <c r="P419" s="5" t="s">
        <v>899</v>
      </c>
      <c r="Q419" s="5" t="s">
        <v>900</v>
      </c>
      <c r="R419" s="5">
        <v>32.5</v>
      </c>
      <c r="S419" s="4">
        <v>45596</v>
      </c>
      <c r="T419" s="4">
        <v>45606</v>
      </c>
      <c r="U419" s="5">
        <f t="shared" si="20"/>
        <v>10</v>
      </c>
      <c r="V419" s="5" t="s">
        <v>94</v>
      </c>
      <c r="X419" s="5"/>
    </row>
    <row r="420" spans="1:24">
      <c r="A420" s="4">
        <v>45420</v>
      </c>
      <c r="B420" s="5" t="str">
        <f t="shared" si="18"/>
        <v>May</v>
      </c>
      <c r="C420" s="5" t="s">
        <v>20</v>
      </c>
      <c r="D420" s="5" t="s">
        <v>26</v>
      </c>
      <c r="E420" s="5">
        <v>16</v>
      </c>
      <c r="F420" s="5">
        <v>170.77</v>
      </c>
      <c r="G420" s="6">
        <f t="shared" si="19"/>
        <v>2732.32</v>
      </c>
      <c r="H420" s="5" t="s">
        <v>77</v>
      </c>
      <c r="I420" s="5" t="s">
        <v>62</v>
      </c>
      <c r="J420" s="5">
        <v>0.1</v>
      </c>
      <c r="K420" s="5" t="s">
        <v>73</v>
      </c>
      <c r="L420" s="6">
        <v>2459.088</v>
      </c>
      <c r="M420" s="5" t="s">
        <v>30</v>
      </c>
      <c r="N420" s="5" t="s">
        <v>64</v>
      </c>
      <c r="O420" s="5">
        <v>1</v>
      </c>
      <c r="P420" s="5" t="s">
        <v>901</v>
      </c>
      <c r="Q420" s="5" t="s">
        <v>902</v>
      </c>
      <c r="R420" s="5">
        <v>45.93</v>
      </c>
      <c r="S420" s="4">
        <v>45420</v>
      </c>
      <c r="T420" s="4">
        <v>45426</v>
      </c>
      <c r="U420" s="5">
        <f t="shared" si="20"/>
        <v>6</v>
      </c>
      <c r="V420" s="5" t="s">
        <v>94</v>
      </c>
      <c r="X420" s="5"/>
    </row>
    <row r="421" spans="1:24">
      <c r="A421" s="4">
        <v>45356</v>
      </c>
      <c r="B421" s="5" t="str">
        <f t="shared" si="18"/>
        <v>March</v>
      </c>
      <c r="C421" s="5" t="s">
        <v>19</v>
      </c>
      <c r="D421" s="5" t="s">
        <v>26</v>
      </c>
      <c r="E421" s="5">
        <v>1</v>
      </c>
      <c r="F421" s="5">
        <v>8.2</v>
      </c>
      <c r="G421" s="6">
        <f t="shared" si="19"/>
        <v>8.2</v>
      </c>
      <c r="H421" s="5" t="s">
        <v>77</v>
      </c>
      <c r="I421" s="5" t="s">
        <v>54</v>
      </c>
      <c r="J421" s="5">
        <v>0.15</v>
      </c>
      <c r="K421" s="5" t="s">
        <v>73</v>
      </c>
      <c r="L421" s="6">
        <v>6.97</v>
      </c>
      <c r="M421" s="5" t="s">
        <v>33</v>
      </c>
      <c r="N421" s="5"/>
      <c r="O421" s="5">
        <v>0</v>
      </c>
      <c r="P421" s="5" t="s">
        <v>903</v>
      </c>
      <c r="Q421" s="5" t="s">
        <v>904</v>
      </c>
      <c r="R421" s="5">
        <v>30.35</v>
      </c>
      <c r="S421" s="4">
        <v>45356</v>
      </c>
      <c r="T421" s="4">
        <v>45366</v>
      </c>
      <c r="U421" s="5">
        <f t="shared" si="20"/>
        <v>10</v>
      </c>
      <c r="V421" s="5" t="s">
        <v>76</v>
      </c>
      <c r="X421" s="5"/>
    </row>
    <row r="422" spans="1:24">
      <c r="A422" s="4">
        <v>45125</v>
      </c>
      <c r="B422" s="5" t="str">
        <f t="shared" si="18"/>
        <v>July</v>
      </c>
      <c r="C422" s="5" t="s">
        <v>18</v>
      </c>
      <c r="D422" s="5" t="s">
        <v>22</v>
      </c>
      <c r="E422" s="5">
        <v>12</v>
      </c>
      <c r="F422" s="5">
        <v>425.78</v>
      </c>
      <c r="G422" s="6">
        <f t="shared" si="19"/>
        <v>5109.36</v>
      </c>
      <c r="H422" s="5" t="s">
        <v>61</v>
      </c>
      <c r="I422" s="5" t="s">
        <v>62</v>
      </c>
      <c r="J422" s="5">
        <v>0.1</v>
      </c>
      <c r="K422" s="5" t="s">
        <v>89</v>
      </c>
      <c r="L422" s="6">
        <v>4598.424</v>
      </c>
      <c r="M422" s="5" t="s">
        <v>30</v>
      </c>
      <c r="N422" s="5"/>
      <c r="O422" s="5">
        <v>1</v>
      </c>
      <c r="P422" s="5" t="s">
        <v>905</v>
      </c>
      <c r="Q422" s="5" t="s">
        <v>906</v>
      </c>
      <c r="R422" s="5">
        <v>25.48</v>
      </c>
      <c r="S422" s="4">
        <v>45125</v>
      </c>
      <c r="T422" s="4">
        <v>45129</v>
      </c>
      <c r="U422" s="5">
        <f t="shared" si="20"/>
        <v>4</v>
      </c>
      <c r="V422" s="5" t="s">
        <v>72</v>
      </c>
      <c r="X422" s="5"/>
    </row>
    <row r="423" spans="1:24">
      <c r="A423" s="4">
        <v>45143</v>
      </c>
      <c r="B423" s="5" t="str">
        <f t="shared" si="18"/>
        <v>August</v>
      </c>
      <c r="C423" s="5" t="s">
        <v>17</v>
      </c>
      <c r="D423" s="5" t="s">
        <v>27</v>
      </c>
      <c r="E423" s="5">
        <v>20</v>
      </c>
      <c r="F423" s="5">
        <v>121.14</v>
      </c>
      <c r="G423" s="6">
        <f t="shared" si="19"/>
        <v>2422.8</v>
      </c>
      <c r="H423" s="5" t="s">
        <v>77</v>
      </c>
      <c r="I423" s="5" t="s">
        <v>62</v>
      </c>
      <c r="J423" s="5">
        <v>0.1</v>
      </c>
      <c r="K423" s="5" t="s">
        <v>89</v>
      </c>
      <c r="L423" s="6">
        <v>2180.52</v>
      </c>
      <c r="M423" s="5" t="s">
        <v>32</v>
      </c>
      <c r="N423" s="5" t="s">
        <v>56</v>
      </c>
      <c r="O423" s="5">
        <v>0</v>
      </c>
      <c r="P423" s="5" t="s">
        <v>907</v>
      </c>
      <c r="Q423" s="5" t="s">
        <v>908</v>
      </c>
      <c r="R423" s="5">
        <v>21.47</v>
      </c>
      <c r="S423" s="4">
        <v>45143</v>
      </c>
      <c r="T423" s="4">
        <v>45152</v>
      </c>
      <c r="U423" s="5">
        <f t="shared" si="20"/>
        <v>9</v>
      </c>
      <c r="V423" s="5" t="s">
        <v>67</v>
      </c>
      <c r="X423" s="5"/>
    </row>
    <row r="424" spans="1:24">
      <c r="A424" s="4">
        <v>45187</v>
      </c>
      <c r="B424" s="5" t="str">
        <f t="shared" si="18"/>
        <v>September</v>
      </c>
      <c r="C424" s="5" t="s">
        <v>20</v>
      </c>
      <c r="D424" s="5" t="s">
        <v>101</v>
      </c>
      <c r="E424" s="5">
        <v>19</v>
      </c>
      <c r="F424" s="5">
        <v>448.13</v>
      </c>
      <c r="G424" s="6">
        <f t="shared" si="19"/>
        <v>8514.47</v>
      </c>
      <c r="H424" s="5" t="s">
        <v>81</v>
      </c>
      <c r="I424" s="5" t="s">
        <v>54</v>
      </c>
      <c r="J424" s="5">
        <v>0</v>
      </c>
      <c r="K424" s="5" t="s">
        <v>63</v>
      </c>
      <c r="L424" s="6">
        <v>8514.47</v>
      </c>
      <c r="M424" s="5" t="s">
        <v>33</v>
      </c>
      <c r="N424" s="5" t="s">
        <v>56</v>
      </c>
      <c r="O424" s="5">
        <v>0</v>
      </c>
      <c r="P424" s="5" t="s">
        <v>909</v>
      </c>
      <c r="Q424" s="5" t="s">
        <v>910</v>
      </c>
      <c r="R424" s="5">
        <v>28.29</v>
      </c>
      <c r="S424" s="4">
        <v>45187</v>
      </c>
      <c r="T424" s="4">
        <v>45189</v>
      </c>
      <c r="U424" s="5">
        <f t="shared" si="20"/>
        <v>2</v>
      </c>
      <c r="V424" s="5" t="s">
        <v>94</v>
      </c>
      <c r="X424" s="5"/>
    </row>
    <row r="425" spans="1:24">
      <c r="A425" s="4">
        <v>45012</v>
      </c>
      <c r="B425" s="5" t="str">
        <f t="shared" si="18"/>
        <v>March</v>
      </c>
      <c r="C425" s="5" t="s">
        <v>17</v>
      </c>
      <c r="D425" s="5" t="s">
        <v>22</v>
      </c>
      <c r="E425" s="5">
        <v>8</v>
      </c>
      <c r="F425" s="5">
        <v>7.81</v>
      </c>
      <c r="G425" s="6">
        <f t="shared" si="19"/>
        <v>62.48</v>
      </c>
      <c r="H425" s="5" t="s">
        <v>81</v>
      </c>
      <c r="I425" s="5" t="s">
        <v>54</v>
      </c>
      <c r="J425" s="5">
        <v>0.1</v>
      </c>
      <c r="K425" s="5" t="s">
        <v>73</v>
      </c>
      <c r="L425" s="6">
        <v>56.232</v>
      </c>
      <c r="M425" s="5" t="s">
        <v>30</v>
      </c>
      <c r="N425" s="5" t="s">
        <v>64</v>
      </c>
      <c r="O425" s="5">
        <v>0</v>
      </c>
      <c r="P425" s="5" t="s">
        <v>911</v>
      </c>
      <c r="Q425" s="5" t="s">
        <v>912</v>
      </c>
      <c r="R425" s="5">
        <v>25.03</v>
      </c>
      <c r="S425" s="4">
        <v>45012</v>
      </c>
      <c r="T425" s="4">
        <v>45014</v>
      </c>
      <c r="U425" s="5">
        <f t="shared" si="20"/>
        <v>2</v>
      </c>
      <c r="V425" s="5" t="s">
        <v>67</v>
      </c>
      <c r="X425" s="5"/>
    </row>
    <row r="426" spans="1:24">
      <c r="A426" s="4">
        <v>44993</v>
      </c>
      <c r="B426" s="5" t="str">
        <f t="shared" si="18"/>
        <v>March</v>
      </c>
      <c r="C426" s="5" t="s">
        <v>16</v>
      </c>
      <c r="D426" s="5" t="s">
        <v>25</v>
      </c>
      <c r="E426" s="5">
        <v>19</v>
      </c>
      <c r="F426" s="5">
        <v>191.44</v>
      </c>
      <c r="G426" s="6">
        <f t="shared" si="19"/>
        <v>3637.36</v>
      </c>
      <c r="H426" s="5" t="s">
        <v>77</v>
      </c>
      <c r="I426" s="5" t="s">
        <v>54</v>
      </c>
      <c r="J426" s="5">
        <v>0.15</v>
      </c>
      <c r="K426" s="5" t="s">
        <v>78</v>
      </c>
      <c r="L426" s="6">
        <v>3091.756</v>
      </c>
      <c r="M426" s="5" t="s">
        <v>34</v>
      </c>
      <c r="N426" s="5" t="s">
        <v>69</v>
      </c>
      <c r="O426" s="5">
        <v>1</v>
      </c>
      <c r="P426" s="5" t="s">
        <v>913</v>
      </c>
      <c r="Q426" s="5" t="s">
        <v>914</v>
      </c>
      <c r="R426" s="5">
        <v>35.54</v>
      </c>
      <c r="S426" s="4">
        <v>44993</v>
      </c>
      <c r="T426" s="4">
        <v>45002</v>
      </c>
      <c r="U426" s="5">
        <f t="shared" si="20"/>
        <v>9</v>
      </c>
      <c r="V426" s="5" t="s">
        <v>59</v>
      </c>
      <c r="X426" s="5"/>
    </row>
    <row r="427" spans="1:24">
      <c r="A427" s="4">
        <v>45414</v>
      </c>
      <c r="B427" s="5" t="str">
        <f t="shared" si="18"/>
        <v>May</v>
      </c>
      <c r="C427" s="5" t="s">
        <v>20</v>
      </c>
      <c r="D427" s="5" t="s">
        <v>24</v>
      </c>
      <c r="E427" s="5">
        <v>5</v>
      </c>
      <c r="F427" s="5">
        <v>245.2</v>
      </c>
      <c r="G427" s="6">
        <f t="shared" si="19"/>
        <v>1226</v>
      </c>
      <c r="H427" s="5" t="s">
        <v>53</v>
      </c>
      <c r="I427" s="5" t="s">
        <v>62</v>
      </c>
      <c r="J427" s="5">
        <v>0.15</v>
      </c>
      <c r="K427" s="5" t="s">
        <v>55</v>
      </c>
      <c r="L427" s="6">
        <v>1042.1</v>
      </c>
      <c r="M427" s="5" t="s">
        <v>30</v>
      </c>
      <c r="N427" s="5"/>
      <c r="O427" s="5">
        <v>0</v>
      </c>
      <c r="P427" s="5" t="s">
        <v>915</v>
      </c>
      <c r="Q427" s="5" t="s">
        <v>916</v>
      </c>
      <c r="R427" s="5">
        <v>46.37</v>
      </c>
      <c r="S427" s="4">
        <v>45414</v>
      </c>
      <c r="T427" s="4">
        <v>45418</v>
      </c>
      <c r="U427" s="5">
        <f t="shared" si="20"/>
        <v>4</v>
      </c>
      <c r="V427" s="5" t="s">
        <v>94</v>
      </c>
      <c r="X427" s="5"/>
    </row>
    <row r="428" spans="1:24">
      <c r="A428" s="4">
        <v>45185</v>
      </c>
      <c r="B428" s="5" t="str">
        <f t="shared" si="18"/>
        <v>September</v>
      </c>
      <c r="C428" s="5" t="s">
        <v>18</v>
      </c>
      <c r="D428" s="5" t="s">
        <v>24</v>
      </c>
      <c r="E428" s="5">
        <v>17</v>
      </c>
      <c r="F428" s="5">
        <v>163.37</v>
      </c>
      <c r="G428" s="6">
        <f t="shared" si="19"/>
        <v>2777.29</v>
      </c>
      <c r="H428" s="5" t="s">
        <v>53</v>
      </c>
      <c r="I428" s="5" t="s">
        <v>54</v>
      </c>
      <c r="J428" s="5">
        <v>0.15</v>
      </c>
      <c r="K428" s="5" t="s">
        <v>55</v>
      </c>
      <c r="L428" s="6">
        <v>2360.6965</v>
      </c>
      <c r="M428" s="5" t="s">
        <v>31</v>
      </c>
      <c r="N428" s="5" t="s">
        <v>64</v>
      </c>
      <c r="O428" s="5">
        <v>0</v>
      </c>
      <c r="P428" s="5" t="s">
        <v>917</v>
      </c>
      <c r="Q428" s="5" t="s">
        <v>918</v>
      </c>
      <c r="R428" s="5">
        <v>5.36</v>
      </c>
      <c r="S428" s="4">
        <v>45185</v>
      </c>
      <c r="T428" s="4">
        <v>45195</v>
      </c>
      <c r="U428" s="5">
        <f t="shared" si="20"/>
        <v>10</v>
      </c>
      <c r="V428" s="5" t="s">
        <v>72</v>
      </c>
      <c r="X428" s="5"/>
    </row>
    <row r="429" spans="1:24">
      <c r="A429" s="4">
        <v>45090</v>
      </c>
      <c r="B429" s="5" t="str">
        <f t="shared" si="18"/>
        <v>June</v>
      </c>
      <c r="C429" s="5" t="s">
        <v>17</v>
      </c>
      <c r="D429" s="5" t="s">
        <v>101</v>
      </c>
      <c r="E429" s="5">
        <v>14</v>
      </c>
      <c r="F429" s="5">
        <v>583.96</v>
      </c>
      <c r="G429" s="6">
        <f t="shared" si="19"/>
        <v>8175.44</v>
      </c>
      <c r="H429" s="5" t="s">
        <v>77</v>
      </c>
      <c r="I429" s="5" t="s">
        <v>62</v>
      </c>
      <c r="J429" s="5">
        <v>0</v>
      </c>
      <c r="K429" s="5" t="s">
        <v>82</v>
      </c>
      <c r="L429" s="6">
        <v>8175.44</v>
      </c>
      <c r="M429" s="5" t="s">
        <v>33</v>
      </c>
      <c r="N429" s="5" t="s">
        <v>69</v>
      </c>
      <c r="O429" s="5">
        <v>0</v>
      </c>
      <c r="P429" s="5" t="s">
        <v>919</v>
      </c>
      <c r="Q429" s="5" t="s">
        <v>920</v>
      </c>
      <c r="R429" s="5">
        <v>23.03</v>
      </c>
      <c r="S429" s="4">
        <v>45090</v>
      </c>
      <c r="T429" s="4">
        <v>45099</v>
      </c>
      <c r="U429" s="5">
        <f t="shared" si="20"/>
        <v>9</v>
      </c>
      <c r="V429" s="5" t="s">
        <v>67</v>
      </c>
      <c r="X429" s="5"/>
    </row>
    <row r="430" spans="1:24">
      <c r="A430" s="4">
        <v>45235</v>
      </c>
      <c r="B430" s="5" t="str">
        <f t="shared" si="18"/>
        <v>November</v>
      </c>
      <c r="C430" s="5" t="s">
        <v>18</v>
      </c>
      <c r="D430" s="5" t="s">
        <v>24</v>
      </c>
      <c r="E430" s="5">
        <v>16</v>
      </c>
      <c r="F430" s="5">
        <v>181.08</v>
      </c>
      <c r="G430" s="6">
        <f t="shared" si="19"/>
        <v>2897.28</v>
      </c>
      <c r="H430" s="5" t="s">
        <v>77</v>
      </c>
      <c r="I430" s="5" t="s">
        <v>62</v>
      </c>
      <c r="J430" s="5">
        <v>0.1</v>
      </c>
      <c r="K430" s="5" t="s">
        <v>78</v>
      </c>
      <c r="L430" s="6">
        <v>2607.552</v>
      </c>
      <c r="M430" s="5" t="s">
        <v>30</v>
      </c>
      <c r="N430" s="5" t="s">
        <v>69</v>
      </c>
      <c r="O430" s="5">
        <v>0</v>
      </c>
      <c r="P430" s="5" t="s">
        <v>921</v>
      </c>
      <c r="Q430" s="5" t="s">
        <v>922</v>
      </c>
      <c r="R430" s="5">
        <v>39.84</v>
      </c>
      <c r="S430" s="4">
        <v>45235</v>
      </c>
      <c r="T430" s="4">
        <v>45238</v>
      </c>
      <c r="U430" s="5">
        <f t="shared" si="20"/>
        <v>3</v>
      </c>
      <c r="V430" s="5" t="s">
        <v>72</v>
      </c>
      <c r="X430" s="5"/>
    </row>
    <row r="431" spans="1:24">
      <c r="A431" s="4">
        <v>45619</v>
      </c>
      <c r="B431" s="5" t="str">
        <f t="shared" si="18"/>
        <v>November</v>
      </c>
      <c r="C431" s="5" t="s">
        <v>17</v>
      </c>
      <c r="D431" s="5" t="s">
        <v>101</v>
      </c>
      <c r="E431" s="5">
        <v>8</v>
      </c>
      <c r="F431" s="5">
        <v>414.94</v>
      </c>
      <c r="G431" s="6">
        <f t="shared" si="19"/>
        <v>3319.52</v>
      </c>
      <c r="H431" s="5" t="s">
        <v>61</v>
      </c>
      <c r="I431" s="5" t="s">
        <v>54</v>
      </c>
      <c r="J431" s="5">
        <v>0</v>
      </c>
      <c r="K431" s="5" t="s">
        <v>63</v>
      </c>
      <c r="L431" s="6">
        <v>3319.52</v>
      </c>
      <c r="M431" s="5" t="s">
        <v>33</v>
      </c>
      <c r="N431" s="5" t="s">
        <v>64</v>
      </c>
      <c r="O431" s="5">
        <v>0</v>
      </c>
      <c r="P431" s="5" t="s">
        <v>923</v>
      </c>
      <c r="Q431" s="5" t="s">
        <v>924</v>
      </c>
      <c r="R431" s="5">
        <v>46.58</v>
      </c>
      <c r="S431" s="4">
        <v>45619</v>
      </c>
      <c r="T431" s="4">
        <v>45622</v>
      </c>
      <c r="U431" s="5">
        <f t="shared" si="20"/>
        <v>3</v>
      </c>
      <c r="V431" s="5" t="s">
        <v>67</v>
      </c>
      <c r="X431" s="5"/>
    </row>
    <row r="432" spans="1:24">
      <c r="A432" s="4">
        <v>45331</v>
      </c>
      <c r="B432" s="5" t="str">
        <f t="shared" si="18"/>
        <v>February</v>
      </c>
      <c r="C432" s="5" t="s">
        <v>19</v>
      </c>
      <c r="D432" s="5" t="s">
        <v>23</v>
      </c>
      <c r="E432" s="5">
        <v>16</v>
      </c>
      <c r="F432" s="5">
        <v>442.22</v>
      </c>
      <c r="G432" s="6">
        <f t="shared" si="19"/>
        <v>7075.52</v>
      </c>
      <c r="H432" s="5" t="s">
        <v>53</v>
      </c>
      <c r="I432" s="5" t="s">
        <v>62</v>
      </c>
      <c r="J432" s="5">
        <v>0</v>
      </c>
      <c r="K432" s="5" t="s">
        <v>63</v>
      </c>
      <c r="L432" s="6">
        <v>7075.52</v>
      </c>
      <c r="M432" s="5" t="s">
        <v>34</v>
      </c>
      <c r="N432" s="5" t="s">
        <v>56</v>
      </c>
      <c r="O432" s="5">
        <v>0</v>
      </c>
      <c r="P432" s="5" t="s">
        <v>925</v>
      </c>
      <c r="Q432" s="5" t="s">
        <v>926</v>
      </c>
      <c r="R432" s="5">
        <v>27.36</v>
      </c>
      <c r="S432" s="4">
        <v>45331</v>
      </c>
      <c r="T432" s="4">
        <v>45340</v>
      </c>
      <c r="U432" s="5">
        <f t="shared" si="20"/>
        <v>9</v>
      </c>
      <c r="V432" s="5" t="s">
        <v>76</v>
      </c>
      <c r="X432" s="5"/>
    </row>
    <row r="433" spans="1:24">
      <c r="A433" s="4">
        <v>45246</v>
      </c>
      <c r="B433" s="5" t="str">
        <f t="shared" si="18"/>
        <v>November</v>
      </c>
      <c r="C433" s="5" t="s">
        <v>19</v>
      </c>
      <c r="D433" s="5" t="s">
        <v>27</v>
      </c>
      <c r="E433" s="5">
        <v>14</v>
      </c>
      <c r="F433" s="5">
        <v>595.39</v>
      </c>
      <c r="G433" s="6">
        <f t="shared" si="19"/>
        <v>8335.46</v>
      </c>
      <c r="H433" s="5" t="s">
        <v>61</v>
      </c>
      <c r="I433" s="5" t="s">
        <v>54</v>
      </c>
      <c r="J433" s="5">
        <v>0.1</v>
      </c>
      <c r="K433" s="5" t="s">
        <v>89</v>
      </c>
      <c r="L433" s="6">
        <v>7501.914</v>
      </c>
      <c r="M433" s="5" t="s">
        <v>32</v>
      </c>
      <c r="N433" s="5" t="s">
        <v>64</v>
      </c>
      <c r="O433" s="5">
        <v>0</v>
      </c>
      <c r="P433" s="5" t="s">
        <v>927</v>
      </c>
      <c r="Q433" s="5" t="s">
        <v>928</v>
      </c>
      <c r="R433" s="5">
        <v>9.51</v>
      </c>
      <c r="S433" s="4">
        <v>45246</v>
      </c>
      <c r="T433" s="4">
        <v>45252</v>
      </c>
      <c r="U433" s="5">
        <f t="shared" si="20"/>
        <v>6</v>
      </c>
      <c r="V433" s="5" t="s">
        <v>76</v>
      </c>
      <c r="X433" s="5"/>
    </row>
    <row r="434" spans="1:24">
      <c r="A434" s="4">
        <v>45681</v>
      </c>
      <c r="B434" s="5" t="str">
        <f t="shared" si="18"/>
        <v>January</v>
      </c>
      <c r="C434" s="5" t="s">
        <v>19</v>
      </c>
      <c r="D434" s="5" t="s">
        <v>26</v>
      </c>
      <c r="E434" s="5">
        <v>6</v>
      </c>
      <c r="F434" s="5">
        <v>175.3</v>
      </c>
      <c r="G434" s="6">
        <f t="shared" si="19"/>
        <v>1051.8</v>
      </c>
      <c r="H434" s="5" t="s">
        <v>61</v>
      </c>
      <c r="I434" s="5" t="s">
        <v>54</v>
      </c>
      <c r="J434" s="5">
        <v>0.15</v>
      </c>
      <c r="K434" s="5" t="s">
        <v>63</v>
      </c>
      <c r="L434" s="6">
        <v>894.03</v>
      </c>
      <c r="M434" s="5" t="s">
        <v>34</v>
      </c>
      <c r="N434" s="5" t="s">
        <v>64</v>
      </c>
      <c r="O434" s="5">
        <v>1</v>
      </c>
      <c r="P434" s="5" t="s">
        <v>929</v>
      </c>
      <c r="Q434" s="5" t="s">
        <v>930</v>
      </c>
      <c r="R434" s="5">
        <v>17.92</v>
      </c>
      <c r="S434" s="4">
        <v>45681</v>
      </c>
      <c r="T434" s="4">
        <v>45686</v>
      </c>
      <c r="U434" s="5">
        <f t="shared" si="20"/>
        <v>5</v>
      </c>
      <c r="V434" s="5" t="s">
        <v>76</v>
      </c>
      <c r="X434" s="5"/>
    </row>
    <row r="435" spans="1:24">
      <c r="A435" s="4">
        <v>45783</v>
      </c>
      <c r="B435" s="5" t="str">
        <f t="shared" si="18"/>
        <v>May</v>
      </c>
      <c r="C435" s="5" t="s">
        <v>19</v>
      </c>
      <c r="D435" s="5" t="s">
        <v>101</v>
      </c>
      <c r="E435" s="5">
        <v>7</v>
      </c>
      <c r="F435" s="5">
        <v>319.59</v>
      </c>
      <c r="G435" s="6">
        <f t="shared" si="19"/>
        <v>2237.13</v>
      </c>
      <c r="H435" s="5" t="s">
        <v>77</v>
      </c>
      <c r="I435" s="5" t="s">
        <v>54</v>
      </c>
      <c r="J435" s="5">
        <v>0.15</v>
      </c>
      <c r="K435" s="5" t="s">
        <v>78</v>
      </c>
      <c r="L435" s="6">
        <v>1901.5605</v>
      </c>
      <c r="M435" s="5" t="s">
        <v>31</v>
      </c>
      <c r="N435" s="5" t="s">
        <v>69</v>
      </c>
      <c r="O435" s="5">
        <v>1</v>
      </c>
      <c r="P435" s="5" t="s">
        <v>931</v>
      </c>
      <c r="Q435" s="5" t="s">
        <v>932</v>
      </c>
      <c r="R435" s="5">
        <v>8.47</v>
      </c>
      <c r="S435" s="4">
        <v>45783</v>
      </c>
      <c r="T435" s="4">
        <v>45786</v>
      </c>
      <c r="U435" s="5">
        <f t="shared" si="20"/>
        <v>3</v>
      </c>
      <c r="V435" s="5" t="s">
        <v>76</v>
      </c>
      <c r="X435" s="5"/>
    </row>
    <row r="436" spans="1:24">
      <c r="A436" s="4">
        <v>45794</v>
      </c>
      <c r="B436" s="5" t="str">
        <f t="shared" si="18"/>
        <v>May</v>
      </c>
      <c r="C436" s="5" t="s">
        <v>16</v>
      </c>
      <c r="D436" s="5" t="s">
        <v>27</v>
      </c>
      <c r="E436" s="5">
        <v>15</v>
      </c>
      <c r="F436" s="5">
        <v>506.81</v>
      </c>
      <c r="G436" s="6">
        <f t="shared" si="19"/>
        <v>7602.15</v>
      </c>
      <c r="H436" s="5" t="s">
        <v>61</v>
      </c>
      <c r="I436" s="5" t="s">
        <v>62</v>
      </c>
      <c r="J436" s="5">
        <v>0.15</v>
      </c>
      <c r="K436" s="5" t="s">
        <v>89</v>
      </c>
      <c r="L436" s="6">
        <v>6461.8275</v>
      </c>
      <c r="M436" s="5" t="s">
        <v>34</v>
      </c>
      <c r="N436" s="5" t="s">
        <v>56</v>
      </c>
      <c r="O436" s="5">
        <v>1</v>
      </c>
      <c r="P436" s="5" t="s">
        <v>933</v>
      </c>
      <c r="Q436" s="5" t="s">
        <v>934</v>
      </c>
      <c r="R436" s="5">
        <v>41.03</v>
      </c>
      <c r="S436" s="4">
        <v>45794</v>
      </c>
      <c r="T436" s="4">
        <v>45804</v>
      </c>
      <c r="U436" s="5">
        <f t="shared" si="20"/>
        <v>10</v>
      </c>
      <c r="V436" s="5" t="s">
        <v>59</v>
      </c>
      <c r="X436" s="5"/>
    </row>
    <row r="437" spans="1:24">
      <c r="A437" s="4">
        <v>45259</v>
      </c>
      <c r="B437" s="5" t="str">
        <f t="shared" si="18"/>
        <v>November</v>
      </c>
      <c r="C437" s="5" t="s">
        <v>19</v>
      </c>
      <c r="D437" s="5" t="s">
        <v>22</v>
      </c>
      <c r="E437" s="5">
        <v>17</v>
      </c>
      <c r="F437" s="5">
        <v>538.08</v>
      </c>
      <c r="G437" s="6">
        <f t="shared" si="19"/>
        <v>9147.36</v>
      </c>
      <c r="H437" s="5" t="s">
        <v>61</v>
      </c>
      <c r="I437" s="5" t="s">
        <v>62</v>
      </c>
      <c r="J437" s="5">
        <v>0.05</v>
      </c>
      <c r="K437" s="5" t="s">
        <v>55</v>
      </c>
      <c r="L437" s="6">
        <v>8689.992</v>
      </c>
      <c r="M437" s="5" t="s">
        <v>33</v>
      </c>
      <c r="N437" s="5" t="s">
        <v>56</v>
      </c>
      <c r="O437" s="5">
        <v>0</v>
      </c>
      <c r="P437" s="5" t="s">
        <v>935</v>
      </c>
      <c r="Q437" s="5" t="s">
        <v>936</v>
      </c>
      <c r="R437" s="5">
        <v>19.61</v>
      </c>
      <c r="S437" s="4">
        <v>45259</v>
      </c>
      <c r="T437" s="4">
        <v>45261</v>
      </c>
      <c r="U437" s="5">
        <f t="shared" si="20"/>
        <v>2</v>
      </c>
      <c r="V437" s="5" t="s">
        <v>76</v>
      </c>
      <c r="X437" s="5"/>
    </row>
    <row r="438" spans="1:24">
      <c r="A438" s="4">
        <v>44981</v>
      </c>
      <c r="B438" s="5" t="str">
        <f t="shared" si="18"/>
        <v>February</v>
      </c>
      <c r="C438" s="5" t="s">
        <v>17</v>
      </c>
      <c r="D438" s="5" t="s">
        <v>25</v>
      </c>
      <c r="E438" s="5">
        <v>16</v>
      </c>
      <c r="F438" s="5">
        <v>187.84</v>
      </c>
      <c r="G438" s="6">
        <f t="shared" si="19"/>
        <v>3005.44</v>
      </c>
      <c r="H438" s="5" t="s">
        <v>61</v>
      </c>
      <c r="I438" s="5" t="s">
        <v>62</v>
      </c>
      <c r="J438" s="5">
        <v>0</v>
      </c>
      <c r="K438" s="5" t="s">
        <v>63</v>
      </c>
      <c r="L438" s="6">
        <v>3005.44</v>
      </c>
      <c r="M438" s="5" t="s">
        <v>32</v>
      </c>
      <c r="N438" s="5" t="s">
        <v>64</v>
      </c>
      <c r="O438" s="5">
        <v>0</v>
      </c>
      <c r="P438" s="5" t="s">
        <v>937</v>
      </c>
      <c r="Q438" s="5" t="s">
        <v>938</v>
      </c>
      <c r="R438" s="5">
        <v>18.65</v>
      </c>
      <c r="S438" s="4">
        <v>44981</v>
      </c>
      <c r="T438" s="4">
        <v>44983</v>
      </c>
      <c r="U438" s="5">
        <f t="shared" si="20"/>
        <v>2</v>
      </c>
      <c r="V438" s="5" t="s">
        <v>67</v>
      </c>
      <c r="X438" s="5"/>
    </row>
    <row r="439" spans="1:24">
      <c r="A439" s="4">
        <v>45234</v>
      </c>
      <c r="B439" s="5" t="str">
        <f t="shared" si="18"/>
        <v>November</v>
      </c>
      <c r="C439" s="5" t="s">
        <v>17</v>
      </c>
      <c r="D439" s="5" t="s">
        <v>22</v>
      </c>
      <c r="E439" s="5">
        <v>18</v>
      </c>
      <c r="F439" s="5">
        <v>426.3</v>
      </c>
      <c r="G439" s="6">
        <f t="shared" si="19"/>
        <v>7673.4</v>
      </c>
      <c r="H439" s="5" t="s">
        <v>61</v>
      </c>
      <c r="I439" s="5" t="s">
        <v>54</v>
      </c>
      <c r="J439" s="5">
        <v>0.15</v>
      </c>
      <c r="K439" s="5" t="s">
        <v>78</v>
      </c>
      <c r="L439" s="6">
        <v>6522.39</v>
      </c>
      <c r="M439" s="5" t="s">
        <v>32</v>
      </c>
      <c r="N439" s="5"/>
      <c r="O439" s="5">
        <v>1</v>
      </c>
      <c r="P439" s="5" t="s">
        <v>939</v>
      </c>
      <c r="Q439" s="5" t="s">
        <v>940</v>
      </c>
      <c r="R439" s="5">
        <v>29.81</v>
      </c>
      <c r="S439" s="4">
        <v>45234</v>
      </c>
      <c r="T439" s="4">
        <v>45240</v>
      </c>
      <c r="U439" s="5">
        <f t="shared" si="20"/>
        <v>6</v>
      </c>
      <c r="V439" s="5" t="s">
        <v>67</v>
      </c>
      <c r="X439" s="5"/>
    </row>
    <row r="440" spans="1:24">
      <c r="A440" s="4">
        <v>45458</v>
      </c>
      <c r="B440" s="5" t="str">
        <f t="shared" si="18"/>
        <v>June</v>
      </c>
      <c r="C440" s="5" t="s">
        <v>16</v>
      </c>
      <c r="D440" s="5" t="s">
        <v>24</v>
      </c>
      <c r="E440" s="5">
        <v>1</v>
      </c>
      <c r="F440" s="5">
        <v>498.35</v>
      </c>
      <c r="G440" s="6">
        <f t="shared" si="19"/>
        <v>498.35</v>
      </c>
      <c r="H440" s="5" t="s">
        <v>53</v>
      </c>
      <c r="I440" s="5" t="s">
        <v>62</v>
      </c>
      <c r="J440" s="5">
        <v>0.1</v>
      </c>
      <c r="K440" s="5" t="s">
        <v>63</v>
      </c>
      <c r="L440" s="6">
        <v>448.515</v>
      </c>
      <c r="M440" s="5" t="s">
        <v>30</v>
      </c>
      <c r="N440" s="5" t="s">
        <v>56</v>
      </c>
      <c r="O440" s="5">
        <v>0</v>
      </c>
      <c r="P440" s="5" t="s">
        <v>941</v>
      </c>
      <c r="Q440" s="5" t="s">
        <v>942</v>
      </c>
      <c r="R440" s="5">
        <v>34.7</v>
      </c>
      <c r="S440" s="4">
        <v>45458</v>
      </c>
      <c r="T440" s="4">
        <v>45465</v>
      </c>
      <c r="U440" s="5">
        <f t="shared" si="20"/>
        <v>7</v>
      </c>
      <c r="V440" s="5" t="s">
        <v>59</v>
      </c>
      <c r="X440" s="5"/>
    </row>
    <row r="441" spans="1:24">
      <c r="A441" s="4">
        <v>45567</v>
      </c>
      <c r="B441" s="5" t="str">
        <f t="shared" si="18"/>
        <v>October</v>
      </c>
      <c r="C441" s="5" t="s">
        <v>18</v>
      </c>
      <c r="D441" s="5" t="s">
        <v>101</v>
      </c>
      <c r="E441" s="5">
        <v>19</v>
      </c>
      <c r="F441" s="5">
        <v>385.72</v>
      </c>
      <c r="G441" s="6">
        <f t="shared" si="19"/>
        <v>7328.68</v>
      </c>
      <c r="H441" s="5" t="s">
        <v>61</v>
      </c>
      <c r="I441" s="5" t="s">
        <v>62</v>
      </c>
      <c r="J441" s="5">
        <v>0.05</v>
      </c>
      <c r="K441" s="5" t="s">
        <v>78</v>
      </c>
      <c r="L441" s="6">
        <v>6962.246</v>
      </c>
      <c r="M441" s="5" t="s">
        <v>34</v>
      </c>
      <c r="N441" s="5" t="s">
        <v>64</v>
      </c>
      <c r="O441" s="5">
        <v>1</v>
      </c>
      <c r="P441" s="5" t="s">
        <v>943</v>
      </c>
      <c r="Q441" s="5" t="s">
        <v>944</v>
      </c>
      <c r="R441" s="5">
        <v>12.46</v>
      </c>
      <c r="S441" s="4">
        <v>45567</v>
      </c>
      <c r="T441" s="4">
        <v>45571</v>
      </c>
      <c r="U441" s="5">
        <f t="shared" si="20"/>
        <v>4</v>
      </c>
      <c r="V441" s="5" t="s">
        <v>72</v>
      </c>
      <c r="X441" s="5"/>
    </row>
    <row r="442" spans="1:24">
      <c r="A442" s="4">
        <v>45080</v>
      </c>
      <c r="B442" s="5" t="str">
        <f t="shared" si="18"/>
        <v>June</v>
      </c>
      <c r="C442" s="5" t="s">
        <v>20</v>
      </c>
      <c r="D442" s="5" t="s">
        <v>101</v>
      </c>
      <c r="E442" s="5">
        <v>3</v>
      </c>
      <c r="F442" s="5">
        <v>54.37</v>
      </c>
      <c r="G442" s="6">
        <f t="shared" si="19"/>
        <v>163.11</v>
      </c>
      <c r="H442" s="5" t="s">
        <v>53</v>
      </c>
      <c r="I442" s="5" t="s">
        <v>54</v>
      </c>
      <c r="J442" s="5">
        <v>0.1</v>
      </c>
      <c r="K442" s="5" t="s">
        <v>73</v>
      </c>
      <c r="L442" s="6">
        <v>146.799</v>
      </c>
      <c r="M442" s="5" t="s">
        <v>32</v>
      </c>
      <c r="N442" s="5" t="s">
        <v>69</v>
      </c>
      <c r="O442" s="5">
        <v>0</v>
      </c>
      <c r="P442" s="5" t="s">
        <v>945</v>
      </c>
      <c r="Q442" s="5" t="s">
        <v>946</v>
      </c>
      <c r="R442" s="5">
        <v>48.71</v>
      </c>
      <c r="S442" s="4">
        <v>45080</v>
      </c>
      <c r="T442" s="4">
        <v>45090</v>
      </c>
      <c r="U442" s="5">
        <f t="shared" si="20"/>
        <v>10</v>
      </c>
      <c r="V442" s="5" t="s">
        <v>94</v>
      </c>
      <c r="X442" s="5"/>
    </row>
    <row r="443" spans="1:24">
      <c r="A443" s="4">
        <v>45179</v>
      </c>
      <c r="B443" s="5" t="str">
        <f t="shared" si="18"/>
        <v>September</v>
      </c>
      <c r="C443" s="5" t="s">
        <v>16</v>
      </c>
      <c r="D443" s="5" t="s">
        <v>23</v>
      </c>
      <c r="E443" s="5">
        <v>6</v>
      </c>
      <c r="F443" s="5">
        <v>471.74</v>
      </c>
      <c r="G443" s="6">
        <f t="shared" si="19"/>
        <v>2830.44</v>
      </c>
      <c r="H443" s="5" t="s">
        <v>77</v>
      </c>
      <c r="I443" s="5" t="s">
        <v>62</v>
      </c>
      <c r="J443" s="5">
        <v>0.15</v>
      </c>
      <c r="K443" s="5" t="s">
        <v>78</v>
      </c>
      <c r="L443" s="6">
        <v>2405.874</v>
      </c>
      <c r="M443" s="5" t="s">
        <v>30</v>
      </c>
      <c r="N443" s="5"/>
      <c r="O443" s="5">
        <v>0</v>
      </c>
      <c r="P443" s="5" t="s">
        <v>947</v>
      </c>
      <c r="Q443" s="5" t="s">
        <v>948</v>
      </c>
      <c r="R443" s="5">
        <v>36.79</v>
      </c>
      <c r="S443" s="4">
        <v>45179</v>
      </c>
      <c r="T443" s="4">
        <v>45187</v>
      </c>
      <c r="U443" s="5">
        <f t="shared" si="20"/>
        <v>8</v>
      </c>
      <c r="V443" s="5" t="s">
        <v>59</v>
      </c>
      <c r="X443" s="5"/>
    </row>
    <row r="444" spans="1:24">
      <c r="A444" s="4">
        <v>45797</v>
      </c>
      <c r="B444" s="5" t="str">
        <f t="shared" si="18"/>
        <v>May</v>
      </c>
      <c r="C444" s="5" t="s">
        <v>19</v>
      </c>
      <c r="D444" s="5" t="s">
        <v>27</v>
      </c>
      <c r="E444" s="5">
        <v>19</v>
      </c>
      <c r="F444" s="5">
        <v>322.31</v>
      </c>
      <c r="G444" s="6">
        <f t="shared" si="19"/>
        <v>6123.89</v>
      </c>
      <c r="H444" s="5" t="s">
        <v>53</v>
      </c>
      <c r="I444" s="5" t="s">
        <v>62</v>
      </c>
      <c r="J444" s="5">
        <v>0.15</v>
      </c>
      <c r="K444" s="5" t="s">
        <v>89</v>
      </c>
      <c r="L444" s="6">
        <v>5205.3065</v>
      </c>
      <c r="M444" s="5" t="s">
        <v>34</v>
      </c>
      <c r="N444" s="5" t="s">
        <v>56</v>
      </c>
      <c r="O444" s="5">
        <v>0</v>
      </c>
      <c r="P444" s="5" t="s">
        <v>949</v>
      </c>
      <c r="Q444" s="5" t="s">
        <v>950</v>
      </c>
      <c r="R444" s="5">
        <v>33.95</v>
      </c>
      <c r="S444" s="4">
        <v>45797</v>
      </c>
      <c r="T444" s="4">
        <v>45799</v>
      </c>
      <c r="U444" s="5">
        <f t="shared" si="20"/>
        <v>2</v>
      </c>
      <c r="V444" s="5" t="s">
        <v>76</v>
      </c>
      <c r="X444" s="5"/>
    </row>
    <row r="445" spans="1:24">
      <c r="A445" s="4">
        <v>45193</v>
      </c>
      <c r="B445" s="5" t="str">
        <f t="shared" si="18"/>
        <v>September</v>
      </c>
      <c r="C445" s="5" t="s">
        <v>18</v>
      </c>
      <c r="D445" s="5" t="s">
        <v>101</v>
      </c>
      <c r="E445" s="5">
        <v>13</v>
      </c>
      <c r="F445" s="5">
        <v>115.86</v>
      </c>
      <c r="G445" s="6">
        <f t="shared" si="19"/>
        <v>1506.18</v>
      </c>
      <c r="H445" s="5" t="s">
        <v>61</v>
      </c>
      <c r="I445" s="5" t="s">
        <v>54</v>
      </c>
      <c r="J445" s="5">
        <v>0.1</v>
      </c>
      <c r="K445" s="5" t="s">
        <v>82</v>
      </c>
      <c r="L445" s="6">
        <v>1355.562</v>
      </c>
      <c r="M445" s="5" t="s">
        <v>34</v>
      </c>
      <c r="N445" s="5"/>
      <c r="O445" s="5">
        <v>1</v>
      </c>
      <c r="P445" s="5" t="s">
        <v>951</v>
      </c>
      <c r="Q445" s="5" t="s">
        <v>952</v>
      </c>
      <c r="R445" s="5">
        <v>28.52</v>
      </c>
      <c r="S445" s="4">
        <v>45193</v>
      </c>
      <c r="T445" s="4">
        <v>45202</v>
      </c>
      <c r="U445" s="5">
        <f t="shared" si="20"/>
        <v>9</v>
      </c>
      <c r="V445" s="5" t="s">
        <v>72</v>
      </c>
      <c r="X445" s="5"/>
    </row>
    <row r="446" spans="1:24">
      <c r="A446" s="4">
        <v>45745</v>
      </c>
      <c r="B446" s="5" t="str">
        <f t="shared" si="18"/>
        <v>March</v>
      </c>
      <c r="C446" s="5" t="s">
        <v>16</v>
      </c>
      <c r="D446" s="5" t="s">
        <v>101</v>
      </c>
      <c r="E446" s="5">
        <v>18</v>
      </c>
      <c r="F446" s="5">
        <v>398.26</v>
      </c>
      <c r="G446" s="6">
        <f t="shared" si="19"/>
        <v>7168.68</v>
      </c>
      <c r="H446" s="5" t="s">
        <v>53</v>
      </c>
      <c r="I446" s="5" t="s">
        <v>62</v>
      </c>
      <c r="J446" s="5">
        <v>0.1</v>
      </c>
      <c r="K446" s="5" t="s">
        <v>89</v>
      </c>
      <c r="L446" s="6">
        <v>6451.812</v>
      </c>
      <c r="M446" s="5" t="s">
        <v>33</v>
      </c>
      <c r="N446" s="5"/>
      <c r="O446" s="5">
        <v>0</v>
      </c>
      <c r="P446" s="5" t="s">
        <v>953</v>
      </c>
      <c r="Q446" s="5" t="s">
        <v>954</v>
      </c>
      <c r="R446" s="5">
        <v>16.8</v>
      </c>
      <c r="S446" s="4">
        <v>45745</v>
      </c>
      <c r="T446" s="4">
        <v>45751</v>
      </c>
      <c r="U446" s="5">
        <f t="shared" si="20"/>
        <v>6</v>
      </c>
      <c r="V446" s="5" t="s">
        <v>59</v>
      </c>
      <c r="X446" s="5"/>
    </row>
    <row r="447" spans="1:24">
      <c r="A447" s="4">
        <v>45094</v>
      </c>
      <c r="B447" s="5" t="str">
        <f t="shared" si="18"/>
        <v>June</v>
      </c>
      <c r="C447" s="5" t="s">
        <v>16</v>
      </c>
      <c r="D447" s="5" t="s">
        <v>25</v>
      </c>
      <c r="E447" s="5">
        <v>4</v>
      </c>
      <c r="F447" s="5">
        <v>584.8</v>
      </c>
      <c r="G447" s="6">
        <f t="shared" si="19"/>
        <v>2339.2</v>
      </c>
      <c r="H447" s="5" t="s">
        <v>53</v>
      </c>
      <c r="I447" s="5" t="s">
        <v>62</v>
      </c>
      <c r="J447" s="5">
        <v>0.1</v>
      </c>
      <c r="K447" s="5" t="s">
        <v>55</v>
      </c>
      <c r="L447" s="6">
        <v>2105.28</v>
      </c>
      <c r="M447" s="5" t="s">
        <v>30</v>
      </c>
      <c r="N447" s="5" t="s">
        <v>56</v>
      </c>
      <c r="O447" s="5">
        <v>0</v>
      </c>
      <c r="P447" s="5" t="s">
        <v>955</v>
      </c>
      <c r="Q447" s="5" t="s">
        <v>956</v>
      </c>
      <c r="R447" s="5">
        <v>16.44</v>
      </c>
      <c r="S447" s="4">
        <v>45094</v>
      </c>
      <c r="T447" s="4">
        <v>45102</v>
      </c>
      <c r="U447" s="5">
        <f t="shared" si="20"/>
        <v>8</v>
      </c>
      <c r="V447" s="5" t="s">
        <v>59</v>
      </c>
      <c r="X447" s="5"/>
    </row>
    <row r="448" spans="1:24">
      <c r="A448" s="4">
        <v>45319</v>
      </c>
      <c r="B448" s="5" t="str">
        <f t="shared" si="18"/>
        <v>January</v>
      </c>
      <c r="C448" s="5" t="s">
        <v>20</v>
      </c>
      <c r="D448" s="5" t="s">
        <v>27</v>
      </c>
      <c r="E448" s="5">
        <v>20</v>
      </c>
      <c r="F448" s="5">
        <v>424.7</v>
      </c>
      <c r="G448" s="6">
        <f t="shared" si="19"/>
        <v>8494</v>
      </c>
      <c r="H448" s="5" t="s">
        <v>53</v>
      </c>
      <c r="I448" s="5" t="s">
        <v>54</v>
      </c>
      <c r="J448" s="5">
        <v>0.15</v>
      </c>
      <c r="K448" s="5" t="s">
        <v>89</v>
      </c>
      <c r="L448" s="6">
        <v>7219.9</v>
      </c>
      <c r="M448" s="5" t="s">
        <v>30</v>
      </c>
      <c r="N448" s="5" t="s">
        <v>56</v>
      </c>
      <c r="O448" s="5">
        <v>0</v>
      </c>
      <c r="P448" s="5" t="s">
        <v>957</v>
      </c>
      <c r="Q448" s="5" t="s">
        <v>958</v>
      </c>
      <c r="R448" s="5">
        <v>42.03</v>
      </c>
      <c r="S448" s="4">
        <v>45319</v>
      </c>
      <c r="T448" s="4">
        <v>45327</v>
      </c>
      <c r="U448" s="5">
        <f t="shared" si="20"/>
        <v>8</v>
      </c>
      <c r="V448" s="5" t="s">
        <v>94</v>
      </c>
      <c r="X448" s="5"/>
    </row>
    <row r="449" spans="1:24">
      <c r="A449" s="4">
        <v>44999</v>
      </c>
      <c r="B449" s="5" t="str">
        <f t="shared" si="18"/>
        <v>March</v>
      </c>
      <c r="C449" s="5" t="s">
        <v>19</v>
      </c>
      <c r="D449" s="5" t="s">
        <v>25</v>
      </c>
      <c r="E449" s="5">
        <v>16</v>
      </c>
      <c r="F449" s="5">
        <v>179.22</v>
      </c>
      <c r="G449" s="6">
        <f t="shared" si="19"/>
        <v>2867.52</v>
      </c>
      <c r="H449" s="5" t="s">
        <v>81</v>
      </c>
      <c r="I449" s="5" t="s">
        <v>62</v>
      </c>
      <c r="J449" s="5">
        <v>0.1</v>
      </c>
      <c r="K449" s="5" t="s">
        <v>63</v>
      </c>
      <c r="L449" s="6">
        <v>2580.768</v>
      </c>
      <c r="M449" s="5" t="s">
        <v>30</v>
      </c>
      <c r="N449" s="5" t="s">
        <v>69</v>
      </c>
      <c r="O449" s="5">
        <v>0</v>
      </c>
      <c r="P449" s="5" t="s">
        <v>959</v>
      </c>
      <c r="Q449" s="5" t="s">
        <v>960</v>
      </c>
      <c r="R449" s="5">
        <v>45.99</v>
      </c>
      <c r="S449" s="4">
        <v>44999</v>
      </c>
      <c r="T449" s="4">
        <v>45002</v>
      </c>
      <c r="U449" s="5">
        <f t="shared" si="20"/>
        <v>3</v>
      </c>
      <c r="V449" s="5" t="s">
        <v>76</v>
      </c>
      <c r="X449" s="5"/>
    </row>
    <row r="450" spans="1:24">
      <c r="A450" s="4">
        <v>45666</v>
      </c>
      <c r="B450" s="5" t="str">
        <f t="shared" si="18"/>
        <v>January</v>
      </c>
      <c r="C450" s="5" t="s">
        <v>16</v>
      </c>
      <c r="D450" s="5" t="s">
        <v>22</v>
      </c>
      <c r="E450" s="5">
        <v>12</v>
      </c>
      <c r="F450" s="5">
        <v>148.66</v>
      </c>
      <c r="G450" s="6">
        <f t="shared" si="19"/>
        <v>1783.92</v>
      </c>
      <c r="H450" s="5" t="s">
        <v>61</v>
      </c>
      <c r="I450" s="5" t="s">
        <v>54</v>
      </c>
      <c r="J450" s="5">
        <v>0</v>
      </c>
      <c r="K450" s="5" t="s">
        <v>82</v>
      </c>
      <c r="L450" s="6">
        <v>1783.92</v>
      </c>
      <c r="M450" s="5" t="s">
        <v>30</v>
      </c>
      <c r="N450" s="5"/>
      <c r="O450" s="5">
        <v>1</v>
      </c>
      <c r="P450" s="5" t="s">
        <v>961</v>
      </c>
      <c r="Q450" s="5" t="s">
        <v>962</v>
      </c>
      <c r="R450" s="5">
        <v>27.16</v>
      </c>
      <c r="S450" s="4">
        <v>45666</v>
      </c>
      <c r="T450" s="4">
        <v>45674</v>
      </c>
      <c r="U450" s="5">
        <f t="shared" si="20"/>
        <v>8</v>
      </c>
      <c r="V450" s="5" t="s">
        <v>59</v>
      </c>
      <c r="X450" s="5"/>
    </row>
    <row r="451" spans="1:24">
      <c r="A451" s="4">
        <v>45746</v>
      </c>
      <c r="B451" s="5" t="str">
        <f t="shared" ref="B451:B514" si="21">TEXT(A451,"mmmm")</f>
        <v>March</v>
      </c>
      <c r="C451" s="5" t="s">
        <v>19</v>
      </c>
      <c r="D451" s="5" t="s">
        <v>23</v>
      </c>
      <c r="E451" s="5">
        <v>16</v>
      </c>
      <c r="F451" s="5">
        <v>460.43</v>
      </c>
      <c r="G451" s="6">
        <f t="shared" ref="G451:G514" si="22">F451*E451</f>
        <v>7366.88</v>
      </c>
      <c r="H451" s="5" t="s">
        <v>53</v>
      </c>
      <c r="I451" s="5" t="s">
        <v>54</v>
      </c>
      <c r="J451" s="5">
        <v>0.15</v>
      </c>
      <c r="K451" s="5" t="s">
        <v>89</v>
      </c>
      <c r="L451" s="6">
        <v>6261.848</v>
      </c>
      <c r="M451" s="5" t="s">
        <v>30</v>
      </c>
      <c r="N451" s="5" t="s">
        <v>69</v>
      </c>
      <c r="O451" s="5">
        <v>0</v>
      </c>
      <c r="P451" s="5" t="s">
        <v>963</v>
      </c>
      <c r="Q451" s="5" t="s">
        <v>964</v>
      </c>
      <c r="R451" s="5">
        <v>20.38</v>
      </c>
      <c r="S451" s="4">
        <v>45746</v>
      </c>
      <c r="T451" s="4">
        <v>45753</v>
      </c>
      <c r="U451" s="5">
        <f t="shared" ref="U451:U514" si="23">T451-S451</f>
        <v>7</v>
      </c>
      <c r="V451" s="5" t="s">
        <v>76</v>
      </c>
      <c r="X451" s="5"/>
    </row>
    <row r="452" spans="1:24">
      <c r="A452" s="4">
        <v>45222</v>
      </c>
      <c r="B452" s="5" t="str">
        <f t="shared" si="21"/>
        <v>October</v>
      </c>
      <c r="C452" s="5" t="s">
        <v>16</v>
      </c>
      <c r="D452" s="5" t="s">
        <v>101</v>
      </c>
      <c r="E452" s="5">
        <v>5</v>
      </c>
      <c r="F452" s="5">
        <v>334.37</v>
      </c>
      <c r="G452" s="6">
        <f t="shared" si="22"/>
        <v>1671.85</v>
      </c>
      <c r="H452" s="5" t="s">
        <v>53</v>
      </c>
      <c r="I452" s="5" t="s">
        <v>62</v>
      </c>
      <c r="J452" s="5">
        <v>0.05</v>
      </c>
      <c r="K452" s="5" t="s">
        <v>78</v>
      </c>
      <c r="L452" s="6">
        <v>1588.2575</v>
      </c>
      <c r="M452" s="5" t="s">
        <v>32</v>
      </c>
      <c r="N452" s="5"/>
      <c r="O452" s="5">
        <v>0</v>
      </c>
      <c r="P452" s="5" t="s">
        <v>965</v>
      </c>
      <c r="Q452" s="5" t="s">
        <v>529</v>
      </c>
      <c r="R452" s="5">
        <v>32.13</v>
      </c>
      <c r="S452" s="4">
        <v>45222</v>
      </c>
      <c r="T452" s="4">
        <v>45227</v>
      </c>
      <c r="U452" s="5">
        <f t="shared" si="23"/>
        <v>5</v>
      </c>
      <c r="V452" s="5" t="s">
        <v>59</v>
      </c>
      <c r="X452" s="5"/>
    </row>
    <row r="453" spans="1:24">
      <c r="A453" s="4">
        <v>45816</v>
      </c>
      <c r="B453" s="5" t="str">
        <f t="shared" si="21"/>
        <v>June</v>
      </c>
      <c r="C453" s="5" t="s">
        <v>20</v>
      </c>
      <c r="D453" s="5" t="s">
        <v>26</v>
      </c>
      <c r="E453" s="5">
        <v>3</v>
      </c>
      <c r="F453" s="5">
        <v>599.72</v>
      </c>
      <c r="G453" s="6">
        <f t="shared" si="22"/>
        <v>1799.16</v>
      </c>
      <c r="H453" s="5" t="s">
        <v>81</v>
      </c>
      <c r="I453" s="5" t="s">
        <v>62</v>
      </c>
      <c r="J453" s="5">
        <v>0.15</v>
      </c>
      <c r="K453" s="5" t="s">
        <v>63</v>
      </c>
      <c r="L453" s="6">
        <v>1529.286</v>
      </c>
      <c r="M453" s="5" t="s">
        <v>30</v>
      </c>
      <c r="N453" s="5" t="s">
        <v>69</v>
      </c>
      <c r="O453" s="5">
        <v>1</v>
      </c>
      <c r="P453" s="5" t="s">
        <v>966</v>
      </c>
      <c r="Q453" s="5" t="s">
        <v>967</v>
      </c>
      <c r="R453" s="5">
        <v>14.93</v>
      </c>
      <c r="S453" s="4">
        <v>45816</v>
      </c>
      <c r="T453" s="4">
        <v>45822</v>
      </c>
      <c r="U453" s="5">
        <f t="shared" si="23"/>
        <v>6</v>
      </c>
      <c r="V453" s="5" t="s">
        <v>94</v>
      </c>
      <c r="X453" s="5"/>
    </row>
    <row r="454" spans="1:24">
      <c r="A454" s="4">
        <v>45348</v>
      </c>
      <c r="B454" s="5" t="str">
        <f t="shared" si="21"/>
        <v>February</v>
      </c>
      <c r="C454" s="5" t="s">
        <v>20</v>
      </c>
      <c r="D454" s="5" t="s">
        <v>26</v>
      </c>
      <c r="E454" s="5">
        <v>11</v>
      </c>
      <c r="F454" s="5">
        <v>389.84</v>
      </c>
      <c r="G454" s="6">
        <f t="shared" si="22"/>
        <v>4288.24</v>
      </c>
      <c r="H454" s="5" t="s">
        <v>81</v>
      </c>
      <c r="I454" s="5" t="s">
        <v>54</v>
      </c>
      <c r="J454" s="5">
        <v>0</v>
      </c>
      <c r="K454" s="5" t="s">
        <v>63</v>
      </c>
      <c r="L454" s="6">
        <v>4288.24</v>
      </c>
      <c r="M454" s="5" t="s">
        <v>31</v>
      </c>
      <c r="N454" s="5" t="s">
        <v>64</v>
      </c>
      <c r="O454" s="5">
        <v>1</v>
      </c>
      <c r="P454" s="5" t="s">
        <v>968</v>
      </c>
      <c r="Q454" s="5" t="s">
        <v>969</v>
      </c>
      <c r="R454" s="5">
        <v>10.24</v>
      </c>
      <c r="S454" s="4">
        <v>45348</v>
      </c>
      <c r="T454" s="4">
        <v>45351</v>
      </c>
      <c r="U454" s="5">
        <f t="shared" si="23"/>
        <v>3</v>
      </c>
      <c r="V454" s="5" t="s">
        <v>94</v>
      </c>
      <c r="X454" s="5"/>
    </row>
    <row r="455" spans="1:24">
      <c r="A455" s="4">
        <v>45595</v>
      </c>
      <c r="B455" s="5" t="str">
        <f t="shared" si="21"/>
        <v>October</v>
      </c>
      <c r="C455" s="5" t="s">
        <v>16</v>
      </c>
      <c r="D455" s="5" t="s">
        <v>25</v>
      </c>
      <c r="E455" s="5">
        <v>11</v>
      </c>
      <c r="F455" s="5">
        <v>445.75</v>
      </c>
      <c r="G455" s="6">
        <f t="shared" si="22"/>
        <v>4903.25</v>
      </c>
      <c r="H455" s="5" t="s">
        <v>61</v>
      </c>
      <c r="I455" s="5" t="s">
        <v>54</v>
      </c>
      <c r="J455" s="5">
        <v>0.1</v>
      </c>
      <c r="K455" s="5" t="s">
        <v>73</v>
      </c>
      <c r="L455" s="6">
        <v>4412.925</v>
      </c>
      <c r="M455" s="5" t="s">
        <v>30</v>
      </c>
      <c r="N455" s="5" t="s">
        <v>64</v>
      </c>
      <c r="O455" s="5">
        <v>0</v>
      </c>
      <c r="P455" s="5" t="s">
        <v>970</v>
      </c>
      <c r="Q455" s="5" t="s">
        <v>971</v>
      </c>
      <c r="R455" s="5">
        <v>18.07</v>
      </c>
      <c r="S455" s="4">
        <v>45595</v>
      </c>
      <c r="T455" s="4">
        <v>45603</v>
      </c>
      <c r="U455" s="5">
        <f t="shared" si="23"/>
        <v>8</v>
      </c>
      <c r="V455" s="5" t="s">
        <v>59</v>
      </c>
      <c r="X455" s="5"/>
    </row>
    <row r="456" spans="1:24">
      <c r="A456" s="4">
        <v>45523</v>
      </c>
      <c r="B456" s="5" t="str">
        <f t="shared" si="21"/>
        <v>August</v>
      </c>
      <c r="C456" s="5" t="s">
        <v>17</v>
      </c>
      <c r="D456" s="5" t="s">
        <v>22</v>
      </c>
      <c r="E456" s="5">
        <v>18</v>
      </c>
      <c r="F456" s="5">
        <v>96.84</v>
      </c>
      <c r="G456" s="6">
        <f t="shared" si="22"/>
        <v>1743.12</v>
      </c>
      <c r="H456" s="5" t="s">
        <v>61</v>
      </c>
      <c r="I456" s="5" t="s">
        <v>54</v>
      </c>
      <c r="J456" s="5">
        <v>0.15</v>
      </c>
      <c r="K456" s="5" t="s">
        <v>73</v>
      </c>
      <c r="L456" s="6">
        <v>1481.652</v>
      </c>
      <c r="M456" s="5" t="s">
        <v>34</v>
      </c>
      <c r="N456" s="5" t="s">
        <v>64</v>
      </c>
      <c r="O456" s="5">
        <v>1</v>
      </c>
      <c r="P456" s="5" t="s">
        <v>972</v>
      </c>
      <c r="Q456" s="5" t="s">
        <v>973</v>
      </c>
      <c r="R456" s="5">
        <v>8.1</v>
      </c>
      <c r="S456" s="4">
        <v>45523</v>
      </c>
      <c r="T456" s="4">
        <v>45527</v>
      </c>
      <c r="U456" s="5">
        <f t="shared" si="23"/>
        <v>4</v>
      </c>
      <c r="V456" s="5" t="s">
        <v>67</v>
      </c>
      <c r="X456" s="5"/>
    </row>
    <row r="457" spans="1:24">
      <c r="A457" s="4">
        <v>45137</v>
      </c>
      <c r="B457" s="5" t="str">
        <f t="shared" si="21"/>
        <v>July</v>
      </c>
      <c r="C457" s="5" t="s">
        <v>19</v>
      </c>
      <c r="D457" s="5" t="s">
        <v>25</v>
      </c>
      <c r="E457" s="5">
        <v>1</v>
      </c>
      <c r="F457" s="5">
        <v>528.31</v>
      </c>
      <c r="G457" s="6">
        <f t="shared" si="22"/>
        <v>528.31</v>
      </c>
      <c r="H457" s="5" t="s">
        <v>77</v>
      </c>
      <c r="I457" s="5" t="s">
        <v>54</v>
      </c>
      <c r="J457" s="5">
        <v>0.1</v>
      </c>
      <c r="K457" s="5" t="s">
        <v>63</v>
      </c>
      <c r="L457" s="6">
        <v>475.479</v>
      </c>
      <c r="M457" s="5" t="s">
        <v>30</v>
      </c>
      <c r="N457" s="5" t="s">
        <v>56</v>
      </c>
      <c r="O457" s="5">
        <v>0</v>
      </c>
      <c r="P457" s="5" t="s">
        <v>974</v>
      </c>
      <c r="Q457" s="5" t="s">
        <v>119</v>
      </c>
      <c r="R457" s="5">
        <v>24.55</v>
      </c>
      <c r="S457" s="4">
        <v>45137</v>
      </c>
      <c r="T457" s="4">
        <v>45147</v>
      </c>
      <c r="U457" s="5">
        <f t="shared" si="23"/>
        <v>10</v>
      </c>
      <c r="V457" s="5" t="s">
        <v>76</v>
      </c>
      <c r="X457" s="5"/>
    </row>
    <row r="458" spans="1:24">
      <c r="A458" s="4">
        <v>45517</v>
      </c>
      <c r="B458" s="5" t="str">
        <f t="shared" si="21"/>
        <v>August</v>
      </c>
      <c r="C458" s="5" t="s">
        <v>18</v>
      </c>
      <c r="D458" s="5" t="s">
        <v>26</v>
      </c>
      <c r="E458" s="5">
        <v>16</v>
      </c>
      <c r="F458" s="5">
        <v>64.03</v>
      </c>
      <c r="G458" s="6">
        <f t="shared" si="22"/>
        <v>1024.48</v>
      </c>
      <c r="H458" s="5" t="s">
        <v>61</v>
      </c>
      <c r="I458" s="5" t="s">
        <v>54</v>
      </c>
      <c r="J458" s="5">
        <v>0</v>
      </c>
      <c r="K458" s="5" t="s">
        <v>78</v>
      </c>
      <c r="L458" s="6">
        <v>1024.48</v>
      </c>
      <c r="M458" s="5" t="s">
        <v>31</v>
      </c>
      <c r="N458" s="5" t="s">
        <v>69</v>
      </c>
      <c r="O458" s="5">
        <v>1</v>
      </c>
      <c r="P458" s="5" t="s">
        <v>975</v>
      </c>
      <c r="Q458" s="5" t="s">
        <v>976</v>
      </c>
      <c r="R458" s="5">
        <v>16.71</v>
      </c>
      <c r="S458" s="4">
        <v>45517</v>
      </c>
      <c r="T458" s="4">
        <v>45527</v>
      </c>
      <c r="U458" s="5">
        <f t="shared" si="23"/>
        <v>10</v>
      </c>
      <c r="V458" s="5" t="s">
        <v>72</v>
      </c>
      <c r="X458" s="5"/>
    </row>
    <row r="459" spans="1:24">
      <c r="A459" s="4">
        <v>45234</v>
      </c>
      <c r="B459" s="5" t="str">
        <f t="shared" si="21"/>
        <v>November</v>
      </c>
      <c r="C459" s="5" t="s">
        <v>18</v>
      </c>
      <c r="D459" s="5" t="s">
        <v>27</v>
      </c>
      <c r="E459" s="5">
        <v>13</v>
      </c>
      <c r="F459" s="5">
        <v>179.37</v>
      </c>
      <c r="G459" s="6">
        <f t="shared" si="22"/>
        <v>2331.81</v>
      </c>
      <c r="H459" s="5" t="s">
        <v>61</v>
      </c>
      <c r="I459" s="5" t="s">
        <v>62</v>
      </c>
      <c r="J459" s="5">
        <v>0.05</v>
      </c>
      <c r="K459" s="5" t="s">
        <v>55</v>
      </c>
      <c r="L459" s="6">
        <v>2215.2195</v>
      </c>
      <c r="M459" s="5" t="s">
        <v>30</v>
      </c>
      <c r="N459" s="5" t="s">
        <v>56</v>
      </c>
      <c r="O459" s="5">
        <v>0</v>
      </c>
      <c r="P459" s="5" t="s">
        <v>977</v>
      </c>
      <c r="Q459" s="5" t="s">
        <v>978</v>
      </c>
      <c r="R459" s="5">
        <v>35.28</v>
      </c>
      <c r="S459" s="4">
        <v>45234</v>
      </c>
      <c r="T459" s="4">
        <v>45242</v>
      </c>
      <c r="U459" s="5">
        <f t="shared" si="23"/>
        <v>8</v>
      </c>
      <c r="V459" s="5" t="s">
        <v>72</v>
      </c>
      <c r="X459" s="5"/>
    </row>
    <row r="460" spans="1:24">
      <c r="A460" s="4">
        <v>45813</v>
      </c>
      <c r="B460" s="5" t="str">
        <f t="shared" si="21"/>
        <v>June</v>
      </c>
      <c r="C460" s="5" t="s">
        <v>16</v>
      </c>
      <c r="D460" s="5" t="s">
        <v>27</v>
      </c>
      <c r="E460" s="5">
        <v>19</v>
      </c>
      <c r="F460" s="5">
        <v>491.15</v>
      </c>
      <c r="G460" s="6">
        <f t="shared" si="22"/>
        <v>9331.85</v>
      </c>
      <c r="H460" s="5" t="s">
        <v>77</v>
      </c>
      <c r="I460" s="5" t="s">
        <v>62</v>
      </c>
      <c r="J460" s="5">
        <v>0</v>
      </c>
      <c r="K460" s="5" t="s">
        <v>73</v>
      </c>
      <c r="L460" s="6">
        <v>9331.85</v>
      </c>
      <c r="M460" s="5" t="s">
        <v>30</v>
      </c>
      <c r="N460" s="5"/>
      <c r="O460" s="5">
        <v>0</v>
      </c>
      <c r="P460" s="5" t="s">
        <v>979</v>
      </c>
      <c r="Q460" s="5" t="s">
        <v>980</v>
      </c>
      <c r="R460" s="5">
        <v>48.68</v>
      </c>
      <c r="S460" s="4">
        <v>45813</v>
      </c>
      <c r="T460" s="4">
        <v>45823</v>
      </c>
      <c r="U460" s="5">
        <f t="shared" si="23"/>
        <v>10</v>
      </c>
      <c r="V460" s="5" t="s">
        <v>59</v>
      </c>
      <c r="X460" s="5"/>
    </row>
    <row r="461" spans="1:24">
      <c r="A461" s="4">
        <v>45100</v>
      </c>
      <c r="B461" s="5" t="str">
        <f t="shared" si="21"/>
        <v>June</v>
      </c>
      <c r="C461" s="5" t="s">
        <v>18</v>
      </c>
      <c r="D461" s="5" t="s">
        <v>27</v>
      </c>
      <c r="E461" s="5">
        <v>5</v>
      </c>
      <c r="F461" s="5">
        <v>360.34</v>
      </c>
      <c r="G461" s="6">
        <f t="shared" si="22"/>
        <v>1801.7</v>
      </c>
      <c r="H461" s="5" t="s">
        <v>77</v>
      </c>
      <c r="I461" s="5" t="s">
        <v>54</v>
      </c>
      <c r="J461" s="5">
        <v>0</v>
      </c>
      <c r="K461" s="5" t="s">
        <v>78</v>
      </c>
      <c r="L461" s="6">
        <v>1801.7</v>
      </c>
      <c r="M461" s="5" t="s">
        <v>31</v>
      </c>
      <c r="N461" s="5"/>
      <c r="O461" s="5">
        <v>0</v>
      </c>
      <c r="P461" s="5" t="s">
        <v>981</v>
      </c>
      <c r="Q461" s="5" t="s">
        <v>982</v>
      </c>
      <c r="R461" s="5">
        <v>33.76</v>
      </c>
      <c r="S461" s="4">
        <v>45100</v>
      </c>
      <c r="T461" s="4">
        <v>45105</v>
      </c>
      <c r="U461" s="5">
        <f t="shared" si="23"/>
        <v>5</v>
      </c>
      <c r="V461" s="5" t="s">
        <v>72</v>
      </c>
      <c r="X461" s="5"/>
    </row>
    <row r="462" spans="1:24">
      <c r="A462" s="4">
        <v>45556</v>
      </c>
      <c r="B462" s="5" t="str">
        <f t="shared" si="21"/>
        <v>September</v>
      </c>
      <c r="C462" s="5" t="s">
        <v>17</v>
      </c>
      <c r="D462" s="5" t="s">
        <v>22</v>
      </c>
      <c r="E462" s="5">
        <v>20</v>
      </c>
      <c r="F462" s="5">
        <v>296.8</v>
      </c>
      <c r="G462" s="6">
        <f t="shared" si="22"/>
        <v>5936</v>
      </c>
      <c r="H462" s="5" t="s">
        <v>61</v>
      </c>
      <c r="I462" s="5" t="s">
        <v>62</v>
      </c>
      <c r="J462" s="5">
        <v>0.1</v>
      </c>
      <c r="K462" s="5" t="s">
        <v>73</v>
      </c>
      <c r="L462" s="6">
        <v>5342.4</v>
      </c>
      <c r="M462" s="5" t="s">
        <v>31</v>
      </c>
      <c r="N462" s="5"/>
      <c r="O462" s="5">
        <v>0</v>
      </c>
      <c r="P462" s="5" t="s">
        <v>983</v>
      </c>
      <c r="Q462" s="5" t="s">
        <v>984</v>
      </c>
      <c r="R462" s="5">
        <v>19.57</v>
      </c>
      <c r="S462" s="4">
        <v>45556</v>
      </c>
      <c r="T462" s="4">
        <v>45563</v>
      </c>
      <c r="U462" s="5">
        <f t="shared" si="23"/>
        <v>7</v>
      </c>
      <c r="V462" s="5" t="s">
        <v>67</v>
      </c>
      <c r="X462" s="5"/>
    </row>
    <row r="463" spans="1:24">
      <c r="A463" s="4">
        <v>45292</v>
      </c>
      <c r="B463" s="5" t="str">
        <f t="shared" si="21"/>
        <v>January</v>
      </c>
      <c r="C463" s="5" t="s">
        <v>17</v>
      </c>
      <c r="D463" s="5" t="s">
        <v>24</v>
      </c>
      <c r="E463" s="5">
        <v>3</v>
      </c>
      <c r="F463" s="5">
        <v>599.42</v>
      </c>
      <c r="G463" s="6">
        <f t="shared" si="22"/>
        <v>1798.26</v>
      </c>
      <c r="H463" s="5" t="s">
        <v>61</v>
      </c>
      <c r="I463" s="5" t="s">
        <v>54</v>
      </c>
      <c r="J463" s="5">
        <v>0.1</v>
      </c>
      <c r="K463" s="5" t="s">
        <v>89</v>
      </c>
      <c r="L463" s="6">
        <v>1618.434</v>
      </c>
      <c r="M463" s="5" t="s">
        <v>30</v>
      </c>
      <c r="N463" s="5" t="s">
        <v>64</v>
      </c>
      <c r="O463" s="5">
        <v>0</v>
      </c>
      <c r="P463" s="5" t="s">
        <v>985</v>
      </c>
      <c r="Q463" s="5" t="s">
        <v>986</v>
      </c>
      <c r="R463" s="5">
        <v>48.02</v>
      </c>
      <c r="S463" s="4">
        <v>45292</v>
      </c>
      <c r="T463" s="4">
        <v>45294</v>
      </c>
      <c r="U463" s="5">
        <f t="shared" si="23"/>
        <v>2</v>
      </c>
      <c r="V463" s="5" t="s">
        <v>67</v>
      </c>
      <c r="X463" s="5"/>
    </row>
    <row r="464" spans="1:24">
      <c r="A464" s="4">
        <v>45659</v>
      </c>
      <c r="B464" s="5" t="str">
        <f t="shared" si="21"/>
        <v>January</v>
      </c>
      <c r="C464" s="5" t="s">
        <v>20</v>
      </c>
      <c r="D464" s="5" t="s">
        <v>22</v>
      </c>
      <c r="E464" s="5">
        <v>1</v>
      </c>
      <c r="F464" s="5">
        <v>374.33</v>
      </c>
      <c r="G464" s="6">
        <f t="shared" si="22"/>
        <v>374.33</v>
      </c>
      <c r="H464" s="5" t="s">
        <v>53</v>
      </c>
      <c r="I464" s="5" t="s">
        <v>54</v>
      </c>
      <c r="J464" s="5">
        <v>0</v>
      </c>
      <c r="K464" s="5" t="s">
        <v>78</v>
      </c>
      <c r="L464" s="6">
        <v>374.33</v>
      </c>
      <c r="M464" s="5" t="s">
        <v>32</v>
      </c>
      <c r="N464" s="5" t="s">
        <v>56</v>
      </c>
      <c r="O464" s="5">
        <v>0</v>
      </c>
      <c r="P464" s="5" t="s">
        <v>987</v>
      </c>
      <c r="Q464" s="5" t="s">
        <v>988</v>
      </c>
      <c r="R464" s="5">
        <v>33.31</v>
      </c>
      <c r="S464" s="4">
        <v>45659</v>
      </c>
      <c r="T464" s="4">
        <v>45669</v>
      </c>
      <c r="U464" s="5">
        <f t="shared" si="23"/>
        <v>10</v>
      </c>
      <c r="V464" s="5" t="s">
        <v>94</v>
      </c>
      <c r="X464" s="5"/>
    </row>
    <row r="465" spans="1:24">
      <c r="A465" s="4">
        <v>45365</v>
      </c>
      <c r="B465" s="5" t="str">
        <f t="shared" si="21"/>
        <v>March</v>
      </c>
      <c r="C465" s="5" t="s">
        <v>18</v>
      </c>
      <c r="D465" s="5" t="s">
        <v>24</v>
      </c>
      <c r="E465" s="5">
        <v>13</v>
      </c>
      <c r="F465" s="5">
        <v>588.8</v>
      </c>
      <c r="G465" s="6">
        <f t="shared" si="22"/>
        <v>7654.4</v>
      </c>
      <c r="H465" s="5" t="s">
        <v>81</v>
      </c>
      <c r="I465" s="5" t="s">
        <v>54</v>
      </c>
      <c r="J465" s="5">
        <v>0.15</v>
      </c>
      <c r="K465" s="5" t="s">
        <v>73</v>
      </c>
      <c r="L465" s="6">
        <v>6506.24</v>
      </c>
      <c r="M465" s="5" t="s">
        <v>34</v>
      </c>
      <c r="N465" s="5" t="s">
        <v>64</v>
      </c>
      <c r="O465" s="5">
        <v>0</v>
      </c>
      <c r="P465" s="5" t="s">
        <v>989</v>
      </c>
      <c r="Q465" s="5" t="s">
        <v>990</v>
      </c>
      <c r="R465" s="5">
        <v>45.03</v>
      </c>
      <c r="S465" s="4">
        <v>45365</v>
      </c>
      <c r="T465" s="4">
        <v>45372</v>
      </c>
      <c r="U465" s="5">
        <f t="shared" si="23"/>
        <v>7</v>
      </c>
      <c r="V465" s="5" t="s">
        <v>72</v>
      </c>
      <c r="X465" s="5"/>
    </row>
    <row r="466" spans="1:24">
      <c r="A466" s="4">
        <v>45416</v>
      </c>
      <c r="B466" s="5" t="str">
        <f t="shared" si="21"/>
        <v>May</v>
      </c>
      <c r="C466" s="5" t="s">
        <v>20</v>
      </c>
      <c r="D466" s="5" t="s">
        <v>26</v>
      </c>
      <c r="E466" s="5">
        <v>13</v>
      </c>
      <c r="F466" s="5">
        <v>198.44</v>
      </c>
      <c r="G466" s="6">
        <f t="shared" si="22"/>
        <v>2579.72</v>
      </c>
      <c r="H466" s="5" t="s">
        <v>81</v>
      </c>
      <c r="I466" s="5" t="s">
        <v>54</v>
      </c>
      <c r="J466" s="5">
        <v>0</v>
      </c>
      <c r="K466" s="5" t="s">
        <v>78</v>
      </c>
      <c r="L466" s="6">
        <v>2579.72</v>
      </c>
      <c r="M466" s="5" t="s">
        <v>34</v>
      </c>
      <c r="N466" s="5" t="s">
        <v>64</v>
      </c>
      <c r="O466" s="5">
        <v>1</v>
      </c>
      <c r="P466" s="5" t="s">
        <v>991</v>
      </c>
      <c r="Q466" s="5" t="s">
        <v>992</v>
      </c>
      <c r="R466" s="5">
        <v>31.51</v>
      </c>
      <c r="S466" s="4">
        <v>45416</v>
      </c>
      <c r="T466" s="4">
        <v>45421</v>
      </c>
      <c r="U466" s="5">
        <f t="shared" si="23"/>
        <v>5</v>
      </c>
      <c r="V466" s="5" t="s">
        <v>94</v>
      </c>
      <c r="X466" s="5"/>
    </row>
    <row r="467" spans="1:24">
      <c r="A467" s="4">
        <v>45715</v>
      </c>
      <c r="B467" s="5" t="str">
        <f t="shared" si="21"/>
        <v>February</v>
      </c>
      <c r="C467" s="5" t="s">
        <v>17</v>
      </c>
      <c r="D467" s="5" t="s">
        <v>27</v>
      </c>
      <c r="E467" s="5">
        <v>12</v>
      </c>
      <c r="F467" s="5">
        <v>384.2</v>
      </c>
      <c r="G467" s="6">
        <f t="shared" si="22"/>
        <v>4610.4</v>
      </c>
      <c r="H467" s="5" t="s">
        <v>61</v>
      </c>
      <c r="I467" s="5" t="s">
        <v>62</v>
      </c>
      <c r="J467" s="5">
        <v>0</v>
      </c>
      <c r="K467" s="5" t="s">
        <v>55</v>
      </c>
      <c r="L467" s="6">
        <v>4610.4</v>
      </c>
      <c r="M467" s="5" t="s">
        <v>34</v>
      </c>
      <c r="N467" s="5" t="s">
        <v>56</v>
      </c>
      <c r="O467" s="5">
        <v>0</v>
      </c>
      <c r="P467" s="5" t="s">
        <v>993</v>
      </c>
      <c r="Q467" s="5" t="s">
        <v>687</v>
      </c>
      <c r="R467" s="5">
        <v>38.99</v>
      </c>
      <c r="S467" s="4">
        <v>45715</v>
      </c>
      <c r="T467" s="4">
        <v>45718</v>
      </c>
      <c r="U467" s="5">
        <f t="shared" si="23"/>
        <v>3</v>
      </c>
      <c r="V467" s="5" t="s">
        <v>67</v>
      </c>
      <c r="X467" s="5"/>
    </row>
    <row r="468" spans="1:24">
      <c r="A468" s="4">
        <v>45609</v>
      </c>
      <c r="B468" s="5" t="str">
        <f t="shared" si="21"/>
        <v>November</v>
      </c>
      <c r="C468" s="5" t="s">
        <v>19</v>
      </c>
      <c r="D468" s="5" t="s">
        <v>23</v>
      </c>
      <c r="E468" s="5">
        <v>4</v>
      </c>
      <c r="F468" s="5">
        <v>475.49</v>
      </c>
      <c r="G468" s="6">
        <f t="shared" si="22"/>
        <v>1901.96</v>
      </c>
      <c r="H468" s="5" t="s">
        <v>53</v>
      </c>
      <c r="I468" s="5" t="s">
        <v>54</v>
      </c>
      <c r="J468" s="5">
        <v>0.15</v>
      </c>
      <c r="K468" s="5" t="s">
        <v>73</v>
      </c>
      <c r="L468" s="6">
        <v>1616.666</v>
      </c>
      <c r="M468" s="5" t="s">
        <v>34</v>
      </c>
      <c r="N468" s="5" t="s">
        <v>69</v>
      </c>
      <c r="O468" s="5">
        <v>0</v>
      </c>
      <c r="P468" s="5" t="s">
        <v>994</v>
      </c>
      <c r="Q468" s="5" t="s">
        <v>995</v>
      </c>
      <c r="R468" s="5">
        <v>11.6</v>
      </c>
      <c r="S468" s="4">
        <v>45609</v>
      </c>
      <c r="T468" s="4">
        <v>45613</v>
      </c>
      <c r="U468" s="5">
        <f t="shared" si="23"/>
        <v>4</v>
      </c>
      <c r="V468" s="5" t="s">
        <v>76</v>
      </c>
      <c r="X468" s="5"/>
    </row>
    <row r="469" spans="1:24">
      <c r="A469" s="4">
        <v>45230</v>
      </c>
      <c r="B469" s="5" t="str">
        <f t="shared" si="21"/>
        <v>October</v>
      </c>
      <c r="C469" s="5" t="s">
        <v>20</v>
      </c>
      <c r="D469" s="5" t="s">
        <v>27</v>
      </c>
      <c r="E469" s="5">
        <v>6</v>
      </c>
      <c r="F469" s="5">
        <v>202.97</v>
      </c>
      <c r="G469" s="6">
        <f t="shared" si="22"/>
        <v>1217.82</v>
      </c>
      <c r="H469" s="5" t="s">
        <v>77</v>
      </c>
      <c r="I469" s="5" t="s">
        <v>62</v>
      </c>
      <c r="J469" s="5">
        <v>0.1</v>
      </c>
      <c r="K469" s="5" t="s">
        <v>55</v>
      </c>
      <c r="L469" s="6">
        <v>1096.038</v>
      </c>
      <c r="M469" s="5" t="s">
        <v>31</v>
      </c>
      <c r="N469" s="5" t="s">
        <v>69</v>
      </c>
      <c r="O469" s="5">
        <v>0</v>
      </c>
      <c r="P469" s="5" t="s">
        <v>996</v>
      </c>
      <c r="Q469" s="5" t="s">
        <v>997</v>
      </c>
      <c r="R469" s="5">
        <v>43.55</v>
      </c>
      <c r="S469" s="4">
        <v>45230</v>
      </c>
      <c r="T469" s="4">
        <v>45240</v>
      </c>
      <c r="U469" s="5">
        <f t="shared" si="23"/>
        <v>10</v>
      </c>
      <c r="V469" s="5" t="s">
        <v>94</v>
      </c>
      <c r="X469" s="5"/>
    </row>
    <row r="470" spans="1:24">
      <c r="A470" s="4">
        <v>45279</v>
      </c>
      <c r="B470" s="5" t="str">
        <f t="shared" si="21"/>
        <v>December</v>
      </c>
      <c r="C470" s="5" t="s">
        <v>19</v>
      </c>
      <c r="D470" s="5" t="s">
        <v>101</v>
      </c>
      <c r="E470" s="5">
        <v>18</v>
      </c>
      <c r="F470" s="5">
        <v>135.23</v>
      </c>
      <c r="G470" s="6">
        <f t="shared" si="22"/>
        <v>2434.14</v>
      </c>
      <c r="H470" s="5" t="s">
        <v>77</v>
      </c>
      <c r="I470" s="5" t="s">
        <v>54</v>
      </c>
      <c r="J470" s="5">
        <v>0</v>
      </c>
      <c r="K470" s="5" t="s">
        <v>82</v>
      </c>
      <c r="L470" s="6">
        <v>2434.14</v>
      </c>
      <c r="M470" s="5" t="s">
        <v>30</v>
      </c>
      <c r="N470" s="5" t="s">
        <v>69</v>
      </c>
      <c r="O470" s="5">
        <v>1</v>
      </c>
      <c r="P470" s="5" t="s">
        <v>998</v>
      </c>
      <c r="Q470" s="5" t="s">
        <v>999</v>
      </c>
      <c r="R470" s="5">
        <v>46.1</v>
      </c>
      <c r="S470" s="4">
        <v>45279</v>
      </c>
      <c r="T470" s="4">
        <v>45284</v>
      </c>
      <c r="U470" s="5">
        <f t="shared" si="23"/>
        <v>5</v>
      </c>
      <c r="V470" s="5" t="s">
        <v>76</v>
      </c>
      <c r="X470" s="5"/>
    </row>
    <row r="471" spans="1:24">
      <c r="A471" s="4">
        <v>45257</v>
      </c>
      <c r="B471" s="5" t="str">
        <f t="shared" si="21"/>
        <v>November</v>
      </c>
      <c r="C471" s="5" t="s">
        <v>17</v>
      </c>
      <c r="D471" s="5" t="s">
        <v>101</v>
      </c>
      <c r="E471" s="5">
        <v>20</v>
      </c>
      <c r="F471" s="5">
        <v>356.4</v>
      </c>
      <c r="G471" s="6">
        <f t="shared" si="22"/>
        <v>7128</v>
      </c>
      <c r="H471" s="5" t="s">
        <v>77</v>
      </c>
      <c r="I471" s="5" t="s">
        <v>54</v>
      </c>
      <c r="J471" s="5">
        <v>0.05</v>
      </c>
      <c r="K471" s="5" t="s">
        <v>82</v>
      </c>
      <c r="L471" s="6">
        <v>6771.6</v>
      </c>
      <c r="M471" s="5" t="s">
        <v>34</v>
      </c>
      <c r="N471" s="5" t="s">
        <v>56</v>
      </c>
      <c r="O471" s="5">
        <v>1</v>
      </c>
      <c r="P471" s="5" t="s">
        <v>1000</v>
      </c>
      <c r="Q471" s="5" t="s">
        <v>1001</v>
      </c>
      <c r="R471" s="5">
        <v>26.7</v>
      </c>
      <c r="S471" s="4">
        <v>45257</v>
      </c>
      <c r="T471" s="4">
        <v>45263</v>
      </c>
      <c r="U471" s="5">
        <f t="shared" si="23"/>
        <v>6</v>
      </c>
      <c r="V471" s="5" t="s">
        <v>67</v>
      </c>
      <c r="X471" s="5"/>
    </row>
    <row r="472" spans="1:24">
      <c r="A472" s="4">
        <v>45153</v>
      </c>
      <c r="B472" s="5" t="str">
        <f t="shared" si="21"/>
        <v>August</v>
      </c>
      <c r="C472" s="5" t="s">
        <v>16</v>
      </c>
      <c r="D472" s="5" t="s">
        <v>22</v>
      </c>
      <c r="E472" s="5">
        <v>3</v>
      </c>
      <c r="F472" s="5">
        <v>294.72</v>
      </c>
      <c r="G472" s="6">
        <f t="shared" si="22"/>
        <v>884.16</v>
      </c>
      <c r="H472" s="5" t="s">
        <v>77</v>
      </c>
      <c r="I472" s="5" t="s">
        <v>54</v>
      </c>
      <c r="J472" s="5">
        <v>0.05</v>
      </c>
      <c r="K472" s="5" t="s">
        <v>63</v>
      </c>
      <c r="L472" s="6">
        <v>839.952</v>
      </c>
      <c r="M472" s="5" t="s">
        <v>34</v>
      </c>
      <c r="N472" s="5" t="s">
        <v>64</v>
      </c>
      <c r="O472" s="5">
        <v>0</v>
      </c>
      <c r="P472" s="5" t="s">
        <v>1002</v>
      </c>
      <c r="Q472" s="5" t="s">
        <v>1003</v>
      </c>
      <c r="R472" s="5">
        <v>45.33</v>
      </c>
      <c r="S472" s="4">
        <v>45153</v>
      </c>
      <c r="T472" s="4">
        <v>45156</v>
      </c>
      <c r="U472" s="5">
        <f t="shared" si="23"/>
        <v>3</v>
      </c>
      <c r="V472" s="5" t="s">
        <v>59</v>
      </c>
      <c r="X472" s="5"/>
    </row>
    <row r="473" spans="1:24">
      <c r="A473" s="4">
        <v>44942</v>
      </c>
      <c r="B473" s="5" t="str">
        <f t="shared" si="21"/>
        <v>January</v>
      </c>
      <c r="C473" s="5" t="s">
        <v>20</v>
      </c>
      <c r="D473" s="5" t="s">
        <v>23</v>
      </c>
      <c r="E473" s="5">
        <v>20</v>
      </c>
      <c r="F473" s="5">
        <v>553.85</v>
      </c>
      <c r="G473" s="6">
        <f t="shared" si="22"/>
        <v>11077</v>
      </c>
      <c r="H473" s="5" t="s">
        <v>61</v>
      </c>
      <c r="I473" s="5" t="s">
        <v>62</v>
      </c>
      <c r="J473" s="5">
        <v>0</v>
      </c>
      <c r="K473" s="5" t="s">
        <v>73</v>
      </c>
      <c r="L473" s="6">
        <v>11077</v>
      </c>
      <c r="M473" s="5" t="s">
        <v>34</v>
      </c>
      <c r="N473" s="5" t="s">
        <v>69</v>
      </c>
      <c r="O473" s="5">
        <v>0</v>
      </c>
      <c r="P473" s="5" t="s">
        <v>1004</v>
      </c>
      <c r="Q473" s="5" t="s">
        <v>1005</v>
      </c>
      <c r="R473" s="5">
        <v>33.21</v>
      </c>
      <c r="S473" s="4">
        <v>44942</v>
      </c>
      <c r="T473" s="4">
        <v>44950</v>
      </c>
      <c r="U473" s="5">
        <f t="shared" si="23"/>
        <v>8</v>
      </c>
      <c r="V473" s="5" t="s">
        <v>94</v>
      </c>
      <c r="X473" s="5"/>
    </row>
    <row r="474" spans="1:24">
      <c r="A474" s="4">
        <v>45716</v>
      </c>
      <c r="B474" s="5" t="str">
        <f t="shared" si="21"/>
        <v>February</v>
      </c>
      <c r="C474" s="5" t="s">
        <v>19</v>
      </c>
      <c r="D474" s="5" t="s">
        <v>101</v>
      </c>
      <c r="E474" s="5">
        <v>13</v>
      </c>
      <c r="F474" s="5">
        <v>81.17</v>
      </c>
      <c r="G474" s="6">
        <f t="shared" si="22"/>
        <v>1055.21</v>
      </c>
      <c r="H474" s="5" t="s">
        <v>81</v>
      </c>
      <c r="I474" s="5" t="s">
        <v>62</v>
      </c>
      <c r="J474" s="5">
        <v>0.1</v>
      </c>
      <c r="K474" s="5" t="s">
        <v>73</v>
      </c>
      <c r="L474" s="6">
        <v>949.689</v>
      </c>
      <c r="M474" s="5" t="s">
        <v>34</v>
      </c>
      <c r="N474" s="5" t="s">
        <v>64</v>
      </c>
      <c r="O474" s="5">
        <v>1</v>
      </c>
      <c r="P474" s="5" t="s">
        <v>1006</v>
      </c>
      <c r="Q474" s="5" t="s">
        <v>1007</v>
      </c>
      <c r="R474" s="5">
        <v>48.21</v>
      </c>
      <c r="S474" s="4">
        <v>45716</v>
      </c>
      <c r="T474" s="4">
        <v>45724</v>
      </c>
      <c r="U474" s="5">
        <f t="shared" si="23"/>
        <v>8</v>
      </c>
      <c r="V474" s="5" t="s">
        <v>76</v>
      </c>
      <c r="X474" s="5"/>
    </row>
    <row r="475" spans="1:24">
      <c r="A475" s="4">
        <v>45258</v>
      </c>
      <c r="B475" s="5" t="str">
        <f t="shared" si="21"/>
        <v>November</v>
      </c>
      <c r="C475" s="5" t="s">
        <v>20</v>
      </c>
      <c r="D475" s="5" t="s">
        <v>23</v>
      </c>
      <c r="E475" s="5">
        <v>2</v>
      </c>
      <c r="F475" s="5">
        <v>532.51</v>
      </c>
      <c r="G475" s="6">
        <f t="shared" si="22"/>
        <v>1065.02</v>
      </c>
      <c r="H475" s="5" t="s">
        <v>53</v>
      </c>
      <c r="I475" s="5" t="s">
        <v>54</v>
      </c>
      <c r="J475" s="5">
        <v>0</v>
      </c>
      <c r="K475" s="5" t="s">
        <v>78</v>
      </c>
      <c r="L475" s="6">
        <v>1065.02</v>
      </c>
      <c r="M475" s="5" t="s">
        <v>32</v>
      </c>
      <c r="N475" s="5" t="s">
        <v>69</v>
      </c>
      <c r="O475" s="5">
        <v>1</v>
      </c>
      <c r="P475" s="5" t="s">
        <v>1008</v>
      </c>
      <c r="Q475" s="5" t="s">
        <v>1009</v>
      </c>
      <c r="R475" s="5">
        <v>49.67</v>
      </c>
      <c r="S475" s="4">
        <v>45258</v>
      </c>
      <c r="T475" s="4">
        <v>45261</v>
      </c>
      <c r="U475" s="5">
        <f t="shared" si="23"/>
        <v>3</v>
      </c>
      <c r="V475" s="5" t="s">
        <v>94</v>
      </c>
      <c r="X475" s="5"/>
    </row>
    <row r="476" spans="1:24">
      <c r="A476" s="4">
        <v>45264</v>
      </c>
      <c r="B476" s="5" t="str">
        <f t="shared" si="21"/>
        <v>December</v>
      </c>
      <c r="C476" s="5" t="s">
        <v>20</v>
      </c>
      <c r="D476" s="5" t="s">
        <v>27</v>
      </c>
      <c r="E476" s="5">
        <v>1</v>
      </c>
      <c r="F476" s="5">
        <v>268.19</v>
      </c>
      <c r="G476" s="6">
        <f t="shared" si="22"/>
        <v>268.19</v>
      </c>
      <c r="H476" s="5" t="s">
        <v>53</v>
      </c>
      <c r="I476" s="5" t="s">
        <v>54</v>
      </c>
      <c r="J476" s="5">
        <v>0.1</v>
      </c>
      <c r="K476" s="5" t="s">
        <v>78</v>
      </c>
      <c r="L476" s="6">
        <v>241.371</v>
      </c>
      <c r="M476" s="5" t="s">
        <v>31</v>
      </c>
      <c r="N476" s="5" t="s">
        <v>69</v>
      </c>
      <c r="O476" s="5">
        <v>0</v>
      </c>
      <c r="P476" s="5" t="s">
        <v>1010</v>
      </c>
      <c r="Q476" s="5" t="s">
        <v>1011</v>
      </c>
      <c r="R476" s="5">
        <v>9.48</v>
      </c>
      <c r="S476" s="4">
        <v>45264</v>
      </c>
      <c r="T476" s="4">
        <v>45273</v>
      </c>
      <c r="U476" s="5">
        <f t="shared" si="23"/>
        <v>9</v>
      </c>
      <c r="V476" s="5" t="s">
        <v>94</v>
      </c>
      <c r="X476" s="5"/>
    </row>
    <row r="477" spans="1:24">
      <c r="A477" s="4">
        <v>45464</v>
      </c>
      <c r="B477" s="5" t="str">
        <f t="shared" si="21"/>
        <v>June</v>
      </c>
      <c r="C477" s="5" t="s">
        <v>17</v>
      </c>
      <c r="D477" s="5" t="s">
        <v>27</v>
      </c>
      <c r="E477" s="5">
        <v>17</v>
      </c>
      <c r="F477" s="5">
        <v>432.65</v>
      </c>
      <c r="G477" s="6">
        <f t="shared" si="22"/>
        <v>7355.05</v>
      </c>
      <c r="H477" s="5" t="s">
        <v>61</v>
      </c>
      <c r="I477" s="5" t="s">
        <v>62</v>
      </c>
      <c r="J477" s="5">
        <v>0.15</v>
      </c>
      <c r="K477" s="5" t="s">
        <v>73</v>
      </c>
      <c r="L477" s="6">
        <v>6251.7925</v>
      </c>
      <c r="M477" s="5" t="s">
        <v>34</v>
      </c>
      <c r="N477" s="5" t="s">
        <v>56</v>
      </c>
      <c r="O477" s="5">
        <v>0</v>
      </c>
      <c r="P477" s="5" t="s">
        <v>1012</v>
      </c>
      <c r="Q477" s="5" t="s">
        <v>1013</v>
      </c>
      <c r="R477" s="5">
        <v>18.85</v>
      </c>
      <c r="S477" s="4">
        <v>45464</v>
      </c>
      <c r="T477" s="4">
        <v>45472</v>
      </c>
      <c r="U477" s="5">
        <f t="shared" si="23"/>
        <v>8</v>
      </c>
      <c r="V477" s="5" t="s">
        <v>67</v>
      </c>
      <c r="X477" s="5"/>
    </row>
    <row r="478" spans="1:24">
      <c r="A478" s="4">
        <v>45733</v>
      </c>
      <c r="B478" s="5" t="str">
        <f t="shared" si="21"/>
        <v>March</v>
      </c>
      <c r="C478" s="5" t="s">
        <v>16</v>
      </c>
      <c r="D478" s="5" t="s">
        <v>24</v>
      </c>
      <c r="E478" s="5">
        <v>14</v>
      </c>
      <c r="F478" s="5">
        <v>123.04</v>
      </c>
      <c r="G478" s="6">
        <f t="shared" si="22"/>
        <v>1722.56</v>
      </c>
      <c r="H478" s="5" t="s">
        <v>61</v>
      </c>
      <c r="I478" s="5" t="s">
        <v>54</v>
      </c>
      <c r="J478" s="5">
        <v>0.1</v>
      </c>
      <c r="K478" s="5" t="s">
        <v>82</v>
      </c>
      <c r="L478" s="6">
        <v>1550.304</v>
      </c>
      <c r="M478" s="5" t="s">
        <v>34</v>
      </c>
      <c r="N478" s="5" t="s">
        <v>69</v>
      </c>
      <c r="O478" s="5">
        <v>1</v>
      </c>
      <c r="P478" s="5" t="s">
        <v>1014</v>
      </c>
      <c r="Q478" s="5" t="s">
        <v>1015</v>
      </c>
      <c r="R478" s="5">
        <v>43.28</v>
      </c>
      <c r="S478" s="4">
        <v>45733</v>
      </c>
      <c r="T478" s="4">
        <v>45742</v>
      </c>
      <c r="U478" s="5">
        <f t="shared" si="23"/>
        <v>9</v>
      </c>
      <c r="V478" s="5" t="s">
        <v>59</v>
      </c>
      <c r="X478" s="5"/>
    </row>
    <row r="479" spans="1:24">
      <c r="A479" s="4">
        <v>45155</v>
      </c>
      <c r="B479" s="5" t="str">
        <f t="shared" si="21"/>
        <v>August</v>
      </c>
      <c r="C479" s="5" t="s">
        <v>19</v>
      </c>
      <c r="D479" s="5" t="s">
        <v>24</v>
      </c>
      <c r="E479" s="5">
        <v>16</v>
      </c>
      <c r="F479" s="5">
        <v>454.54</v>
      </c>
      <c r="G479" s="6">
        <f t="shared" si="22"/>
        <v>7272.64</v>
      </c>
      <c r="H479" s="5" t="s">
        <v>53</v>
      </c>
      <c r="I479" s="5" t="s">
        <v>62</v>
      </c>
      <c r="J479" s="5">
        <v>0.1</v>
      </c>
      <c r="K479" s="5" t="s">
        <v>89</v>
      </c>
      <c r="L479" s="6">
        <v>6545.376</v>
      </c>
      <c r="M479" s="5" t="s">
        <v>30</v>
      </c>
      <c r="N479" s="5" t="s">
        <v>56</v>
      </c>
      <c r="O479" s="5">
        <v>0</v>
      </c>
      <c r="P479" s="5" t="s">
        <v>1016</v>
      </c>
      <c r="Q479" s="5" t="s">
        <v>1017</v>
      </c>
      <c r="R479" s="5">
        <v>20.55</v>
      </c>
      <c r="S479" s="4">
        <v>45155</v>
      </c>
      <c r="T479" s="4">
        <v>45157</v>
      </c>
      <c r="U479" s="5">
        <f t="shared" si="23"/>
        <v>2</v>
      </c>
      <c r="V479" s="5" t="s">
        <v>76</v>
      </c>
      <c r="X479" s="5"/>
    </row>
    <row r="480" spans="1:24">
      <c r="A480" s="4">
        <v>45168</v>
      </c>
      <c r="B480" s="5" t="str">
        <f t="shared" si="21"/>
        <v>August</v>
      </c>
      <c r="C480" s="5" t="s">
        <v>19</v>
      </c>
      <c r="D480" s="5" t="s">
        <v>26</v>
      </c>
      <c r="E480" s="5">
        <v>11</v>
      </c>
      <c r="F480" s="5">
        <v>414.58</v>
      </c>
      <c r="G480" s="6">
        <f t="shared" si="22"/>
        <v>4560.38</v>
      </c>
      <c r="H480" s="5" t="s">
        <v>81</v>
      </c>
      <c r="I480" s="5" t="s">
        <v>54</v>
      </c>
      <c r="J480" s="5">
        <v>0.05</v>
      </c>
      <c r="K480" s="5" t="s">
        <v>82</v>
      </c>
      <c r="L480" s="6">
        <v>4332.361</v>
      </c>
      <c r="M480" s="5" t="s">
        <v>34</v>
      </c>
      <c r="N480" s="5" t="s">
        <v>69</v>
      </c>
      <c r="O480" s="5">
        <v>0</v>
      </c>
      <c r="P480" s="5" t="s">
        <v>1018</v>
      </c>
      <c r="Q480" s="5" t="s">
        <v>379</v>
      </c>
      <c r="R480" s="5">
        <v>25.33</v>
      </c>
      <c r="S480" s="4">
        <v>45168</v>
      </c>
      <c r="T480" s="4">
        <v>45174</v>
      </c>
      <c r="U480" s="5">
        <f t="shared" si="23"/>
        <v>6</v>
      </c>
      <c r="V480" s="5" t="s">
        <v>76</v>
      </c>
      <c r="X480" s="5"/>
    </row>
    <row r="481" spans="1:24">
      <c r="A481" s="4">
        <v>45824</v>
      </c>
      <c r="B481" s="5" t="str">
        <f t="shared" si="21"/>
        <v>June</v>
      </c>
      <c r="C481" s="5" t="s">
        <v>16</v>
      </c>
      <c r="D481" s="5" t="s">
        <v>23</v>
      </c>
      <c r="E481" s="5">
        <v>9</v>
      </c>
      <c r="F481" s="5">
        <v>352.91</v>
      </c>
      <c r="G481" s="6">
        <f t="shared" si="22"/>
        <v>3176.19</v>
      </c>
      <c r="H481" s="5" t="s">
        <v>53</v>
      </c>
      <c r="I481" s="5" t="s">
        <v>54</v>
      </c>
      <c r="J481" s="5">
        <v>0.1</v>
      </c>
      <c r="K481" s="5" t="s">
        <v>89</v>
      </c>
      <c r="L481" s="6">
        <v>2858.571</v>
      </c>
      <c r="M481" s="5" t="s">
        <v>34</v>
      </c>
      <c r="N481" s="5" t="s">
        <v>56</v>
      </c>
      <c r="O481" s="5">
        <v>0</v>
      </c>
      <c r="P481" s="5" t="s">
        <v>1019</v>
      </c>
      <c r="Q481" s="5" t="s">
        <v>1020</v>
      </c>
      <c r="R481" s="5">
        <v>30.57</v>
      </c>
      <c r="S481" s="4">
        <v>45824</v>
      </c>
      <c r="T481" s="4">
        <v>45826</v>
      </c>
      <c r="U481" s="5">
        <f t="shared" si="23"/>
        <v>2</v>
      </c>
      <c r="V481" s="5" t="s">
        <v>59</v>
      </c>
      <c r="X481" s="5"/>
    </row>
    <row r="482" spans="1:24">
      <c r="A482" s="4">
        <v>45106</v>
      </c>
      <c r="B482" s="5" t="str">
        <f t="shared" si="21"/>
        <v>June</v>
      </c>
      <c r="C482" s="5" t="s">
        <v>18</v>
      </c>
      <c r="D482" s="5" t="s">
        <v>25</v>
      </c>
      <c r="E482" s="5">
        <v>10</v>
      </c>
      <c r="F482" s="5">
        <v>126.46</v>
      </c>
      <c r="G482" s="6">
        <f t="shared" si="22"/>
        <v>1264.6</v>
      </c>
      <c r="H482" s="5" t="s">
        <v>61</v>
      </c>
      <c r="I482" s="5" t="s">
        <v>62</v>
      </c>
      <c r="J482" s="5">
        <v>0.1</v>
      </c>
      <c r="K482" s="5" t="s">
        <v>55</v>
      </c>
      <c r="L482" s="6">
        <v>1138.14</v>
      </c>
      <c r="M482" s="5" t="s">
        <v>30</v>
      </c>
      <c r="N482" s="5" t="s">
        <v>69</v>
      </c>
      <c r="O482" s="5">
        <v>0</v>
      </c>
      <c r="P482" s="5" t="s">
        <v>1021</v>
      </c>
      <c r="Q482" s="5" t="s">
        <v>1022</v>
      </c>
      <c r="R482" s="5">
        <v>26.96</v>
      </c>
      <c r="S482" s="4">
        <v>45106</v>
      </c>
      <c r="T482" s="4">
        <v>45116</v>
      </c>
      <c r="U482" s="5">
        <f t="shared" si="23"/>
        <v>10</v>
      </c>
      <c r="V482" s="5" t="s">
        <v>72</v>
      </c>
      <c r="X482" s="5"/>
    </row>
    <row r="483" spans="1:24">
      <c r="A483" s="4">
        <v>45151</v>
      </c>
      <c r="B483" s="5" t="str">
        <f t="shared" si="21"/>
        <v>August</v>
      </c>
      <c r="C483" s="5" t="s">
        <v>18</v>
      </c>
      <c r="D483" s="5" t="s">
        <v>26</v>
      </c>
      <c r="E483" s="5">
        <v>7</v>
      </c>
      <c r="F483" s="5">
        <v>125.02</v>
      </c>
      <c r="G483" s="6">
        <f t="shared" si="22"/>
        <v>875.14</v>
      </c>
      <c r="H483" s="5" t="s">
        <v>81</v>
      </c>
      <c r="I483" s="5" t="s">
        <v>54</v>
      </c>
      <c r="J483" s="5">
        <v>0</v>
      </c>
      <c r="K483" s="5" t="s">
        <v>78</v>
      </c>
      <c r="L483" s="6">
        <v>875.14</v>
      </c>
      <c r="M483" s="5" t="s">
        <v>32</v>
      </c>
      <c r="N483" s="5" t="s">
        <v>56</v>
      </c>
      <c r="O483" s="5">
        <v>0</v>
      </c>
      <c r="P483" s="5" t="s">
        <v>1023</v>
      </c>
      <c r="Q483" s="5" t="s">
        <v>1024</v>
      </c>
      <c r="R483" s="5">
        <v>12.45</v>
      </c>
      <c r="S483" s="4">
        <v>45151</v>
      </c>
      <c r="T483" s="4">
        <v>45158</v>
      </c>
      <c r="U483" s="5">
        <f t="shared" si="23"/>
        <v>7</v>
      </c>
      <c r="V483" s="5" t="s">
        <v>72</v>
      </c>
      <c r="X483" s="5"/>
    </row>
    <row r="484" spans="1:24">
      <c r="A484" s="4">
        <v>45411</v>
      </c>
      <c r="B484" s="5" t="str">
        <f t="shared" si="21"/>
        <v>April</v>
      </c>
      <c r="C484" s="5" t="s">
        <v>20</v>
      </c>
      <c r="D484" s="5" t="s">
        <v>101</v>
      </c>
      <c r="E484" s="5">
        <v>20</v>
      </c>
      <c r="F484" s="5">
        <v>367.24</v>
      </c>
      <c r="G484" s="6">
        <f t="shared" si="22"/>
        <v>7344.8</v>
      </c>
      <c r="H484" s="5" t="s">
        <v>61</v>
      </c>
      <c r="I484" s="5" t="s">
        <v>54</v>
      </c>
      <c r="J484" s="5">
        <v>0.05</v>
      </c>
      <c r="K484" s="5" t="s">
        <v>78</v>
      </c>
      <c r="L484" s="6">
        <v>6977.56</v>
      </c>
      <c r="M484" s="5" t="s">
        <v>31</v>
      </c>
      <c r="N484" s="5" t="s">
        <v>56</v>
      </c>
      <c r="O484" s="5">
        <v>0</v>
      </c>
      <c r="P484" s="5" t="s">
        <v>1025</v>
      </c>
      <c r="Q484" s="5" t="s">
        <v>1026</v>
      </c>
      <c r="R484" s="5">
        <v>45.67</v>
      </c>
      <c r="S484" s="4">
        <v>45411</v>
      </c>
      <c r="T484" s="4">
        <v>45419</v>
      </c>
      <c r="U484" s="5">
        <f t="shared" si="23"/>
        <v>8</v>
      </c>
      <c r="V484" s="5" t="s">
        <v>94</v>
      </c>
      <c r="X484" s="5"/>
    </row>
    <row r="485" spans="1:24">
      <c r="A485" s="4">
        <v>45122</v>
      </c>
      <c r="B485" s="5" t="str">
        <f t="shared" si="21"/>
        <v>July</v>
      </c>
      <c r="C485" s="5" t="s">
        <v>20</v>
      </c>
      <c r="D485" s="5" t="s">
        <v>26</v>
      </c>
      <c r="E485" s="5">
        <v>8</v>
      </c>
      <c r="F485" s="5">
        <v>432.12</v>
      </c>
      <c r="G485" s="6">
        <f t="shared" si="22"/>
        <v>3456.96</v>
      </c>
      <c r="H485" s="5" t="s">
        <v>53</v>
      </c>
      <c r="I485" s="5" t="s">
        <v>62</v>
      </c>
      <c r="J485" s="5">
        <v>0</v>
      </c>
      <c r="K485" s="5" t="s">
        <v>82</v>
      </c>
      <c r="L485" s="6">
        <v>3456.96</v>
      </c>
      <c r="M485" s="5" t="s">
        <v>32</v>
      </c>
      <c r="N485" s="5" t="s">
        <v>69</v>
      </c>
      <c r="O485" s="5">
        <v>0</v>
      </c>
      <c r="P485" s="5" t="s">
        <v>1027</v>
      </c>
      <c r="Q485" s="5" t="s">
        <v>1028</v>
      </c>
      <c r="R485" s="5">
        <v>42.1</v>
      </c>
      <c r="S485" s="4">
        <v>45122</v>
      </c>
      <c r="T485" s="4">
        <v>45132</v>
      </c>
      <c r="U485" s="5">
        <f t="shared" si="23"/>
        <v>10</v>
      </c>
      <c r="V485" s="5" t="s">
        <v>94</v>
      </c>
      <c r="X485" s="5"/>
    </row>
    <row r="486" spans="1:24">
      <c r="A486" s="4">
        <v>45674</v>
      </c>
      <c r="B486" s="5" t="str">
        <f t="shared" si="21"/>
        <v>January</v>
      </c>
      <c r="C486" s="5" t="s">
        <v>18</v>
      </c>
      <c r="D486" s="5" t="s">
        <v>101</v>
      </c>
      <c r="E486" s="5">
        <v>3</v>
      </c>
      <c r="F486" s="5">
        <v>13.33</v>
      </c>
      <c r="G486" s="6">
        <f t="shared" si="22"/>
        <v>39.99</v>
      </c>
      <c r="H486" s="5" t="s">
        <v>81</v>
      </c>
      <c r="I486" s="5" t="s">
        <v>62</v>
      </c>
      <c r="J486" s="5">
        <v>0.1</v>
      </c>
      <c r="K486" s="5" t="s">
        <v>55</v>
      </c>
      <c r="L486" s="6">
        <v>35.991</v>
      </c>
      <c r="M486" s="5" t="s">
        <v>34</v>
      </c>
      <c r="N486" s="5" t="s">
        <v>64</v>
      </c>
      <c r="O486" s="5">
        <v>0</v>
      </c>
      <c r="P486" s="5" t="s">
        <v>1029</v>
      </c>
      <c r="Q486" s="5" t="s">
        <v>1030</v>
      </c>
      <c r="R486" s="5">
        <v>17.62</v>
      </c>
      <c r="S486" s="4">
        <v>45674</v>
      </c>
      <c r="T486" s="4">
        <v>45680</v>
      </c>
      <c r="U486" s="5">
        <f t="shared" si="23"/>
        <v>6</v>
      </c>
      <c r="V486" s="5" t="s">
        <v>72</v>
      </c>
      <c r="X486" s="5"/>
    </row>
    <row r="487" spans="1:24">
      <c r="A487" s="4">
        <v>45709</v>
      </c>
      <c r="B487" s="5" t="str">
        <f t="shared" si="21"/>
        <v>February</v>
      </c>
      <c r="C487" s="5" t="s">
        <v>16</v>
      </c>
      <c r="D487" s="5" t="s">
        <v>27</v>
      </c>
      <c r="E487" s="5">
        <v>13</v>
      </c>
      <c r="F487" s="5">
        <v>105.93</v>
      </c>
      <c r="G487" s="6">
        <f t="shared" si="22"/>
        <v>1377.09</v>
      </c>
      <c r="H487" s="5" t="s">
        <v>77</v>
      </c>
      <c r="I487" s="5" t="s">
        <v>62</v>
      </c>
      <c r="J487" s="5">
        <v>0</v>
      </c>
      <c r="K487" s="5" t="s">
        <v>89</v>
      </c>
      <c r="L487" s="6">
        <v>1377.09</v>
      </c>
      <c r="M487" s="5" t="s">
        <v>33</v>
      </c>
      <c r="N487" s="5" t="s">
        <v>56</v>
      </c>
      <c r="O487" s="5">
        <v>0</v>
      </c>
      <c r="P487" s="5" t="s">
        <v>1031</v>
      </c>
      <c r="Q487" s="5" t="s">
        <v>1032</v>
      </c>
      <c r="R487" s="5">
        <v>38.96</v>
      </c>
      <c r="S487" s="4">
        <v>45709</v>
      </c>
      <c r="T487" s="4">
        <v>45719</v>
      </c>
      <c r="U487" s="5">
        <f t="shared" si="23"/>
        <v>10</v>
      </c>
      <c r="V487" s="5" t="s">
        <v>59</v>
      </c>
      <c r="X487" s="5"/>
    </row>
    <row r="488" spans="1:24">
      <c r="A488" s="4">
        <v>45126</v>
      </c>
      <c r="B488" s="5" t="str">
        <f t="shared" si="21"/>
        <v>July</v>
      </c>
      <c r="C488" s="5" t="s">
        <v>20</v>
      </c>
      <c r="D488" s="5" t="s">
        <v>26</v>
      </c>
      <c r="E488" s="5">
        <v>20</v>
      </c>
      <c r="F488" s="5">
        <v>526.55</v>
      </c>
      <c r="G488" s="6">
        <f t="shared" si="22"/>
        <v>10531</v>
      </c>
      <c r="H488" s="5" t="s">
        <v>61</v>
      </c>
      <c r="I488" s="5" t="s">
        <v>54</v>
      </c>
      <c r="J488" s="5">
        <v>0</v>
      </c>
      <c r="K488" s="5" t="s">
        <v>63</v>
      </c>
      <c r="L488" s="6">
        <v>10531</v>
      </c>
      <c r="M488" s="5" t="s">
        <v>33</v>
      </c>
      <c r="N488" s="5" t="s">
        <v>56</v>
      </c>
      <c r="O488" s="5">
        <v>1</v>
      </c>
      <c r="P488" s="5" t="s">
        <v>1033</v>
      </c>
      <c r="Q488" s="5" t="s">
        <v>1034</v>
      </c>
      <c r="R488" s="5">
        <v>25.64</v>
      </c>
      <c r="S488" s="4">
        <v>45126</v>
      </c>
      <c r="T488" s="4">
        <v>45133</v>
      </c>
      <c r="U488" s="5">
        <f t="shared" si="23"/>
        <v>7</v>
      </c>
      <c r="V488" s="5" t="s">
        <v>94</v>
      </c>
      <c r="X488" s="5"/>
    </row>
    <row r="489" spans="1:24">
      <c r="A489" s="4">
        <v>45564</v>
      </c>
      <c r="B489" s="5" t="str">
        <f t="shared" si="21"/>
        <v>September</v>
      </c>
      <c r="C489" s="5" t="s">
        <v>20</v>
      </c>
      <c r="D489" s="5" t="s">
        <v>23</v>
      </c>
      <c r="E489" s="5">
        <v>11</v>
      </c>
      <c r="F489" s="5">
        <v>339.78</v>
      </c>
      <c r="G489" s="6">
        <f t="shared" si="22"/>
        <v>3737.58</v>
      </c>
      <c r="H489" s="5" t="s">
        <v>61</v>
      </c>
      <c r="I489" s="5" t="s">
        <v>62</v>
      </c>
      <c r="J489" s="5">
        <v>0.05</v>
      </c>
      <c r="K489" s="5" t="s">
        <v>82</v>
      </c>
      <c r="L489" s="6">
        <v>3550.701</v>
      </c>
      <c r="M489" s="5" t="s">
        <v>33</v>
      </c>
      <c r="N489" s="5" t="s">
        <v>69</v>
      </c>
      <c r="O489" s="5">
        <v>1</v>
      </c>
      <c r="P489" s="5" t="s">
        <v>1035</v>
      </c>
      <c r="Q489" s="5" t="s">
        <v>1036</v>
      </c>
      <c r="R489" s="5">
        <v>11.56</v>
      </c>
      <c r="S489" s="4">
        <v>45564</v>
      </c>
      <c r="T489" s="4">
        <v>45571</v>
      </c>
      <c r="U489" s="5">
        <f t="shared" si="23"/>
        <v>7</v>
      </c>
      <c r="V489" s="5" t="s">
        <v>94</v>
      </c>
      <c r="X489" s="5"/>
    </row>
    <row r="490" spans="1:24">
      <c r="A490" s="4">
        <v>45582</v>
      </c>
      <c r="B490" s="5" t="str">
        <f t="shared" si="21"/>
        <v>October</v>
      </c>
      <c r="C490" s="5" t="s">
        <v>16</v>
      </c>
      <c r="D490" s="5" t="s">
        <v>22</v>
      </c>
      <c r="E490" s="5">
        <v>10</v>
      </c>
      <c r="F490" s="5">
        <v>91.75</v>
      </c>
      <c r="G490" s="6">
        <f t="shared" si="22"/>
        <v>917.5</v>
      </c>
      <c r="H490" s="5" t="s">
        <v>81</v>
      </c>
      <c r="I490" s="5" t="s">
        <v>54</v>
      </c>
      <c r="J490" s="5">
        <v>0.15</v>
      </c>
      <c r="K490" s="5" t="s">
        <v>73</v>
      </c>
      <c r="L490" s="6">
        <v>779.875</v>
      </c>
      <c r="M490" s="5" t="s">
        <v>34</v>
      </c>
      <c r="N490" s="5" t="s">
        <v>69</v>
      </c>
      <c r="O490" s="5">
        <v>0</v>
      </c>
      <c r="P490" s="5" t="s">
        <v>1037</v>
      </c>
      <c r="Q490" s="5" t="s">
        <v>1038</v>
      </c>
      <c r="R490" s="5">
        <v>37.27</v>
      </c>
      <c r="S490" s="4">
        <v>45582</v>
      </c>
      <c r="T490" s="4">
        <v>45586</v>
      </c>
      <c r="U490" s="5">
        <f t="shared" si="23"/>
        <v>4</v>
      </c>
      <c r="V490" s="5" t="s">
        <v>59</v>
      </c>
      <c r="X490" s="5"/>
    </row>
    <row r="491" spans="1:24">
      <c r="A491" s="4">
        <v>45819</v>
      </c>
      <c r="B491" s="5" t="str">
        <f t="shared" si="21"/>
        <v>June</v>
      </c>
      <c r="C491" s="5" t="s">
        <v>16</v>
      </c>
      <c r="D491" s="5" t="s">
        <v>23</v>
      </c>
      <c r="E491" s="5">
        <v>15</v>
      </c>
      <c r="F491" s="5">
        <v>13.66</v>
      </c>
      <c r="G491" s="6">
        <f t="shared" si="22"/>
        <v>204.9</v>
      </c>
      <c r="H491" s="5" t="s">
        <v>53</v>
      </c>
      <c r="I491" s="5" t="s">
        <v>62</v>
      </c>
      <c r="J491" s="5">
        <v>0.1</v>
      </c>
      <c r="K491" s="5" t="s">
        <v>63</v>
      </c>
      <c r="L491" s="6">
        <v>184.41</v>
      </c>
      <c r="M491" s="5" t="s">
        <v>33</v>
      </c>
      <c r="N491" s="5" t="s">
        <v>56</v>
      </c>
      <c r="O491" s="5">
        <v>0</v>
      </c>
      <c r="P491" s="5" t="s">
        <v>1039</v>
      </c>
      <c r="Q491" s="5" t="s">
        <v>1040</v>
      </c>
      <c r="R491" s="5">
        <v>38.04</v>
      </c>
      <c r="S491" s="4">
        <v>45819</v>
      </c>
      <c r="T491" s="4">
        <v>45825</v>
      </c>
      <c r="U491" s="5">
        <f t="shared" si="23"/>
        <v>6</v>
      </c>
      <c r="V491" s="5" t="s">
        <v>59</v>
      </c>
      <c r="X491" s="5"/>
    </row>
    <row r="492" spans="1:24">
      <c r="A492" s="4">
        <v>45310</v>
      </c>
      <c r="B492" s="5" t="str">
        <f t="shared" si="21"/>
        <v>January</v>
      </c>
      <c r="C492" s="5" t="s">
        <v>20</v>
      </c>
      <c r="D492" s="5" t="s">
        <v>24</v>
      </c>
      <c r="E492" s="5">
        <v>6</v>
      </c>
      <c r="F492" s="5">
        <v>148.23</v>
      </c>
      <c r="G492" s="6">
        <f t="shared" si="22"/>
        <v>889.38</v>
      </c>
      <c r="H492" s="5" t="s">
        <v>53</v>
      </c>
      <c r="I492" s="5" t="s">
        <v>62</v>
      </c>
      <c r="J492" s="5">
        <v>0.1</v>
      </c>
      <c r="K492" s="5" t="s">
        <v>55</v>
      </c>
      <c r="L492" s="6">
        <v>800.442</v>
      </c>
      <c r="M492" s="5" t="s">
        <v>32</v>
      </c>
      <c r="N492" s="5" t="s">
        <v>56</v>
      </c>
      <c r="O492" s="5">
        <v>0</v>
      </c>
      <c r="P492" s="5" t="s">
        <v>1041</v>
      </c>
      <c r="Q492" s="5" t="s">
        <v>1042</v>
      </c>
      <c r="R492" s="5">
        <v>19.58</v>
      </c>
      <c r="S492" s="4">
        <v>45310</v>
      </c>
      <c r="T492" s="4">
        <v>45320</v>
      </c>
      <c r="U492" s="5">
        <f t="shared" si="23"/>
        <v>10</v>
      </c>
      <c r="V492" s="5" t="s">
        <v>94</v>
      </c>
      <c r="X492" s="5"/>
    </row>
    <row r="493" spans="1:24">
      <c r="A493" s="4">
        <v>45263</v>
      </c>
      <c r="B493" s="5" t="str">
        <f t="shared" si="21"/>
        <v>December</v>
      </c>
      <c r="C493" s="5" t="s">
        <v>16</v>
      </c>
      <c r="D493" s="5" t="s">
        <v>25</v>
      </c>
      <c r="E493" s="5">
        <v>11</v>
      </c>
      <c r="F493" s="5">
        <v>495.03</v>
      </c>
      <c r="G493" s="6">
        <f t="shared" si="22"/>
        <v>5445.33</v>
      </c>
      <c r="H493" s="5" t="s">
        <v>81</v>
      </c>
      <c r="I493" s="5" t="s">
        <v>54</v>
      </c>
      <c r="J493" s="5">
        <v>0.15</v>
      </c>
      <c r="K493" s="5" t="s">
        <v>73</v>
      </c>
      <c r="L493" s="6">
        <v>4628.5305</v>
      </c>
      <c r="M493" s="5" t="s">
        <v>34</v>
      </c>
      <c r="N493" s="5" t="s">
        <v>69</v>
      </c>
      <c r="O493" s="5">
        <v>0</v>
      </c>
      <c r="P493" s="5" t="s">
        <v>1043</v>
      </c>
      <c r="Q493" s="5" t="s">
        <v>1044</v>
      </c>
      <c r="R493" s="5">
        <v>27.37</v>
      </c>
      <c r="S493" s="4">
        <v>45263</v>
      </c>
      <c r="T493" s="4">
        <v>45265</v>
      </c>
      <c r="U493" s="5">
        <f t="shared" si="23"/>
        <v>2</v>
      </c>
      <c r="V493" s="5" t="s">
        <v>59</v>
      </c>
      <c r="X493" s="5"/>
    </row>
    <row r="494" spans="1:24">
      <c r="A494" s="4">
        <v>45462</v>
      </c>
      <c r="B494" s="5" t="str">
        <f t="shared" si="21"/>
        <v>June</v>
      </c>
      <c r="C494" s="5" t="s">
        <v>19</v>
      </c>
      <c r="D494" s="5" t="s">
        <v>25</v>
      </c>
      <c r="E494" s="5">
        <v>6</v>
      </c>
      <c r="F494" s="5">
        <v>247.2</v>
      </c>
      <c r="G494" s="6">
        <f t="shared" si="22"/>
        <v>1483.2</v>
      </c>
      <c r="H494" s="5" t="s">
        <v>61</v>
      </c>
      <c r="I494" s="5" t="s">
        <v>54</v>
      </c>
      <c r="J494" s="5">
        <v>0.05</v>
      </c>
      <c r="K494" s="5" t="s">
        <v>82</v>
      </c>
      <c r="L494" s="6">
        <v>1409.04</v>
      </c>
      <c r="M494" s="5" t="s">
        <v>32</v>
      </c>
      <c r="N494" s="5" t="s">
        <v>56</v>
      </c>
      <c r="O494" s="5">
        <v>0</v>
      </c>
      <c r="P494" s="5" t="s">
        <v>1045</v>
      </c>
      <c r="Q494" s="5" t="s">
        <v>982</v>
      </c>
      <c r="R494" s="5">
        <v>18.75</v>
      </c>
      <c r="S494" s="4">
        <v>45462</v>
      </c>
      <c r="T494" s="4">
        <v>45470</v>
      </c>
      <c r="U494" s="5">
        <f t="shared" si="23"/>
        <v>8</v>
      </c>
      <c r="V494" s="5" t="s">
        <v>76</v>
      </c>
      <c r="X494" s="5"/>
    </row>
    <row r="495" spans="1:24">
      <c r="A495" s="4">
        <v>45581</v>
      </c>
      <c r="B495" s="5" t="str">
        <f t="shared" si="21"/>
        <v>October</v>
      </c>
      <c r="C495" s="5" t="s">
        <v>20</v>
      </c>
      <c r="D495" s="5" t="s">
        <v>101</v>
      </c>
      <c r="E495" s="5">
        <v>19</v>
      </c>
      <c r="F495" s="5">
        <v>207.45</v>
      </c>
      <c r="G495" s="6">
        <f t="shared" si="22"/>
        <v>3941.55</v>
      </c>
      <c r="H495" s="5" t="s">
        <v>77</v>
      </c>
      <c r="I495" s="5" t="s">
        <v>62</v>
      </c>
      <c r="J495" s="5">
        <v>0.05</v>
      </c>
      <c r="K495" s="5" t="s">
        <v>89</v>
      </c>
      <c r="L495" s="6">
        <v>3744.4725</v>
      </c>
      <c r="M495" s="5" t="s">
        <v>33</v>
      </c>
      <c r="N495" s="5" t="s">
        <v>64</v>
      </c>
      <c r="O495" s="5">
        <v>0</v>
      </c>
      <c r="P495" s="5" t="s">
        <v>1046</v>
      </c>
      <c r="Q495" s="5" t="s">
        <v>1047</v>
      </c>
      <c r="R495" s="5">
        <v>11.5</v>
      </c>
      <c r="S495" s="4">
        <v>45581</v>
      </c>
      <c r="T495" s="4">
        <v>45586</v>
      </c>
      <c r="U495" s="5">
        <f t="shared" si="23"/>
        <v>5</v>
      </c>
      <c r="V495" s="5" t="s">
        <v>94</v>
      </c>
      <c r="X495" s="5"/>
    </row>
    <row r="496" spans="1:24">
      <c r="A496" s="4">
        <v>45680</v>
      </c>
      <c r="B496" s="5" t="str">
        <f t="shared" si="21"/>
        <v>January</v>
      </c>
      <c r="C496" s="5" t="s">
        <v>16</v>
      </c>
      <c r="D496" s="5" t="s">
        <v>22</v>
      </c>
      <c r="E496" s="5">
        <v>2</v>
      </c>
      <c r="F496" s="5">
        <v>370.78</v>
      </c>
      <c r="G496" s="6">
        <f t="shared" si="22"/>
        <v>741.56</v>
      </c>
      <c r="H496" s="5" t="s">
        <v>81</v>
      </c>
      <c r="I496" s="5" t="s">
        <v>54</v>
      </c>
      <c r="J496" s="5">
        <v>0.15</v>
      </c>
      <c r="K496" s="5" t="s">
        <v>82</v>
      </c>
      <c r="L496" s="6">
        <v>630.326</v>
      </c>
      <c r="M496" s="5" t="s">
        <v>30</v>
      </c>
      <c r="N496" s="5" t="s">
        <v>56</v>
      </c>
      <c r="O496" s="5">
        <v>0</v>
      </c>
      <c r="P496" s="5" t="s">
        <v>1048</v>
      </c>
      <c r="Q496" s="5" t="s">
        <v>1049</v>
      </c>
      <c r="R496" s="5">
        <v>20.45</v>
      </c>
      <c r="S496" s="4">
        <v>45680</v>
      </c>
      <c r="T496" s="4">
        <v>45684</v>
      </c>
      <c r="U496" s="5">
        <f t="shared" si="23"/>
        <v>4</v>
      </c>
      <c r="V496" s="5" t="s">
        <v>59</v>
      </c>
      <c r="X496" s="5"/>
    </row>
    <row r="497" spans="1:24">
      <c r="A497" s="4">
        <v>45201</v>
      </c>
      <c r="B497" s="5" t="str">
        <f t="shared" si="21"/>
        <v>October</v>
      </c>
      <c r="C497" s="5" t="s">
        <v>19</v>
      </c>
      <c r="D497" s="5" t="s">
        <v>22</v>
      </c>
      <c r="E497" s="5">
        <v>9</v>
      </c>
      <c r="F497" s="5">
        <v>146.72</v>
      </c>
      <c r="G497" s="6">
        <f t="shared" si="22"/>
        <v>1320.48</v>
      </c>
      <c r="H497" s="5" t="s">
        <v>61</v>
      </c>
      <c r="I497" s="5" t="s">
        <v>54</v>
      </c>
      <c r="J497" s="5">
        <v>0.1</v>
      </c>
      <c r="K497" s="5" t="s">
        <v>82</v>
      </c>
      <c r="L497" s="6">
        <v>1188.432</v>
      </c>
      <c r="M497" s="5" t="s">
        <v>32</v>
      </c>
      <c r="N497" s="5"/>
      <c r="O497" s="5">
        <v>0</v>
      </c>
      <c r="P497" s="5" t="s">
        <v>1050</v>
      </c>
      <c r="Q497" s="5" t="s">
        <v>1051</v>
      </c>
      <c r="R497" s="5">
        <v>10.45</v>
      </c>
      <c r="S497" s="4">
        <v>45201</v>
      </c>
      <c r="T497" s="4">
        <v>45209</v>
      </c>
      <c r="U497" s="5">
        <f t="shared" si="23"/>
        <v>8</v>
      </c>
      <c r="V497" s="5" t="s">
        <v>76</v>
      </c>
      <c r="X497" s="5"/>
    </row>
    <row r="498" spans="1:24">
      <c r="A498" s="4">
        <v>45235</v>
      </c>
      <c r="B498" s="5" t="str">
        <f t="shared" si="21"/>
        <v>November</v>
      </c>
      <c r="C498" s="5" t="s">
        <v>16</v>
      </c>
      <c r="D498" s="5" t="s">
        <v>24</v>
      </c>
      <c r="E498" s="5">
        <v>12</v>
      </c>
      <c r="F498" s="5">
        <v>159.85</v>
      </c>
      <c r="G498" s="6">
        <f t="shared" si="22"/>
        <v>1918.2</v>
      </c>
      <c r="H498" s="5" t="s">
        <v>81</v>
      </c>
      <c r="I498" s="5" t="s">
        <v>62</v>
      </c>
      <c r="J498" s="5">
        <v>0.1</v>
      </c>
      <c r="K498" s="5" t="s">
        <v>63</v>
      </c>
      <c r="L498" s="6">
        <v>1726.38</v>
      </c>
      <c r="M498" s="5" t="s">
        <v>34</v>
      </c>
      <c r="N498" s="5" t="s">
        <v>69</v>
      </c>
      <c r="O498" s="5">
        <v>0</v>
      </c>
      <c r="P498" s="5" t="s">
        <v>1052</v>
      </c>
      <c r="Q498" s="5" t="s">
        <v>1053</v>
      </c>
      <c r="R498" s="5">
        <v>32.61</v>
      </c>
      <c r="S498" s="4">
        <v>45235</v>
      </c>
      <c r="T498" s="4">
        <v>45237</v>
      </c>
      <c r="U498" s="5">
        <f t="shared" si="23"/>
        <v>2</v>
      </c>
      <c r="V498" s="5" t="s">
        <v>59</v>
      </c>
      <c r="X498" s="5"/>
    </row>
    <row r="499" spans="1:24">
      <c r="A499" s="4">
        <v>45095</v>
      </c>
      <c r="B499" s="5" t="str">
        <f t="shared" si="21"/>
        <v>June</v>
      </c>
      <c r="C499" s="5" t="s">
        <v>17</v>
      </c>
      <c r="D499" s="5" t="s">
        <v>27</v>
      </c>
      <c r="E499" s="5">
        <v>13</v>
      </c>
      <c r="F499" s="5">
        <v>181.68</v>
      </c>
      <c r="G499" s="6">
        <f t="shared" si="22"/>
        <v>2361.84</v>
      </c>
      <c r="H499" s="5" t="s">
        <v>77</v>
      </c>
      <c r="I499" s="5" t="s">
        <v>54</v>
      </c>
      <c r="J499" s="5">
        <v>0.05</v>
      </c>
      <c r="K499" s="5" t="s">
        <v>82</v>
      </c>
      <c r="L499" s="6">
        <v>2243.748</v>
      </c>
      <c r="M499" s="5" t="s">
        <v>31</v>
      </c>
      <c r="N499" s="5" t="s">
        <v>64</v>
      </c>
      <c r="O499" s="5">
        <v>0</v>
      </c>
      <c r="P499" s="5" t="s">
        <v>1054</v>
      </c>
      <c r="Q499" s="5" t="s">
        <v>1055</v>
      </c>
      <c r="R499" s="5">
        <v>14.69</v>
      </c>
      <c r="S499" s="4">
        <v>45095</v>
      </c>
      <c r="T499" s="4">
        <v>45100</v>
      </c>
      <c r="U499" s="5">
        <f t="shared" si="23"/>
        <v>5</v>
      </c>
      <c r="V499" s="5" t="s">
        <v>67</v>
      </c>
      <c r="X499" s="5"/>
    </row>
    <row r="500" spans="1:24">
      <c r="A500" s="4">
        <v>45488</v>
      </c>
      <c r="B500" s="5" t="str">
        <f t="shared" si="21"/>
        <v>July</v>
      </c>
      <c r="C500" s="5" t="s">
        <v>19</v>
      </c>
      <c r="D500" s="5" t="s">
        <v>23</v>
      </c>
      <c r="E500" s="5">
        <v>16</v>
      </c>
      <c r="F500" s="5">
        <v>34.16</v>
      </c>
      <c r="G500" s="6">
        <f t="shared" si="22"/>
        <v>546.56</v>
      </c>
      <c r="H500" s="5" t="s">
        <v>61</v>
      </c>
      <c r="I500" s="5" t="s">
        <v>62</v>
      </c>
      <c r="J500" s="5">
        <v>0.15</v>
      </c>
      <c r="K500" s="5" t="s">
        <v>89</v>
      </c>
      <c r="L500" s="6">
        <v>464.576</v>
      </c>
      <c r="M500" s="5" t="s">
        <v>34</v>
      </c>
      <c r="N500" s="5" t="s">
        <v>64</v>
      </c>
      <c r="O500" s="5">
        <v>0</v>
      </c>
      <c r="P500" s="5" t="s">
        <v>1056</v>
      </c>
      <c r="Q500" s="5" t="s">
        <v>1057</v>
      </c>
      <c r="R500" s="5">
        <v>36.33</v>
      </c>
      <c r="S500" s="4">
        <v>45488</v>
      </c>
      <c r="T500" s="4">
        <v>45494</v>
      </c>
      <c r="U500" s="5">
        <f t="shared" si="23"/>
        <v>6</v>
      </c>
      <c r="V500" s="5" t="s">
        <v>76</v>
      </c>
      <c r="X500" s="5"/>
    </row>
    <row r="501" spans="1:24">
      <c r="A501" s="4">
        <v>45457</v>
      </c>
      <c r="B501" s="5" t="str">
        <f t="shared" si="21"/>
        <v>June</v>
      </c>
      <c r="C501" s="5" t="s">
        <v>19</v>
      </c>
      <c r="D501" s="5" t="s">
        <v>22</v>
      </c>
      <c r="E501" s="5">
        <v>2</v>
      </c>
      <c r="F501" s="5">
        <v>287.43</v>
      </c>
      <c r="G501" s="6">
        <f t="shared" si="22"/>
        <v>574.86</v>
      </c>
      <c r="H501" s="5" t="s">
        <v>77</v>
      </c>
      <c r="I501" s="5" t="s">
        <v>54</v>
      </c>
      <c r="J501" s="5">
        <v>0.1</v>
      </c>
      <c r="K501" s="5" t="s">
        <v>82</v>
      </c>
      <c r="L501" s="6">
        <v>517.374</v>
      </c>
      <c r="M501" s="5" t="s">
        <v>34</v>
      </c>
      <c r="N501" s="5" t="s">
        <v>69</v>
      </c>
      <c r="O501" s="5">
        <v>0</v>
      </c>
      <c r="P501" s="5" t="s">
        <v>1058</v>
      </c>
      <c r="Q501" s="5" t="s">
        <v>525</v>
      </c>
      <c r="R501" s="5">
        <v>25.34</v>
      </c>
      <c r="S501" s="4">
        <v>45457</v>
      </c>
      <c r="T501" s="4">
        <v>45466</v>
      </c>
      <c r="U501" s="5">
        <f t="shared" si="23"/>
        <v>9</v>
      </c>
      <c r="V501" s="5" t="s">
        <v>76</v>
      </c>
      <c r="X501" s="5"/>
    </row>
    <row r="502" spans="1:24">
      <c r="A502" s="4">
        <v>45387</v>
      </c>
      <c r="B502" s="5" t="str">
        <f t="shared" si="21"/>
        <v>April</v>
      </c>
      <c r="C502" s="5" t="s">
        <v>16</v>
      </c>
      <c r="D502" s="5" t="s">
        <v>26</v>
      </c>
      <c r="E502" s="5">
        <v>15</v>
      </c>
      <c r="F502" s="5">
        <v>405.95</v>
      </c>
      <c r="G502" s="6">
        <f t="shared" si="22"/>
        <v>6089.25</v>
      </c>
      <c r="H502" s="5" t="s">
        <v>81</v>
      </c>
      <c r="I502" s="5" t="s">
        <v>54</v>
      </c>
      <c r="J502" s="5">
        <v>0.15</v>
      </c>
      <c r="K502" s="5" t="s">
        <v>55</v>
      </c>
      <c r="L502" s="6">
        <v>5175.8625</v>
      </c>
      <c r="M502" s="5" t="s">
        <v>31</v>
      </c>
      <c r="N502" s="5"/>
      <c r="O502" s="5">
        <v>0</v>
      </c>
      <c r="P502" s="5" t="s">
        <v>1059</v>
      </c>
      <c r="Q502" s="5" t="s">
        <v>1060</v>
      </c>
      <c r="R502" s="5">
        <v>32.04</v>
      </c>
      <c r="S502" s="4">
        <v>45387</v>
      </c>
      <c r="T502" s="4">
        <v>45392</v>
      </c>
      <c r="U502" s="5">
        <f t="shared" si="23"/>
        <v>5</v>
      </c>
      <c r="V502" s="5" t="s">
        <v>59</v>
      </c>
      <c r="X502" s="5"/>
    </row>
    <row r="503" spans="1:24">
      <c r="A503" s="4">
        <v>44984</v>
      </c>
      <c r="B503" s="5" t="str">
        <f t="shared" si="21"/>
        <v>February</v>
      </c>
      <c r="C503" s="5" t="s">
        <v>18</v>
      </c>
      <c r="D503" s="5" t="s">
        <v>22</v>
      </c>
      <c r="E503" s="5">
        <v>1</v>
      </c>
      <c r="F503" s="5">
        <v>430.61</v>
      </c>
      <c r="G503" s="6">
        <f t="shared" si="22"/>
        <v>430.61</v>
      </c>
      <c r="H503" s="5" t="s">
        <v>53</v>
      </c>
      <c r="I503" s="5" t="s">
        <v>62</v>
      </c>
      <c r="J503" s="5">
        <v>0</v>
      </c>
      <c r="K503" s="5" t="s">
        <v>63</v>
      </c>
      <c r="L503" s="6">
        <v>430.61</v>
      </c>
      <c r="M503" s="5" t="s">
        <v>31</v>
      </c>
      <c r="N503" s="5" t="s">
        <v>69</v>
      </c>
      <c r="O503" s="5">
        <v>0</v>
      </c>
      <c r="P503" s="5" t="s">
        <v>1061</v>
      </c>
      <c r="Q503" s="5" t="s">
        <v>1062</v>
      </c>
      <c r="R503" s="5">
        <v>14.53</v>
      </c>
      <c r="S503" s="4">
        <v>44984</v>
      </c>
      <c r="T503" s="4">
        <v>44992</v>
      </c>
      <c r="U503" s="5">
        <f t="shared" si="23"/>
        <v>8</v>
      </c>
      <c r="V503" s="5" t="s">
        <v>72</v>
      </c>
      <c r="X503" s="5"/>
    </row>
    <row r="504" spans="1:24">
      <c r="A504" s="4">
        <v>45138</v>
      </c>
      <c r="B504" s="5" t="str">
        <f t="shared" si="21"/>
        <v>July</v>
      </c>
      <c r="C504" s="5" t="s">
        <v>20</v>
      </c>
      <c r="D504" s="5" t="s">
        <v>22</v>
      </c>
      <c r="E504" s="5">
        <v>5</v>
      </c>
      <c r="F504" s="5">
        <v>508.05</v>
      </c>
      <c r="G504" s="6">
        <f t="shared" si="22"/>
        <v>2540.25</v>
      </c>
      <c r="H504" s="5" t="s">
        <v>81</v>
      </c>
      <c r="I504" s="5" t="s">
        <v>62</v>
      </c>
      <c r="J504" s="5">
        <v>0</v>
      </c>
      <c r="K504" s="5" t="s">
        <v>73</v>
      </c>
      <c r="L504" s="6">
        <v>2540.25</v>
      </c>
      <c r="M504" s="5" t="s">
        <v>32</v>
      </c>
      <c r="N504" s="5" t="s">
        <v>69</v>
      </c>
      <c r="O504" s="5">
        <v>1</v>
      </c>
      <c r="P504" s="5" t="s">
        <v>1063</v>
      </c>
      <c r="Q504" s="5" t="s">
        <v>1064</v>
      </c>
      <c r="R504" s="5">
        <v>35.63</v>
      </c>
      <c r="S504" s="4">
        <v>45138</v>
      </c>
      <c r="T504" s="4">
        <v>45147</v>
      </c>
      <c r="U504" s="5">
        <f t="shared" si="23"/>
        <v>9</v>
      </c>
      <c r="V504" s="5" t="s">
        <v>94</v>
      </c>
      <c r="X504" s="5"/>
    </row>
    <row r="505" spans="1:24">
      <c r="A505" s="4">
        <v>44988</v>
      </c>
      <c r="B505" s="5" t="str">
        <f t="shared" si="21"/>
        <v>March</v>
      </c>
      <c r="C505" s="5" t="s">
        <v>20</v>
      </c>
      <c r="D505" s="5" t="s">
        <v>22</v>
      </c>
      <c r="E505" s="5">
        <v>13</v>
      </c>
      <c r="F505" s="5">
        <v>522.97</v>
      </c>
      <c r="G505" s="6">
        <f t="shared" si="22"/>
        <v>6798.61</v>
      </c>
      <c r="H505" s="5" t="s">
        <v>77</v>
      </c>
      <c r="I505" s="5" t="s">
        <v>62</v>
      </c>
      <c r="J505" s="5">
        <v>0.15</v>
      </c>
      <c r="K505" s="5" t="s">
        <v>78</v>
      </c>
      <c r="L505" s="6">
        <v>5778.8185</v>
      </c>
      <c r="M505" s="5" t="s">
        <v>33</v>
      </c>
      <c r="N505" s="5" t="s">
        <v>56</v>
      </c>
      <c r="O505" s="5">
        <v>0</v>
      </c>
      <c r="P505" s="5" t="s">
        <v>1065</v>
      </c>
      <c r="Q505" s="5" t="s">
        <v>1066</v>
      </c>
      <c r="R505" s="5">
        <v>33.9</v>
      </c>
      <c r="S505" s="4">
        <v>44988</v>
      </c>
      <c r="T505" s="4">
        <v>44995</v>
      </c>
      <c r="U505" s="5">
        <f t="shared" si="23"/>
        <v>7</v>
      </c>
      <c r="V505" s="5" t="s">
        <v>94</v>
      </c>
      <c r="X505" s="5"/>
    </row>
    <row r="506" spans="1:24">
      <c r="A506" s="4">
        <v>45042</v>
      </c>
      <c r="B506" s="5" t="str">
        <f t="shared" si="21"/>
        <v>April</v>
      </c>
      <c r="C506" s="5" t="s">
        <v>17</v>
      </c>
      <c r="D506" s="5" t="s">
        <v>22</v>
      </c>
      <c r="E506" s="5">
        <v>17</v>
      </c>
      <c r="F506" s="5">
        <v>260.25</v>
      </c>
      <c r="G506" s="6">
        <f t="shared" si="22"/>
        <v>4424.25</v>
      </c>
      <c r="H506" s="5" t="s">
        <v>81</v>
      </c>
      <c r="I506" s="5" t="s">
        <v>54</v>
      </c>
      <c r="J506" s="5">
        <v>0.1</v>
      </c>
      <c r="K506" s="5" t="s">
        <v>73</v>
      </c>
      <c r="L506" s="6">
        <v>3981.825</v>
      </c>
      <c r="M506" s="5" t="s">
        <v>32</v>
      </c>
      <c r="N506" s="5" t="s">
        <v>64</v>
      </c>
      <c r="O506" s="5">
        <v>0</v>
      </c>
      <c r="P506" s="5" t="s">
        <v>1067</v>
      </c>
      <c r="Q506" s="5" t="s">
        <v>1068</v>
      </c>
      <c r="R506" s="5">
        <v>23.26</v>
      </c>
      <c r="S506" s="4">
        <v>45042</v>
      </c>
      <c r="T506" s="4">
        <v>45044</v>
      </c>
      <c r="U506" s="5">
        <f t="shared" si="23"/>
        <v>2</v>
      </c>
      <c r="V506" s="5" t="s">
        <v>67</v>
      </c>
      <c r="X506" s="5"/>
    </row>
    <row r="507" spans="1:24">
      <c r="A507" s="4">
        <v>45584</v>
      </c>
      <c r="B507" s="5" t="str">
        <f t="shared" si="21"/>
        <v>October</v>
      </c>
      <c r="C507" s="5" t="s">
        <v>16</v>
      </c>
      <c r="D507" s="5" t="s">
        <v>23</v>
      </c>
      <c r="E507" s="5">
        <v>6</v>
      </c>
      <c r="F507" s="5">
        <v>549.21</v>
      </c>
      <c r="G507" s="6">
        <f t="shared" si="22"/>
        <v>3295.26</v>
      </c>
      <c r="H507" s="5" t="s">
        <v>53</v>
      </c>
      <c r="I507" s="5" t="s">
        <v>62</v>
      </c>
      <c r="J507" s="5">
        <v>0.1</v>
      </c>
      <c r="K507" s="5" t="s">
        <v>55</v>
      </c>
      <c r="L507" s="6">
        <v>2965.734</v>
      </c>
      <c r="M507" s="5" t="s">
        <v>32</v>
      </c>
      <c r="N507" s="5" t="s">
        <v>69</v>
      </c>
      <c r="O507" s="5">
        <v>1</v>
      </c>
      <c r="P507" s="5" t="s">
        <v>1069</v>
      </c>
      <c r="Q507" s="5" t="s">
        <v>1070</v>
      </c>
      <c r="R507" s="5">
        <v>12.29</v>
      </c>
      <c r="S507" s="4">
        <v>45584</v>
      </c>
      <c r="T507" s="4">
        <v>45592</v>
      </c>
      <c r="U507" s="5">
        <f t="shared" si="23"/>
        <v>8</v>
      </c>
      <c r="V507" s="5" t="s">
        <v>59</v>
      </c>
      <c r="X507" s="5"/>
    </row>
    <row r="508" spans="1:24">
      <c r="A508" s="4">
        <v>45473</v>
      </c>
      <c r="B508" s="5" t="str">
        <f t="shared" si="21"/>
        <v>June</v>
      </c>
      <c r="C508" s="5" t="s">
        <v>19</v>
      </c>
      <c r="D508" s="5" t="s">
        <v>27</v>
      </c>
      <c r="E508" s="5">
        <v>17</v>
      </c>
      <c r="F508" s="5">
        <v>472.33</v>
      </c>
      <c r="G508" s="6">
        <f t="shared" si="22"/>
        <v>8029.61</v>
      </c>
      <c r="H508" s="5" t="s">
        <v>77</v>
      </c>
      <c r="I508" s="5" t="s">
        <v>62</v>
      </c>
      <c r="J508" s="5">
        <v>0.15</v>
      </c>
      <c r="K508" s="5" t="s">
        <v>78</v>
      </c>
      <c r="L508" s="6">
        <v>6825.1685</v>
      </c>
      <c r="M508" s="5" t="s">
        <v>33</v>
      </c>
      <c r="N508" s="5" t="s">
        <v>69</v>
      </c>
      <c r="O508" s="5">
        <v>0</v>
      </c>
      <c r="P508" s="5" t="s">
        <v>1071</v>
      </c>
      <c r="Q508" s="5" t="s">
        <v>1072</v>
      </c>
      <c r="R508" s="5">
        <v>22.63</v>
      </c>
      <c r="S508" s="4">
        <v>45473</v>
      </c>
      <c r="T508" s="4">
        <v>45477</v>
      </c>
      <c r="U508" s="5">
        <f t="shared" si="23"/>
        <v>4</v>
      </c>
      <c r="V508" s="5" t="s">
        <v>76</v>
      </c>
      <c r="X508" s="5"/>
    </row>
    <row r="509" spans="1:24">
      <c r="A509" s="4">
        <v>45576</v>
      </c>
      <c r="B509" s="5" t="str">
        <f t="shared" si="21"/>
        <v>October</v>
      </c>
      <c r="C509" s="5" t="s">
        <v>20</v>
      </c>
      <c r="D509" s="5" t="s">
        <v>22</v>
      </c>
      <c r="E509" s="5">
        <v>9</v>
      </c>
      <c r="F509" s="5">
        <v>596.83</v>
      </c>
      <c r="G509" s="6">
        <f t="shared" si="22"/>
        <v>5371.47</v>
      </c>
      <c r="H509" s="5" t="s">
        <v>61</v>
      </c>
      <c r="I509" s="5" t="s">
        <v>62</v>
      </c>
      <c r="J509" s="5">
        <v>0</v>
      </c>
      <c r="K509" s="5" t="s">
        <v>55</v>
      </c>
      <c r="L509" s="6">
        <v>5371.47</v>
      </c>
      <c r="M509" s="5" t="s">
        <v>34</v>
      </c>
      <c r="N509" s="5" t="s">
        <v>69</v>
      </c>
      <c r="O509" s="5">
        <v>0</v>
      </c>
      <c r="P509" s="5" t="s">
        <v>1073</v>
      </c>
      <c r="Q509" s="5" t="s">
        <v>229</v>
      </c>
      <c r="R509" s="5">
        <v>6.43</v>
      </c>
      <c r="S509" s="4">
        <v>45576</v>
      </c>
      <c r="T509" s="4">
        <v>45584</v>
      </c>
      <c r="U509" s="5">
        <f t="shared" si="23"/>
        <v>8</v>
      </c>
      <c r="V509" s="5" t="s">
        <v>94</v>
      </c>
      <c r="X509" s="5"/>
    </row>
    <row r="510" spans="1:24">
      <c r="A510" s="4">
        <v>45822</v>
      </c>
      <c r="B510" s="5" t="str">
        <f t="shared" si="21"/>
        <v>June</v>
      </c>
      <c r="C510" s="5" t="s">
        <v>19</v>
      </c>
      <c r="D510" s="5" t="s">
        <v>26</v>
      </c>
      <c r="E510" s="5">
        <v>15</v>
      </c>
      <c r="F510" s="5">
        <v>154.04</v>
      </c>
      <c r="G510" s="6">
        <f t="shared" si="22"/>
        <v>2310.6</v>
      </c>
      <c r="H510" s="5" t="s">
        <v>81</v>
      </c>
      <c r="I510" s="5" t="s">
        <v>62</v>
      </c>
      <c r="J510" s="5">
        <v>0.1</v>
      </c>
      <c r="K510" s="5" t="s">
        <v>63</v>
      </c>
      <c r="L510" s="6">
        <v>2079.54</v>
      </c>
      <c r="M510" s="5" t="s">
        <v>34</v>
      </c>
      <c r="N510" s="5" t="s">
        <v>56</v>
      </c>
      <c r="O510" s="5">
        <v>1</v>
      </c>
      <c r="P510" s="5" t="s">
        <v>1074</v>
      </c>
      <c r="Q510" s="5" t="s">
        <v>1075</v>
      </c>
      <c r="R510" s="5">
        <v>24.53</v>
      </c>
      <c r="S510" s="4">
        <v>45822</v>
      </c>
      <c r="T510" s="4">
        <v>45831</v>
      </c>
      <c r="U510" s="5">
        <f t="shared" si="23"/>
        <v>9</v>
      </c>
      <c r="V510" s="5" t="s">
        <v>76</v>
      </c>
      <c r="X510" s="5"/>
    </row>
    <row r="511" spans="1:24">
      <c r="A511" s="4">
        <v>45648</v>
      </c>
      <c r="B511" s="5" t="str">
        <f t="shared" si="21"/>
        <v>December</v>
      </c>
      <c r="C511" s="5" t="s">
        <v>16</v>
      </c>
      <c r="D511" s="5" t="s">
        <v>22</v>
      </c>
      <c r="E511" s="5">
        <v>18</v>
      </c>
      <c r="F511" s="5">
        <v>500.44</v>
      </c>
      <c r="G511" s="6">
        <f t="shared" si="22"/>
        <v>9007.92</v>
      </c>
      <c r="H511" s="5" t="s">
        <v>81</v>
      </c>
      <c r="I511" s="5" t="s">
        <v>54</v>
      </c>
      <c r="J511" s="5">
        <v>0.1</v>
      </c>
      <c r="K511" s="5" t="s">
        <v>89</v>
      </c>
      <c r="L511" s="6">
        <v>8107.128</v>
      </c>
      <c r="M511" s="5" t="s">
        <v>32</v>
      </c>
      <c r="N511" s="5"/>
      <c r="O511" s="5">
        <v>0</v>
      </c>
      <c r="P511" s="5" t="s">
        <v>1076</v>
      </c>
      <c r="Q511" s="5" t="s">
        <v>1077</v>
      </c>
      <c r="R511" s="5">
        <v>8.87</v>
      </c>
      <c r="S511" s="4">
        <v>45648</v>
      </c>
      <c r="T511" s="4">
        <v>45656</v>
      </c>
      <c r="U511" s="5">
        <f t="shared" si="23"/>
        <v>8</v>
      </c>
      <c r="V511" s="5" t="s">
        <v>59</v>
      </c>
      <c r="X511" s="5"/>
    </row>
    <row r="512" spans="1:24">
      <c r="A512" s="4">
        <v>45404</v>
      </c>
      <c r="B512" s="5" t="str">
        <f t="shared" si="21"/>
        <v>April</v>
      </c>
      <c r="C512" s="5" t="s">
        <v>20</v>
      </c>
      <c r="D512" s="5" t="s">
        <v>101</v>
      </c>
      <c r="E512" s="5">
        <v>5</v>
      </c>
      <c r="F512" s="5">
        <v>382.17</v>
      </c>
      <c r="G512" s="6">
        <f t="shared" si="22"/>
        <v>1910.85</v>
      </c>
      <c r="H512" s="5" t="s">
        <v>77</v>
      </c>
      <c r="I512" s="5" t="s">
        <v>54</v>
      </c>
      <c r="J512" s="5">
        <v>0</v>
      </c>
      <c r="K512" s="5" t="s">
        <v>82</v>
      </c>
      <c r="L512" s="6">
        <v>1910.85</v>
      </c>
      <c r="M512" s="5" t="s">
        <v>32</v>
      </c>
      <c r="N512" s="5" t="s">
        <v>56</v>
      </c>
      <c r="O512" s="5">
        <v>0</v>
      </c>
      <c r="P512" s="5" t="s">
        <v>1078</v>
      </c>
      <c r="Q512" s="5" t="s">
        <v>1079</v>
      </c>
      <c r="R512" s="5">
        <v>17.72</v>
      </c>
      <c r="S512" s="4">
        <v>45404</v>
      </c>
      <c r="T512" s="4">
        <v>45407</v>
      </c>
      <c r="U512" s="5">
        <f t="shared" si="23"/>
        <v>3</v>
      </c>
      <c r="V512" s="5" t="s">
        <v>94</v>
      </c>
      <c r="X512" s="5"/>
    </row>
    <row r="513" spans="1:24">
      <c r="A513" s="4">
        <v>45682</v>
      </c>
      <c r="B513" s="5" t="str">
        <f t="shared" si="21"/>
        <v>January</v>
      </c>
      <c r="C513" s="5" t="s">
        <v>18</v>
      </c>
      <c r="D513" s="5" t="s">
        <v>25</v>
      </c>
      <c r="E513" s="5">
        <v>3</v>
      </c>
      <c r="F513" s="5">
        <v>365.54</v>
      </c>
      <c r="G513" s="6">
        <f t="shared" si="22"/>
        <v>1096.62</v>
      </c>
      <c r="H513" s="5" t="s">
        <v>53</v>
      </c>
      <c r="I513" s="5" t="s">
        <v>62</v>
      </c>
      <c r="J513" s="5">
        <v>0.15</v>
      </c>
      <c r="K513" s="5" t="s">
        <v>73</v>
      </c>
      <c r="L513" s="6">
        <v>932.127</v>
      </c>
      <c r="M513" s="5" t="s">
        <v>30</v>
      </c>
      <c r="N513" s="5"/>
      <c r="O513" s="5">
        <v>0</v>
      </c>
      <c r="P513" s="5" t="s">
        <v>1080</v>
      </c>
      <c r="Q513" s="5" t="s">
        <v>1081</v>
      </c>
      <c r="R513" s="5">
        <v>45.89</v>
      </c>
      <c r="S513" s="4">
        <v>45682</v>
      </c>
      <c r="T513" s="4">
        <v>45686</v>
      </c>
      <c r="U513" s="5">
        <f t="shared" si="23"/>
        <v>4</v>
      </c>
      <c r="V513" s="5" t="s">
        <v>72</v>
      </c>
      <c r="X513" s="5"/>
    </row>
    <row r="514" spans="1:24">
      <c r="A514" s="4">
        <v>45609</v>
      </c>
      <c r="B514" s="5" t="str">
        <f t="shared" si="21"/>
        <v>November</v>
      </c>
      <c r="C514" s="5" t="s">
        <v>18</v>
      </c>
      <c r="D514" s="5" t="s">
        <v>22</v>
      </c>
      <c r="E514" s="5">
        <v>5</v>
      </c>
      <c r="F514" s="5">
        <v>270.13</v>
      </c>
      <c r="G514" s="6">
        <f t="shared" si="22"/>
        <v>1350.65</v>
      </c>
      <c r="H514" s="5" t="s">
        <v>77</v>
      </c>
      <c r="I514" s="5" t="s">
        <v>62</v>
      </c>
      <c r="J514" s="5">
        <v>0.15</v>
      </c>
      <c r="K514" s="5" t="s">
        <v>55</v>
      </c>
      <c r="L514" s="6">
        <v>1148.0525</v>
      </c>
      <c r="M514" s="5" t="s">
        <v>32</v>
      </c>
      <c r="N514" s="5"/>
      <c r="O514" s="5">
        <v>0</v>
      </c>
      <c r="P514" s="5" t="s">
        <v>1082</v>
      </c>
      <c r="Q514" s="5" t="s">
        <v>1083</v>
      </c>
      <c r="R514" s="5">
        <v>15.74</v>
      </c>
      <c r="S514" s="4">
        <v>45609</v>
      </c>
      <c r="T514" s="4">
        <v>45615</v>
      </c>
      <c r="U514" s="5">
        <f t="shared" si="23"/>
        <v>6</v>
      </c>
      <c r="V514" s="5" t="s">
        <v>72</v>
      </c>
      <c r="X514" s="5"/>
    </row>
    <row r="515" spans="1:24">
      <c r="A515" s="4">
        <v>45001</v>
      </c>
      <c r="B515" s="5" t="str">
        <f t="shared" ref="B515:B578" si="24">TEXT(A515,"mmmm")</f>
        <v>March</v>
      </c>
      <c r="C515" s="5" t="s">
        <v>16</v>
      </c>
      <c r="D515" s="5" t="s">
        <v>101</v>
      </c>
      <c r="E515" s="5">
        <v>2</v>
      </c>
      <c r="F515" s="5">
        <v>480.15</v>
      </c>
      <c r="G515" s="6">
        <f t="shared" ref="G515:G578" si="25">F515*E515</f>
        <v>960.3</v>
      </c>
      <c r="H515" s="5" t="s">
        <v>81</v>
      </c>
      <c r="I515" s="5" t="s">
        <v>62</v>
      </c>
      <c r="J515" s="5">
        <v>0.15</v>
      </c>
      <c r="K515" s="5" t="s">
        <v>82</v>
      </c>
      <c r="L515" s="6">
        <v>816.255</v>
      </c>
      <c r="M515" s="5" t="s">
        <v>30</v>
      </c>
      <c r="N515" s="5"/>
      <c r="O515" s="5">
        <v>0</v>
      </c>
      <c r="P515" s="5" t="s">
        <v>1084</v>
      </c>
      <c r="Q515" s="5" t="s">
        <v>1085</v>
      </c>
      <c r="R515" s="5">
        <v>42.07</v>
      </c>
      <c r="S515" s="4">
        <v>45001</v>
      </c>
      <c r="T515" s="4">
        <v>45006</v>
      </c>
      <c r="U515" s="5">
        <f t="shared" ref="U515:U578" si="26">T515-S515</f>
        <v>5</v>
      </c>
      <c r="V515" s="5" t="s">
        <v>59</v>
      </c>
      <c r="X515" s="5"/>
    </row>
    <row r="516" spans="1:24">
      <c r="A516" s="4">
        <v>45052</v>
      </c>
      <c r="B516" s="5" t="str">
        <f t="shared" si="24"/>
        <v>May</v>
      </c>
      <c r="C516" s="5" t="s">
        <v>18</v>
      </c>
      <c r="D516" s="5" t="s">
        <v>22</v>
      </c>
      <c r="E516" s="5">
        <v>18</v>
      </c>
      <c r="F516" s="5">
        <v>414.77</v>
      </c>
      <c r="G516" s="6">
        <f t="shared" si="25"/>
        <v>7465.86</v>
      </c>
      <c r="H516" s="5" t="s">
        <v>77</v>
      </c>
      <c r="I516" s="5" t="s">
        <v>54</v>
      </c>
      <c r="J516" s="5">
        <v>0.1</v>
      </c>
      <c r="K516" s="5" t="s">
        <v>55</v>
      </c>
      <c r="L516" s="6">
        <v>6719.274</v>
      </c>
      <c r="M516" s="5" t="s">
        <v>32</v>
      </c>
      <c r="N516" s="5"/>
      <c r="O516" s="5">
        <v>1</v>
      </c>
      <c r="P516" s="5" t="s">
        <v>1086</v>
      </c>
      <c r="Q516" s="5" t="s">
        <v>1087</v>
      </c>
      <c r="R516" s="5">
        <v>28.55</v>
      </c>
      <c r="S516" s="4">
        <v>45052</v>
      </c>
      <c r="T516" s="4">
        <v>45061</v>
      </c>
      <c r="U516" s="5">
        <f t="shared" si="26"/>
        <v>9</v>
      </c>
      <c r="V516" s="5" t="s">
        <v>72</v>
      </c>
      <c r="X516" s="5"/>
    </row>
    <row r="517" spans="1:24">
      <c r="A517" s="4">
        <v>45611</v>
      </c>
      <c r="B517" s="5" t="str">
        <f t="shared" si="24"/>
        <v>November</v>
      </c>
      <c r="C517" s="5" t="s">
        <v>16</v>
      </c>
      <c r="D517" s="5" t="s">
        <v>26</v>
      </c>
      <c r="E517" s="5">
        <v>10</v>
      </c>
      <c r="F517" s="5">
        <v>98.24</v>
      </c>
      <c r="G517" s="6">
        <f t="shared" si="25"/>
        <v>982.4</v>
      </c>
      <c r="H517" s="5" t="s">
        <v>77</v>
      </c>
      <c r="I517" s="5" t="s">
        <v>54</v>
      </c>
      <c r="J517" s="5">
        <v>0</v>
      </c>
      <c r="K517" s="5" t="s">
        <v>73</v>
      </c>
      <c r="L517" s="6">
        <v>982.4</v>
      </c>
      <c r="M517" s="5" t="s">
        <v>32</v>
      </c>
      <c r="N517" s="5" t="s">
        <v>56</v>
      </c>
      <c r="O517" s="5">
        <v>1</v>
      </c>
      <c r="P517" s="5" t="s">
        <v>1088</v>
      </c>
      <c r="Q517" s="5" t="s">
        <v>651</v>
      </c>
      <c r="R517" s="5">
        <v>21.01</v>
      </c>
      <c r="S517" s="4">
        <v>45611</v>
      </c>
      <c r="T517" s="4">
        <v>45613</v>
      </c>
      <c r="U517" s="5">
        <f t="shared" si="26"/>
        <v>2</v>
      </c>
      <c r="V517" s="5" t="s">
        <v>59</v>
      </c>
      <c r="X517" s="5"/>
    </row>
    <row r="518" spans="1:24">
      <c r="A518" s="4">
        <v>45471</v>
      </c>
      <c r="B518" s="5" t="str">
        <f t="shared" si="24"/>
        <v>June</v>
      </c>
      <c r="C518" s="5" t="s">
        <v>19</v>
      </c>
      <c r="D518" s="5" t="s">
        <v>22</v>
      </c>
      <c r="E518" s="5">
        <v>6</v>
      </c>
      <c r="F518" s="5">
        <v>227.6</v>
      </c>
      <c r="G518" s="6">
        <f t="shared" si="25"/>
        <v>1365.6</v>
      </c>
      <c r="H518" s="5" t="s">
        <v>81</v>
      </c>
      <c r="I518" s="5" t="s">
        <v>62</v>
      </c>
      <c r="J518" s="5">
        <v>0.05</v>
      </c>
      <c r="K518" s="5" t="s">
        <v>78</v>
      </c>
      <c r="L518" s="6">
        <v>1297.32</v>
      </c>
      <c r="M518" s="5" t="s">
        <v>33</v>
      </c>
      <c r="N518" s="5" t="s">
        <v>56</v>
      </c>
      <c r="O518" s="5">
        <v>0</v>
      </c>
      <c r="P518" s="5" t="s">
        <v>1089</v>
      </c>
      <c r="Q518" s="5" t="s">
        <v>1090</v>
      </c>
      <c r="R518" s="5">
        <v>38.22</v>
      </c>
      <c r="S518" s="4">
        <v>45471</v>
      </c>
      <c r="T518" s="4">
        <v>45478</v>
      </c>
      <c r="U518" s="5">
        <f t="shared" si="26"/>
        <v>7</v>
      </c>
      <c r="V518" s="5" t="s">
        <v>76</v>
      </c>
      <c r="X518" s="5"/>
    </row>
    <row r="519" spans="1:24">
      <c r="A519" s="4">
        <v>45788</v>
      </c>
      <c r="B519" s="5" t="str">
        <f t="shared" si="24"/>
        <v>May</v>
      </c>
      <c r="C519" s="5" t="s">
        <v>19</v>
      </c>
      <c r="D519" s="5" t="s">
        <v>26</v>
      </c>
      <c r="E519" s="5">
        <v>5</v>
      </c>
      <c r="F519" s="5">
        <v>136.13</v>
      </c>
      <c r="G519" s="6">
        <f t="shared" si="25"/>
        <v>680.65</v>
      </c>
      <c r="H519" s="5" t="s">
        <v>77</v>
      </c>
      <c r="I519" s="5" t="s">
        <v>62</v>
      </c>
      <c r="J519" s="5">
        <v>0.15</v>
      </c>
      <c r="K519" s="5" t="s">
        <v>78</v>
      </c>
      <c r="L519" s="6">
        <v>578.5525</v>
      </c>
      <c r="M519" s="5" t="s">
        <v>30</v>
      </c>
      <c r="N519" s="5"/>
      <c r="O519" s="5">
        <v>0</v>
      </c>
      <c r="P519" s="5" t="s">
        <v>1091</v>
      </c>
      <c r="Q519" s="5" t="s">
        <v>1092</v>
      </c>
      <c r="R519" s="5">
        <v>10.02</v>
      </c>
      <c r="S519" s="4">
        <v>45788</v>
      </c>
      <c r="T519" s="4">
        <v>45797</v>
      </c>
      <c r="U519" s="5">
        <f t="shared" si="26"/>
        <v>9</v>
      </c>
      <c r="V519" s="5" t="s">
        <v>76</v>
      </c>
      <c r="X519" s="5"/>
    </row>
    <row r="520" spans="1:24">
      <c r="A520" s="4">
        <v>44983</v>
      </c>
      <c r="B520" s="5" t="str">
        <f t="shared" si="24"/>
        <v>February</v>
      </c>
      <c r="C520" s="5" t="s">
        <v>19</v>
      </c>
      <c r="D520" s="5" t="s">
        <v>101</v>
      </c>
      <c r="E520" s="5">
        <v>5</v>
      </c>
      <c r="F520" s="5">
        <v>489.13</v>
      </c>
      <c r="G520" s="6">
        <f t="shared" si="25"/>
        <v>2445.65</v>
      </c>
      <c r="H520" s="5" t="s">
        <v>77</v>
      </c>
      <c r="I520" s="5" t="s">
        <v>62</v>
      </c>
      <c r="J520" s="5">
        <v>0.1</v>
      </c>
      <c r="K520" s="5" t="s">
        <v>82</v>
      </c>
      <c r="L520" s="6">
        <v>2201.085</v>
      </c>
      <c r="M520" s="5" t="s">
        <v>31</v>
      </c>
      <c r="N520" s="5" t="s">
        <v>56</v>
      </c>
      <c r="O520" s="5">
        <v>0</v>
      </c>
      <c r="P520" s="5" t="s">
        <v>1093</v>
      </c>
      <c r="Q520" s="5" t="s">
        <v>1094</v>
      </c>
      <c r="R520" s="5">
        <v>44.73</v>
      </c>
      <c r="S520" s="4">
        <v>44983</v>
      </c>
      <c r="T520" s="4">
        <v>44989</v>
      </c>
      <c r="U520" s="5">
        <f t="shared" si="26"/>
        <v>6</v>
      </c>
      <c r="V520" s="5" t="s">
        <v>76</v>
      </c>
      <c r="X520" s="5"/>
    </row>
    <row r="521" spans="1:24">
      <c r="A521" s="4">
        <v>45412</v>
      </c>
      <c r="B521" s="5" t="str">
        <f t="shared" si="24"/>
        <v>April</v>
      </c>
      <c r="C521" s="5" t="s">
        <v>17</v>
      </c>
      <c r="D521" s="5" t="s">
        <v>22</v>
      </c>
      <c r="E521" s="5">
        <v>4</v>
      </c>
      <c r="F521" s="5">
        <v>414.36</v>
      </c>
      <c r="G521" s="6">
        <f t="shared" si="25"/>
        <v>1657.44</v>
      </c>
      <c r="H521" s="5" t="s">
        <v>61</v>
      </c>
      <c r="I521" s="5" t="s">
        <v>62</v>
      </c>
      <c r="J521" s="5">
        <v>0</v>
      </c>
      <c r="K521" s="5" t="s">
        <v>89</v>
      </c>
      <c r="L521" s="6">
        <v>1657.44</v>
      </c>
      <c r="M521" s="5" t="s">
        <v>33</v>
      </c>
      <c r="N521" s="5" t="s">
        <v>56</v>
      </c>
      <c r="O521" s="5">
        <v>0</v>
      </c>
      <c r="P521" s="5" t="s">
        <v>1095</v>
      </c>
      <c r="Q521" s="5" t="s">
        <v>1096</v>
      </c>
      <c r="R521" s="5">
        <v>8.02</v>
      </c>
      <c r="S521" s="4">
        <v>45412</v>
      </c>
      <c r="T521" s="4">
        <v>45419</v>
      </c>
      <c r="U521" s="5">
        <f t="shared" si="26"/>
        <v>7</v>
      </c>
      <c r="V521" s="5" t="s">
        <v>67</v>
      </c>
      <c r="X521" s="5"/>
    </row>
    <row r="522" spans="1:24">
      <c r="A522" s="4">
        <v>45727</v>
      </c>
      <c r="B522" s="5" t="str">
        <f t="shared" si="24"/>
        <v>March</v>
      </c>
      <c r="C522" s="5" t="s">
        <v>16</v>
      </c>
      <c r="D522" s="5" t="s">
        <v>22</v>
      </c>
      <c r="E522" s="5">
        <v>6</v>
      </c>
      <c r="F522" s="5">
        <v>138.26</v>
      </c>
      <c r="G522" s="6">
        <f t="shared" si="25"/>
        <v>829.56</v>
      </c>
      <c r="H522" s="5" t="s">
        <v>53</v>
      </c>
      <c r="I522" s="5" t="s">
        <v>62</v>
      </c>
      <c r="J522" s="5">
        <v>0.15</v>
      </c>
      <c r="K522" s="5" t="s">
        <v>55</v>
      </c>
      <c r="L522" s="6">
        <v>705.126</v>
      </c>
      <c r="M522" s="5" t="s">
        <v>30</v>
      </c>
      <c r="N522" s="5"/>
      <c r="O522" s="5">
        <v>1</v>
      </c>
      <c r="P522" s="5" t="s">
        <v>1097</v>
      </c>
      <c r="Q522" s="5" t="s">
        <v>1098</v>
      </c>
      <c r="R522" s="5">
        <v>31.4</v>
      </c>
      <c r="S522" s="4">
        <v>45727</v>
      </c>
      <c r="T522" s="4">
        <v>45729</v>
      </c>
      <c r="U522" s="5">
        <f t="shared" si="26"/>
        <v>2</v>
      </c>
      <c r="V522" s="5" t="s">
        <v>59</v>
      </c>
      <c r="X522" s="5"/>
    </row>
    <row r="523" spans="1:24">
      <c r="A523" s="4">
        <v>45838</v>
      </c>
      <c r="B523" s="5" t="str">
        <f t="shared" si="24"/>
        <v>June</v>
      </c>
      <c r="C523" s="5" t="s">
        <v>16</v>
      </c>
      <c r="D523" s="5" t="s">
        <v>23</v>
      </c>
      <c r="E523" s="5">
        <v>12</v>
      </c>
      <c r="F523" s="5">
        <v>487.57</v>
      </c>
      <c r="G523" s="6">
        <f t="shared" si="25"/>
        <v>5850.84</v>
      </c>
      <c r="H523" s="5" t="s">
        <v>61</v>
      </c>
      <c r="I523" s="5" t="s">
        <v>54</v>
      </c>
      <c r="J523" s="5">
        <v>0.05</v>
      </c>
      <c r="K523" s="5" t="s">
        <v>55</v>
      </c>
      <c r="L523" s="6">
        <v>5558.298</v>
      </c>
      <c r="M523" s="5" t="s">
        <v>34</v>
      </c>
      <c r="N523" s="5"/>
      <c r="O523" s="5">
        <v>0</v>
      </c>
      <c r="P523" s="5" t="s">
        <v>1099</v>
      </c>
      <c r="Q523" s="5" t="s">
        <v>1100</v>
      </c>
      <c r="R523" s="5">
        <v>37.33</v>
      </c>
      <c r="S523" s="4">
        <v>45838</v>
      </c>
      <c r="T523" s="4">
        <v>45848</v>
      </c>
      <c r="U523" s="5">
        <f t="shared" si="26"/>
        <v>10</v>
      </c>
      <c r="V523" s="5" t="s">
        <v>59</v>
      </c>
      <c r="X523" s="5"/>
    </row>
    <row r="524" spans="1:24">
      <c r="A524" s="4">
        <v>45445</v>
      </c>
      <c r="B524" s="5" t="str">
        <f t="shared" si="24"/>
        <v>June</v>
      </c>
      <c r="C524" s="5" t="s">
        <v>18</v>
      </c>
      <c r="D524" s="5" t="s">
        <v>25</v>
      </c>
      <c r="E524" s="5">
        <v>20</v>
      </c>
      <c r="F524" s="5">
        <v>427.3</v>
      </c>
      <c r="G524" s="6">
        <f t="shared" si="25"/>
        <v>8546</v>
      </c>
      <c r="H524" s="5" t="s">
        <v>77</v>
      </c>
      <c r="I524" s="5" t="s">
        <v>54</v>
      </c>
      <c r="J524" s="5">
        <v>0.05</v>
      </c>
      <c r="K524" s="5" t="s">
        <v>73</v>
      </c>
      <c r="L524" s="6">
        <v>8118.7</v>
      </c>
      <c r="M524" s="5" t="s">
        <v>31</v>
      </c>
      <c r="N524" s="5" t="s">
        <v>56</v>
      </c>
      <c r="O524" s="5">
        <v>1</v>
      </c>
      <c r="P524" s="5" t="s">
        <v>1101</v>
      </c>
      <c r="Q524" s="5" t="s">
        <v>1102</v>
      </c>
      <c r="R524" s="5">
        <v>25.19</v>
      </c>
      <c r="S524" s="4">
        <v>45445</v>
      </c>
      <c r="T524" s="4">
        <v>45451</v>
      </c>
      <c r="U524" s="5">
        <f t="shared" si="26"/>
        <v>6</v>
      </c>
      <c r="V524" s="5" t="s">
        <v>72</v>
      </c>
      <c r="X524" s="5"/>
    </row>
    <row r="525" spans="1:24">
      <c r="A525" s="4">
        <v>45536</v>
      </c>
      <c r="B525" s="5" t="str">
        <f t="shared" si="24"/>
        <v>September</v>
      </c>
      <c r="C525" s="5" t="s">
        <v>17</v>
      </c>
      <c r="D525" s="5" t="s">
        <v>22</v>
      </c>
      <c r="E525" s="5">
        <v>16</v>
      </c>
      <c r="F525" s="5">
        <v>588.92</v>
      </c>
      <c r="G525" s="6">
        <f t="shared" si="25"/>
        <v>9422.72</v>
      </c>
      <c r="H525" s="5" t="s">
        <v>81</v>
      </c>
      <c r="I525" s="5" t="s">
        <v>54</v>
      </c>
      <c r="J525" s="5">
        <v>0.15</v>
      </c>
      <c r="K525" s="5" t="s">
        <v>63</v>
      </c>
      <c r="L525" s="6">
        <v>8009.312</v>
      </c>
      <c r="M525" s="5" t="s">
        <v>34</v>
      </c>
      <c r="N525" s="5" t="s">
        <v>56</v>
      </c>
      <c r="O525" s="5">
        <v>0</v>
      </c>
      <c r="P525" s="5" t="s">
        <v>1103</v>
      </c>
      <c r="Q525" s="5" t="s">
        <v>1104</v>
      </c>
      <c r="R525" s="5">
        <v>7.89</v>
      </c>
      <c r="S525" s="4">
        <v>45536</v>
      </c>
      <c r="T525" s="4">
        <v>45540</v>
      </c>
      <c r="U525" s="5">
        <f t="shared" si="26"/>
        <v>4</v>
      </c>
      <c r="V525" s="5" t="s">
        <v>67</v>
      </c>
      <c r="X525" s="5"/>
    </row>
    <row r="526" spans="1:24">
      <c r="A526" s="4">
        <v>45668</v>
      </c>
      <c r="B526" s="5" t="str">
        <f t="shared" si="24"/>
        <v>January</v>
      </c>
      <c r="C526" s="5" t="s">
        <v>17</v>
      </c>
      <c r="D526" s="5" t="s">
        <v>22</v>
      </c>
      <c r="E526" s="5">
        <v>6</v>
      </c>
      <c r="F526" s="5">
        <v>429.45</v>
      </c>
      <c r="G526" s="6">
        <f t="shared" si="25"/>
        <v>2576.7</v>
      </c>
      <c r="H526" s="5" t="s">
        <v>53</v>
      </c>
      <c r="I526" s="5" t="s">
        <v>62</v>
      </c>
      <c r="J526" s="5">
        <v>0.1</v>
      </c>
      <c r="K526" s="5" t="s">
        <v>63</v>
      </c>
      <c r="L526" s="6">
        <v>2319.03</v>
      </c>
      <c r="M526" s="5" t="s">
        <v>34</v>
      </c>
      <c r="N526" s="5"/>
      <c r="O526" s="5">
        <v>0</v>
      </c>
      <c r="P526" s="5" t="s">
        <v>1105</v>
      </c>
      <c r="Q526" s="5" t="s">
        <v>1106</v>
      </c>
      <c r="R526" s="5">
        <v>47.18</v>
      </c>
      <c r="S526" s="4">
        <v>45668</v>
      </c>
      <c r="T526" s="4">
        <v>45675</v>
      </c>
      <c r="U526" s="5">
        <f t="shared" si="26"/>
        <v>7</v>
      </c>
      <c r="V526" s="5" t="s">
        <v>67</v>
      </c>
      <c r="X526" s="5"/>
    </row>
    <row r="527" spans="1:24">
      <c r="A527" s="4">
        <v>45747</v>
      </c>
      <c r="B527" s="5" t="str">
        <f t="shared" si="24"/>
        <v>March</v>
      </c>
      <c r="C527" s="5" t="s">
        <v>17</v>
      </c>
      <c r="D527" s="5" t="s">
        <v>23</v>
      </c>
      <c r="E527" s="5">
        <v>1</v>
      </c>
      <c r="F527" s="5">
        <v>476</v>
      </c>
      <c r="G527" s="6">
        <f t="shared" si="25"/>
        <v>476</v>
      </c>
      <c r="H527" s="5" t="s">
        <v>61</v>
      </c>
      <c r="I527" s="5" t="s">
        <v>54</v>
      </c>
      <c r="J527" s="5">
        <v>0.15</v>
      </c>
      <c r="K527" s="5" t="s">
        <v>78</v>
      </c>
      <c r="L527" s="6">
        <v>404.6</v>
      </c>
      <c r="M527" s="5" t="s">
        <v>34</v>
      </c>
      <c r="N527" s="5" t="s">
        <v>56</v>
      </c>
      <c r="O527" s="5">
        <v>0</v>
      </c>
      <c r="P527" s="5" t="s">
        <v>1107</v>
      </c>
      <c r="Q527" s="5" t="s">
        <v>1108</v>
      </c>
      <c r="R527" s="5">
        <v>18.95</v>
      </c>
      <c r="S527" s="4">
        <v>45747</v>
      </c>
      <c r="T527" s="4">
        <v>45750</v>
      </c>
      <c r="U527" s="5">
        <f t="shared" si="26"/>
        <v>3</v>
      </c>
      <c r="V527" s="5" t="s">
        <v>67</v>
      </c>
      <c r="X527" s="5"/>
    </row>
    <row r="528" spans="1:24">
      <c r="A528" s="4">
        <v>45624</v>
      </c>
      <c r="B528" s="5" t="str">
        <f t="shared" si="24"/>
        <v>November</v>
      </c>
      <c r="C528" s="5" t="s">
        <v>17</v>
      </c>
      <c r="D528" s="5" t="s">
        <v>23</v>
      </c>
      <c r="E528" s="5">
        <v>13</v>
      </c>
      <c r="F528" s="5">
        <v>141.26</v>
      </c>
      <c r="G528" s="6">
        <f t="shared" si="25"/>
        <v>1836.38</v>
      </c>
      <c r="H528" s="5" t="s">
        <v>53</v>
      </c>
      <c r="I528" s="5" t="s">
        <v>62</v>
      </c>
      <c r="J528" s="5">
        <v>0</v>
      </c>
      <c r="K528" s="5" t="s">
        <v>73</v>
      </c>
      <c r="L528" s="6">
        <v>1836.38</v>
      </c>
      <c r="M528" s="5" t="s">
        <v>30</v>
      </c>
      <c r="N528" s="5"/>
      <c r="O528" s="5">
        <v>0</v>
      </c>
      <c r="P528" s="5" t="s">
        <v>1109</v>
      </c>
      <c r="Q528" s="5" t="s">
        <v>723</v>
      </c>
      <c r="R528" s="5">
        <v>23.68</v>
      </c>
      <c r="S528" s="4">
        <v>45624</v>
      </c>
      <c r="T528" s="4">
        <v>45631</v>
      </c>
      <c r="U528" s="5">
        <f t="shared" si="26"/>
        <v>7</v>
      </c>
      <c r="V528" s="5" t="s">
        <v>67</v>
      </c>
      <c r="X528" s="5"/>
    </row>
    <row r="529" spans="1:24">
      <c r="A529" s="4">
        <v>45112</v>
      </c>
      <c r="B529" s="5" t="str">
        <f t="shared" si="24"/>
        <v>July</v>
      </c>
      <c r="C529" s="5" t="s">
        <v>18</v>
      </c>
      <c r="D529" s="5" t="s">
        <v>25</v>
      </c>
      <c r="E529" s="5">
        <v>3</v>
      </c>
      <c r="F529" s="5">
        <v>250.65</v>
      </c>
      <c r="G529" s="6">
        <f t="shared" si="25"/>
        <v>751.95</v>
      </c>
      <c r="H529" s="5" t="s">
        <v>81</v>
      </c>
      <c r="I529" s="5" t="s">
        <v>62</v>
      </c>
      <c r="J529" s="5">
        <v>0.15</v>
      </c>
      <c r="K529" s="5" t="s">
        <v>55</v>
      </c>
      <c r="L529" s="6">
        <v>639.1575</v>
      </c>
      <c r="M529" s="5" t="s">
        <v>32</v>
      </c>
      <c r="N529" s="5" t="s">
        <v>64</v>
      </c>
      <c r="O529" s="5">
        <v>0</v>
      </c>
      <c r="P529" s="5" t="s">
        <v>1110</v>
      </c>
      <c r="Q529" s="5" t="s">
        <v>1111</v>
      </c>
      <c r="R529" s="5">
        <v>44.46</v>
      </c>
      <c r="S529" s="4">
        <v>45112</v>
      </c>
      <c r="T529" s="4">
        <v>45114</v>
      </c>
      <c r="U529" s="5">
        <f t="shared" si="26"/>
        <v>2</v>
      </c>
      <c r="V529" s="5" t="s">
        <v>72</v>
      </c>
      <c r="X529" s="5"/>
    </row>
    <row r="530" spans="1:24">
      <c r="A530" s="4">
        <v>45589</v>
      </c>
      <c r="B530" s="5" t="str">
        <f t="shared" si="24"/>
        <v>October</v>
      </c>
      <c r="C530" s="5" t="s">
        <v>20</v>
      </c>
      <c r="D530" s="5" t="s">
        <v>26</v>
      </c>
      <c r="E530" s="5">
        <v>19</v>
      </c>
      <c r="F530" s="5">
        <v>301.17</v>
      </c>
      <c r="G530" s="6">
        <f t="shared" si="25"/>
        <v>5722.23</v>
      </c>
      <c r="H530" s="5" t="s">
        <v>81</v>
      </c>
      <c r="I530" s="5" t="s">
        <v>62</v>
      </c>
      <c r="J530" s="5">
        <v>0.05</v>
      </c>
      <c r="K530" s="5" t="s">
        <v>63</v>
      </c>
      <c r="L530" s="6">
        <v>5436.1185</v>
      </c>
      <c r="M530" s="5" t="s">
        <v>33</v>
      </c>
      <c r="N530" s="5" t="s">
        <v>69</v>
      </c>
      <c r="O530" s="5">
        <v>0</v>
      </c>
      <c r="P530" s="5" t="s">
        <v>1112</v>
      </c>
      <c r="Q530" s="5" t="s">
        <v>1113</v>
      </c>
      <c r="R530" s="5">
        <v>5.71</v>
      </c>
      <c r="S530" s="4">
        <v>45589</v>
      </c>
      <c r="T530" s="4">
        <v>45599</v>
      </c>
      <c r="U530" s="5">
        <f t="shared" si="26"/>
        <v>10</v>
      </c>
      <c r="V530" s="5" t="s">
        <v>94</v>
      </c>
      <c r="X530" s="5"/>
    </row>
    <row r="531" spans="1:24">
      <c r="A531" s="4">
        <v>45755</v>
      </c>
      <c r="B531" s="5" t="str">
        <f t="shared" si="24"/>
        <v>April</v>
      </c>
      <c r="C531" s="5" t="s">
        <v>18</v>
      </c>
      <c r="D531" s="5" t="s">
        <v>25</v>
      </c>
      <c r="E531" s="5">
        <v>7</v>
      </c>
      <c r="F531" s="5">
        <v>30.79</v>
      </c>
      <c r="G531" s="6">
        <f t="shared" si="25"/>
        <v>215.53</v>
      </c>
      <c r="H531" s="5" t="s">
        <v>77</v>
      </c>
      <c r="I531" s="5" t="s">
        <v>62</v>
      </c>
      <c r="J531" s="5">
        <v>0.1</v>
      </c>
      <c r="K531" s="5" t="s">
        <v>89</v>
      </c>
      <c r="L531" s="6">
        <v>193.977</v>
      </c>
      <c r="M531" s="5" t="s">
        <v>34</v>
      </c>
      <c r="N531" s="5" t="s">
        <v>69</v>
      </c>
      <c r="O531" s="5">
        <v>1</v>
      </c>
      <c r="P531" s="5" t="s">
        <v>1114</v>
      </c>
      <c r="Q531" s="5" t="s">
        <v>1115</v>
      </c>
      <c r="R531" s="5">
        <v>11.39</v>
      </c>
      <c r="S531" s="4">
        <v>45755</v>
      </c>
      <c r="T531" s="4">
        <v>45763</v>
      </c>
      <c r="U531" s="5">
        <f t="shared" si="26"/>
        <v>8</v>
      </c>
      <c r="V531" s="5" t="s">
        <v>72</v>
      </c>
      <c r="X531" s="5"/>
    </row>
    <row r="532" spans="1:24">
      <c r="A532" s="4">
        <v>45448</v>
      </c>
      <c r="B532" s="5" t="str">
        <f t="shared" si="24"/>
        <v>June</v>
      </c>
      <c r="C532" s="5" t="s">
        <v>16</v>
      </c>
      <c r="D532" s="5" t="s">
        <v>22</v>
      </c>
      <c r="E532" s="5">
        <v>1</v>
      </c>
      <c r="F532" s="5">
        <v>561.6</v>
      </c>
      <c r="G532" s="6">
        <f t="shared" si="25"/>
        <v>561.6</v>
      </c>
      <c r="H532" s="5" t="s">
        <v>61</v>
      </c>
      <c r="I532" s="5" t="s">
        <v>54</v>
      </c>
      <c r="J532" s="5">
        <v>0.15</v>
      </c>
      <c r="K532" s="5" t="s">
        <v>63</v>
      </c>
      <c r="L532" s="6">
        <v>477.36</v>
      </c>
      <c r="M532" s="5" t="s">
        <v>33</v>
      </c>
      <c r="N532" s="5" t="s">
        <v>64</v>
      </c>
      <c r="O532" s="5">
        <v>0</v>
      </c>
      <c r="P532" s="5" t="s">
        <v>1116</v>
      </c>
      <c r="Q532" s="5" t="s">
        <v>339</v>
      </c>
      <c r="R532" s="5">
        <v>38.02</v>
      </c>
      <c r="S532" s="4">
        <v>45448</v>
      </c>
      <c r="T532" s="4">
        <v>45453</v>
      </c>
      <c r="U532" s="5">
        <f t="shared" si="26"/>
        <v>5</v>
      </c>
      <c r="V532" s="5" t="s">
        <v>59</v>
      </c>
      <c r="X532" s="5"/>
    </row>
    <row r="533" spans="1:24">
      <c r="A533" s="4">
        <v>45680</v>
      </c>
      <c r="B533" s="5" t="str">
        <f t="shared" si="24"/>
        <v>January</v>
      </c>
      <c r="C533" s="5" t="s">
        <v>20</v>
      </c>
      <c r="D533" s="5" t="s">
        <v>23</v>
      </c>
      <c r="E533" s="5">
        <v>16</v>
      </c>
      <c r="F533" s="5">
        <v>193.7</v>
      </c>
      <c r="G533" s="6">
        <f t="shared" si="25"/>
        <v>3099.2</v>
      </c>
      <c r="H533" s="5" t="s">
        <v>61</v>
      </c>
      <c r="I533" s="5" t="s">
        <v>62</v>
      </c>
      <c r="J533" s="5">
        <v>0.15</v>
      </c>
      <c r="K533" s="5" t="s">
        <v>89</v>
      </c>
      <c r="L533" s="6">
        <v>2634.32</v>
      </c>
      <c r="M533" s="5" t="s">
        <v>32</v>
      </c>
      <c r="N533" s="5" t="s">
        <v>64</v>
      </c>
      <c r="O533" s="5">
        <v>0</v>
      </c>
      <c r="P533" s="5" t="s">
        <v>1117</v>
      </c>
      <c r="Q533" s="5" t="s">
        <v>1118</v>
      </c>
      <c r="R533" s="5">
        <v>6.83</v>
      </c>
      <c r="S533" s="4">
        <v>45680</v>
      </c>
      <c r="T533" s="4">
        <v>45686</v>
      </c>
      <c r="U533" s="5">
        <f t="shared" si="26"/>
        <v>6</v>
      </c>
      <c r="V533" s="5" t="s">
        <v>94</v>
      </c>
      <c r="X533" s="5"/>
    </row>
    <row r="534" spans="1:24">
      <c r="A534" s="4">
        <v>45600</v>
      </c>
      <c r="B534" s="5" t="str">
        <f t="shared" si="24"/>
        <v>November</v>
      </c>
      <c r="C534" s="5" t="s">
        <v>19</v>
      </c>
      <c r="D534" s="5" t="s">
        <v>101</v>
      </c>
      <c r="E534" s="5">
        <v>17</v>
      </c>
      <c r="F534" s="5">
        <v>310.03</v>
      </c>
      <c r="G534" s="6">
        <f t="shared" si="25"/>
        <v>5270.51</v>
      </c>
      <c r="H534" s="5" t="s">
        <v>81</v>
      </c>
      <c r="I534" s="5" t="s">
        <v>62</v>
      </c>
      <c r="J534" s="5">
        <v>0.05</v>
      </c>
      <c r="K534" s="5" t="s">
        <v>78</v>
      </c>
      <c r="L534" s="6">
        <v>5006.9845</v>
      </c>
      <c r="M534" s="5" t="s">
        <v>30</v>
      </c>
      <c r="N534" s="5" t="s">
        <v>56</v>
      </c>
      <c r="O534" s="5">
        <v>0</v>
      </c>
      <c r="P534" s="5" t="s">
        <v>1119</v>
      </c>
      <c r="Q534" s="5" t="s">
        <v>1120</v>
      </c>
      <c r="R534" s="5">
        <v>8.06</v>
      </c>
      <c r="S534" s="4">
        <v>45600</v>
      </c>
      <c r="T534" s="4">
        <v>45608</v>
      </c>
      <c r="U534" s="5">
        <f t="shared" si="26"/>
        <v>8</v>
      </c>
      <c r="V534" s="5" t="s">
        <v>76</v>
      </c>
      <c r="X534" s="5"/>
    </row>
    <row r="535" spans="1:24">
      <c r="A535" s="4">
        <v>45292</v>
      </c>
      <c r="B535" s="5" t="str">
        <f t="shared" si="24"/>
        <v>January</v>
      </c>
      <c r="C535" s="5" t="s">
        <v>20</v>
      </c>
      <c r="D535" s="5" t="s">
        <v>27</v>
      </c>
      <c r="E535" s="5">
        <v>13</v>
      </c>
      <c r="F535" s="5">
        <v>204.67</v>
      </c>
      <c r="G535" s="6">
        <f t="shared" si="25"/>
        <v>2660.71</v>
      </c>
      <c r="H535" s="5" t="s">
        <v>61</v>
      </c>
      <c r="I535" s="5" t="s">
        <v>62</v>
      </c>
      <c r="J535" s="5">
        <v>0.15</v>
      </c>
      <c r="K535" s="5" t="s">
        <v>63</v>
      </c>
      <c r="L535" s="6">
        <v>2261.6035</v>
      </c>
      <c r="M535" s="5" t="s">
        <v>30</v>
      </c>
      <c r="N535" s="5"/>
      <c r="O535" s="5">
        <v>0</v>
      </c>
      <c r="P535" s="5" t="s">
        <v>1121</v>
      </c>
      <c r="Q535" s="5" t="s">
        <v>1122</v>
      </c>
      <c r="R535" s="5">
        <v>6.76</v>
      </c>
      <c r="S535" s="4">
        <v>45292</v>
      </c>
      <c r="T535" s="4">
        <v>45296</v>
      </c>
      <c r="U535" s="5">
        <f t="shared" si="26"/>
        <v>4</v>
      </c>
      <c r="V535" s="5" t="s">
        <v>94</v>
      </c>
      <c r="X535" s="5"/>
    </row>
    <row r="536" spans="1:24">
      <c r="A536" s="4">
        <v>45391</v>
      </c>
      <c r="B536" s="5" t="str">
        <f t="shared" si="24"/>
        <v>April</v>
      </c>
      <c r="C536" s="5" t="s">
        <v>19</v>
      </c>
      <c r="D536" s="5" t="s">
        <v>27</v>
      </c>
      <c r="E536" s="5">
        <v>3</v>
      </c>
      <c r="F536" s="5">
        <v>250.11</v>
      </c>
      <c r="G536" s="6">
        <f t="shared" si="25"/>
        <v>750.33</v>
      </c>
      <c r="H536" s="5" t="s">
        <v>81</v>
      </c>
      <c r="I536" s="5" t="s">
        <v>54</v>
      </c>
      <c r="J536" s="5">
        <v>0</v>
      </c>
      <c r="K536" s="5" t="s">
        <v>63</v>
      </c>
      <c r="L536" s="6">
        <v>750.33</v>
      </c>
      <c r="M536" s="5" t="s">
        <v>31</v>
      </c>
      <c r="N536" s="5" t="s">
        <v>56</v>
      </c>
      <c r="O536" s="5">
        <v>0</v>
      </c>
      <c r="P536" s="5" t="s">
        <v>1123</v>
      </c>
      <c r="Q536" s="5" t="s">
        <v>1124</v>
      </c>
      <c r="R536" s="5">
        <v>36.35</v>
      </c>
      <c r="S536" s="4">
        <v>45391</v>
      </c>
      <c r="T536" s="4">
        <v>45399</v>
      </c>
      <c r="U536" s="5">
        <f t="shared" si="26"/>
        <v>8</v>
      </c>
      <c r="V536" s="5" t="s">
        <v>76</v>
      </c>
      <c r="X536" s="5"/>
    </row>
    <row r="537" spans="1:24">
      <c r="A537" s="4">
        <v>45674</v>
      </c>
      <c r="B537" s="5" t="str">
        <f t="shared" si="24"/>
        <v>January</v>
      </c>
      <c r="C537" s="5" t="s">
        <v>18</v>
      </c>
      <c r="D537" s="5" t="s">
        <v>24</v>
      </c>
      <c r="E537" s="5">
        <v>12</v>
      </c>
      <c r="F537" s="5">
        <v>526.82</v>
      </c>
      <c r="G537" s="6">
        <f t="shared" si="25"/>
        <v>6321.84</v>
      </c>
      <c r="H537" s="5" t="s">
        <v>61</v>
      </c>
      <c r="I537" s="5" t="s">
        <v>62</v>
      </c>
      <c r="J537" s="5">
        <v>0</v>
      </c>
      <c r="K537" s="5" t="s">
        <v>73</v>
      </c>
      <c r="L537" s="6">
        <v>6321.84</v>
      </c>
      <c r="M537" s="5" t="s">
        <v>32</v>
      </c>
      <c r="N537" s="5" t="s">
        <v>69</v>
      </c>
      <c r="O537" s="5">
        <v>0</v>
      </c>
      <c r="P537" s="5" t="s">
        <v>1125</v>
      </c>
      <c r="Q537" s="5" t="s">
        <v>1126</v>
      </c>
      <c r="R537" s="5">
        <v>29.75</v>
      </c>
      <c r="S537" s="4">
        <v>45674</v>
      </c>
      <c r="T537" s="4">
        <v>45682</v>
      </c>
      <c r="U537" s="5">
        <f t="shared" si="26"/>
        <v>8</v>
      </c>
      <c r="V537" s="5" t="s">
        <v>72</v>
      </c>
      <c r="X537" s="5"/>
    </row>
    <row r="538" spans="1:24">
      <c r="A538" s="4">
        <v>45557</v>
      </c>
      <c r="B538" s="5" t="str">
        <f t="shared" si="24"/>
        <v>September</v>
      </c>
      <c r="C538" s="5" t="s">
        <v>16</v>
      </c>
      <c r="D538" s="5" t="s">
        <v>25</v>
      </c>
      <c r="E538" s="5">
        <v>18</v>
      </c>
      <c r="F538" s="5">
        <v>575.1</v>
      </c>
      <c r="G538" s="6">
        <f t="shared" si="25"/>
        <v>10351.8</v>
      </c>
      <c r="H538" s="5" t="s">
        <v>81</v>
      </c>
      <c r="I538" s="5" t="s">
        <v>54</v>
      </c>
      <c r="J538" s="5">
        <v>0</v>
      </c>
      <c r="K538" s="5" t="s">
        <v>89</v>
      </c>
      <c r="L538" s="6">
        <v>10351.8</v>
      </c>
      <c r="M538" s="5" t="s">
        <v>30</v>
      </c>
      <c r="N538" s="5" t="s">
        <v>56</v>
      </c>
      <c r="O538" s="5">
        <v>0</v>
      </c>
      <c r="P538" s="5" t="s">
        <v>1127</v>
      </c>
      <c r="Q538" s="5" t="s">
        <v>1128</v>
      </c>
      <c r="R538" s="5">
        <v>35.32</v>
      </c>
      <c r="S538" s="4">
        <v>45557</v>
      </c>
      <c r="T538" s="4">
        <v>45564</v>
      </c>
      <c r="U538" s="5">
        <f t="shared" si="26"/>
        <v>7</v>
      </c>
      <c r="V538" s="5" t="s">
        <v>59</v>
      </c>
      <c r="X538" s="5"/>
    </row>
    <row r="539" spans="1:24">
      <c r="A539" s="4">
        <v>44946</v>
      </c>
      <c r="B539" s="5" t="str">
        <f t="shared" si="24"/>
        <v>January</v>
      </c>
      <c r="C539" s="5" t="s">
        <v>16</v>
      </c>
      <c r="D539" s="5" t="s">
        <v>26</v>
      </c>
      <c r="E539" s="5">
        <v>8</v>
      </c>
      <c r="F539" s="5">
        <v>325.52</v>
      </c>
      <c r="G539" s="6">
        <f t="shared" si="25"/>
        <v>2604.16</v>
      </c>
      <c r="H539" s="5" t="s">
        <v>77</v>
      </c>
      <c r="I539" s="5" t="s">
        <v>62</v>
      </c>
      <c r="J539" s="5">
        <v>0.1</v>
      </c>
      <c r="K539" s="5" t="s">
        <v>73</v>
      </c>
      <c r="L539" s="6">
        <v>2343.744</v>
      </c>
      <c r="M539" s="5" t="s">
        <v>33</v>
      </c>
      <c r="N539" s="5" t="s">
        <v>69</v>
      </c>
      <c r="O539" s="5">
        <v>0</v>
      </c>
      <c r="P539" s="5" t="s">
        <v>1129</v>
      </c>
      <c r="Q539" s="5" t="s">
        <v>1130</v>
      </c>
      <c r="R539" s="5">
        <v>45.59</v>
      </c>
      <c r="S539" s="4">
        <v>44946</v>
      </c>
      <c r="T539" s="4">
        <v>44951</v>
      </c>
      <c r="U539" s="5">
        <f t="shared" si="26"/>
        <v>5</v>
      </c>
      <c r="V539" s="5" t="s">
        <v>59</v>
      </c>
      <c r="X539" s="5"/>
    </row>
    <row r="540" spans="1:24">
      <c r="A540" s="4">
        <v>45303</v>
      </c>
      <c r="B540" s="5" t="str">
        <f t="shared" si="24"/>
        <v>January</v>
      </c>
      <c r="C540" s="5" t="s">
        <v>18</v>
      </c>
      <c r="D540" s="5" t="s">
        <v>26</v>
      </c>
      <c r="E540" s="5">
        <v>14</v>
      </c>
      <c r="F540" s="5">
        <v>157.14</v>
      </c>
      <c r="G540" s="6">
        <f t="shared" si="25"/>
        <v>2199.96</v>
      </c>
      <c r="H540" s="5" t="s">
        <v>61</v>
      </c>
      <c r="I540" s="5" t="s">
        <v>54</v>
      </c>
      <c r="J540" s="5">
        <v>0.15</v>
      </c>
      <c r="K540" s="5" t="s">
        <v>82</v>
      </c>
      <c r="L540" s="6">
        <v>1869.966</v>
      </c>
      <c r="M540" s="5" t="s">
        <v>31</v>
      </c>
      <c r="N540" s="5" t="s">
        <v>64</v>
      </c>
      <c r="O540" s="5">
        <v>0</v>
      </c>
      <c r="P540" s="5" t="s">
        <v>1131</v>
      </c>
      <c r="Q540" s="5" t="s">
        <v>1132</v>
      </c>
      <c r="R540" s="5">
        <v>36.04</v>
      </c>
      <c r="S540" s="4">
        <v>45303</v>
      </c>
      <c r="T540" s="4">
        <v>45313</v>
      </c>
      <c r="U540" s="5">
        <f t="shared" si="26"/>
        <v>10</v>
      </c>
      <c r="V540" s="5" t="s">
        <v>72</v>
      </c>
      <c r="X540" s="5"/>
    </row>
    <row r="541" spans="1:24">
      <c r="A541" s="4">
        <v>45390</v>
      </c>
      <c r="B541" s="5" t="str">
        <f t="shared" si="24"/>
        <v>April</v>
      </c>
      <c r="C541" s="5" t="s">
        <v>19</v>
      </c>
      <c r="D541" s="5" t="s">
        <v>22</v>
      </c>
      <c r="E541" s="5">
        <v>10</v>
      </c>
      <c r="F541" s="5">
        <v>100.26</v>
      </c>
      <c r="G541" s="6">
        <f t="shared" si="25"/>
        <v>1002.6</v>
      </c>
      <c r="H541" s="5" t="s">
        <v>81</v>
      </c>
      <c r="I541" s="5" t="s">
        <v>54</v>
      </c>
      <c r="J541" s="5">
        <v>0.05</v>
      </c>
      <c r="K541" s="5" t="s">
        <v>78</v>
      </c>
      <c r="L541" s="6">
        <v>952.47</v>
      </c>
      <c r="M541" s="5" t="s">
        <v>31</v>
      </c>
      <c r="N541" s="5" t="s">
        <v>64</v>
      </c>
      <c r="O541" s="5">
        <v>0</v>
      </c>
      <c r="P541" s="5" t="s">
        <v>1133</v>
      </c>
      <c r="Q541" s="5" t="s">
        <v>1134</v>
      </c>
      <c r="R541" s="5">
        <v>36.71</v>
      </c>
      <c r="S541" s="4">
        <v>45390</v>
      </c>
      <c r="T541" s="4">
        <v>45397</v>
      </c>
      <c r="U541" s="5">
        <f t="shared" si="26"/>
        <v>7</v>
      </c>
      <c r="V541" s="5" t="s">
        <v>76</v>
      </c>
      <c r="X541" s="5"/>
    </row>
    <row r="542" spans="1:24">
      <c r="A542" s="4">
        <v>45043</v>
      </c>
      <c r="B542" s="5" t="str">
        <f t="shared" si="24"/>
        <v>April</v>
      </c>
      <c r="C542" s="5" t="s">
        <v>19</v>
      </c>
      <c r="D542" s="5" t="s">
        <v>22</v>
      </c>
      <c r="E542" s="5">
        <v>9</v>
      </c>
      <c r="F542" s="5">
        <v>554.48</v>
      </c>
      <c r="G542" s="6">
        <f t="shared" si="25"/>
        <v>4990.32</v>
      </c>
      <c r="H542" s="5" t="s">
        <v>77</v>
      </c>
      <c r="I542" s="5" t="s">
        <v>54</v>
      </c>
      <c r="J542" s="5">
        <v>0</v>
      </c>
      <c r="K542" s="5" t="s">
        <v>78</v>
      </c>
      <c r="L542" s="6">
        <v>4990.32</v>
      </c>
      <c r="M542" s="5" t="s">
        <v>30</v>
      </c>
      <c r="N542" s="5"/>
      <c r="O542" s="5">
        <v>0</v>
      </c>
      <c r="P542" s="5" t="s">
        <v>1135</v>
      </c>
      <c r="Q542" s="5" t="s">
        <v>1136</v>
      </c>
      <c r="R542" s="5">
        <v>48.26</v>
      </c>
      <c r="S542" s="4">
        <v>45043</v>
      </c>
      <c r="T542" s="4">
        <v>45047</v>
      </c>
      <c r="U542" s="5">
        <f t="shared" si="26"/>
        <v>4</v>
      </c>
      <c r="V542" s="5" t="s">
        <v>76</v>
      </c>
      <c r="X542" s="5"/>
    </row>
    <row r="543" spans="1:24">
      <c r="A543" s="4">
        <v>45490</v>
      </c>
      <c r="B543" s="5" t="str">
        <f t="shared" si="24"/>
        <v>July</v>
      </c>
      <c r="C543" s="5" t="s">
        <v>18</v>
      </c>
      <c r="D543" s="5" t="s">
        <v>23</v>
      </c>
      <c r="E543" s="5">
        <v>4</v>
      </c>
      <c r="F543" s="5">
        <v>375.96</v>
      </c>
      <c r="G543" s="6">
        <f t="shared" si="25"/>
        <v>1503.84</v>
      </c>
      <c r="H543" s="5" t="s">
        <v>77</v>
      </c>
      <c r="I543" s="5" t="s">
        <v>62</v>
      </c>
      <c r="J543" s="5">
        <v>0.15</v>
      </c>
      <c r="K543" s="5" t="s">
        <v>78</v>
      </c>
      <c r="L543" s="6">
        <v>1278.264</v>
      </c>
      <c r="M543" s="5" t="s">
        <v>33</v>
      </c>
      <c r="N543" s="5"/>
      <c r="O543" s="5">
        <v>0</v>
      </c>
      <c r="P543" s="5" t="s">
        <v>1137</v>
      </c>
      <c r="Q543" s="5" t="s">
        <v>1138</v>
      </c>
      <c r="R543" s="5">
        <v>44.99</v>
      </c>
      <c r="S543" s="4">
        <v>45490</v>
      </c>
      <c r="T543" s="4">
        <v>45498</v>
      </c>
      <c r="U543" s="5">
        <f t="shared" si="26"/>
        <v>8</v>
      </c>
      <c r="V543" s="5" t="s">
        <v>72</v>
      </c>
      <c r="X543" s="5"/>
    </row>
    <row r="544" spans="1:24">
      <c r="A544" s="4">
        <v>45339</v>
      </c>
      <c r="B544" s="5" t="str">
        <f t="shared" si="24"/>
        <v>February</v>
      </c>
      <c r="C544" s="5" t="s">
        <v>19</v>
      </c>
      <c r="D544" s="5" t="s">
        <v>26</v>
      </c>
      <c r="E544" s="5">
        <v>14</v>
      </c>
      <c r="F544" s="5">
        <v>485.21</v>
      </c>
      <c r="G544" s="6">
        <f t="shared" si="25"/>
        <v>6792.94</v>
      </c>
      <c r="H544" s="5" t="s">
        <v>61</v>
      </c>
      <c r="I544" s="5" t="s">
        <v>62</v>
      </c>
      <c r="J544" s="5">
        <v>0</v>
      </c>
      <c r="K544" s="5" t="s">
        <v>73</v>
      </c>
      <c r="L544" s="6">
        <v>6792.94</v>
      </c>
      <c r="M544" s="5" t="s">
        <v>30</v>
      </c>
      <c r="N544" s="5" t="s">
        <v>56</v>
      </c>
      <c r="O544" s="5">
        <v>0</v>
      </c>
      <c r="P544" s="5" t="s">
        <v>1139</v>
      </c>
      <c r="Q544" s="5" t="s">
        <v>1140</v>
      </c>
      <c r="R544" s="5">
        <v>41.72</v>
      </c>
      <c r="S544" s="4">
        <v>45339</v>
      </c>
      <c r="T544" s="4">
        <v>45345</v>
      </c>
      <c r="U544" s="5">
        <f t="shared" si="26"/>
        <v>6</v>
      </c>
      <c r="V544" s="5" t="s">
        <v>76</v>
      </c>
      <c r="X544" s="5"/>
    </row>
    <row r="545" spans="1:24">
      <c r="A545" s="4">
        <v>45316</v>
      </c>
      <c r="B545" s="5" t="str">
        <f t="shared" si="24"/>
        <v>January</v>
      </c>
      <c r="C545" s="5" t="s">
        <v>17</v>
      </c>
      <c r="D545" s="5" t="s">
        <v>26</v>
      </c>
      <c r="E545" s="5">
        <v>9</v>
      </c>
      <c r="F545" s="5">
        <v>372.44</v>
      </c>
      <c r="G545" s="6">
        <f t="shared" si="25"/>
        <v>3351.96</v>
      </c>
      <c r="H545" s="5" t="s">
        <v>61</v>
      </c>
      <c r="I545" s="5" t="s">
        <v>54</v>
      </c>
      <c r="J545" s="5">
        <v>0.05</v>
      </c>
      <c r="K545" s="5" t="s">
        <v>82</v>
      </c>
      <c r="L545" s="6">
        <v>3184.362</v>
      </c>
      <c r="M545" s="5" t="s">
        <v>31</v>
      </c>
      <c r="N545" s="5" t="s">
        <v>56</v>
      </c>
      <c r="O545" s="5">
        <v>0</v>
      </c>
      <c r="P545" s="5" t="s">
        <v>1141</v>
      </c>
      <c r="Q545" s="5" t="s">
        <v>1142</v>
      </c>
      <c r="R545" s="5">
        <v>41.87</v>
      </c>
      <c r="S545" s="4">
        <v>45316</v>
      </c>
      <c r="T545" s="4">
        <v>45324</v>
      </c>
      <c r="U545" s="5">
        <f t="shared" si="26"/>
        <v>8</v>
      </c>
      <c r="V545" s="5" t="s">
        <v>67</v>
      </c>
      <c r="X545" s="5"/>
    </row>
    <row r="546" spans="1:24">
      <c r="A546" s="4">
        <v>45375</v>
      </c>
      <c r="B546" s="5" t="str">
        <f t="shared" si="24"/>
        <v>March</v>
      </c>
      <c r="C546" s="5" t="s">
        <v>19</v>
      </c>
      <c r="D546" s="5" t="s">
        <v>22</v>
      </c>
      <c r="E546" s="5">
        <v>7</v>
      </c>
      <c r="F546" s="5">
        <v>140.53</v>
      </c>
      <c r="G546" s="6">
        <f t="shared" si="25"/>
        <v>983.71</v>
      </c>
      <c r="H546" s="5" t="s">
        <v>81</v>
      </c>
      <c r="I546" s="5" t="s">
        <v>62</v>
      </c>
      <c r="J546" s="5">
        <v>0</v>
      </c>
      <c r="K546" s="5" t="s">
        <v>73</v>
      </c>
      <c r="L546" s="6">
        <v>983.71</v>
      </c>
      <c r="M546" s="5" t="s">
        <v>33</v>
      </c>
      <c r="N546" s="5"/>
      <c r="O546" s="5">
        <v>1</v>
      </c>
      <c r="P546" s="5" t="s">
        <v>1143</v>
      </c>
      <c r="Q546" s="5" t="s">
        <v>1144</v>
      </c>
      <c r="R546" s="5">
        <v>24.53</v>
      </c>
      <c r="S546" s="4">
        <v>45375</v>
      </c>
      <c r="T546" s="4">
        <v>45384</v>
      </c>
      <c r="U546" s="5">
        <f t="shared" si="26"/>
        <v>9</v>
      </c>
      <c r="V546" s="5" t="s">
        <v>76</v>
      </c>
      <c r="X546" s="5"/>
    </row>
    <row r="547" spans="1:24">
      <c r="A547" s="4">
        <v>45102</v>
      </c>
      <c r="B547" s="5" t="str">
        <f t="shared" si="24"/>
        <v>June</v>
      </c>
      <c r="C547" s="5" t="s">
        <v>18</v>
      </c>
      <c r="D547" s="5" t="s">
        <v>24</v>
      </c>
      <c r="E547" s="5">
        <v>15</v>
      </c>
      <c r="F547" s="5">
        <v>365.61</v>
      </c>
      <c r="G547" s="6">
        <f t="shared" si="25"/>
        <v>5484.15</v>
      </c>
      <c r="H547" s="5" t="s">
        <v>81</v>
      </c>
      <c r="I547" s="5" t="s">
        <v>62</v>
      </c>
      <c r="J547" s="5">
        <v>0.15</v>
      </c>
      <c r="K547" s="5" t="s">
        <v>89</v>
      </c>
      <c r="L547" s="6">
        <v>4661.5275</v>
      </c>
      <c r="M547" s="5" t="s">
        <v>34</v>
      </c>
      <c r="N547" s="5" t="s">
        <v>56</v>
      </c>
      <c r="O547" s="5">
        <v>0</v>
      </c>
      <c r="P547" s="5" t="s">
        <v>1145</v>
      </c>
      <c r="Q547" s="5" t="s">
        <v>1146</v>
      </c>
      <c r="R547" s="5">
        <v>35.84</v>
      </c>
      <c r="S547" s="4">
        <v>45102</v>
      </c>
      <c r="T547" s="4">
        <v>45104</v>
      </c>
      <c r="U547" s="5">
        <f t="shared" si="26"/>
        <v>2</v>
      </c>
      <c r="V547" s="5" t="s">
        <v>72</v>
      </c>
      <c r="X547" s="5"/>
    </row>
    <row r="548" spans="1:24">
      <c r="A548" s="4">
        <v>45033</v>
      </c>
      <c r="B548" s="5" t="str">
        <f t="shared" si="24"/>
        <v>April</v>
      </c>
      <c r="C548" s="5" t="s">
        <v>17</v>
      </c>
      <c r="D548" s="5" t="s">
        <v>22</v>
      </c>
      <c r="E548" s="5">
        <v>20</v>
      </c>
      <c r="F548" s="5">
        <v>353.97</v>
      </c>
      <c r="G548" s="6">
        <f t="shared" si="25"/>
        <v>7079.4</v>
      </c>
      <c r="H548" s="5" t="s">
        <v>53</v>
      </c>
      <c r="I548" s="5" t="s">
        <v>54</v>
      </c>
      <c r="J548" s="5">
        <v>0.15</v>
      </c>
      <c r="K548" s="5" t="s">
        <v>73</v>
      </c>
      <c r="L548" s="6">
        <v>6017.49</v>
      </c>
      <c r="M548" s="5" t="s">
        <v>34</v>
      </c>
      <c r="N548" s="5" t="s">
        <v>69</v>
      </c>
      <c r="O548" s="5">
        <v>1</v>
      </c>
      <c r="P548" s="5" t="s">
        <v>1147</v>
      </c>
      <c r="Q548" s="5" t="s">
        <v>1148</v>
      </c>
      <c r="R548" s="5">
        <v>22.05</v>
      </c>
      <c r="S548" s="4">
        <v>45033</v>
      </c>
      <c r="T548" s="4">
        <v>45036</v>
      </c>
      <c r="U548" s="5">
        <f t="shared" si="26"/>
        <v>3</v>
      </c>
      <c r="V548" s="5" t="s">
        <v>67</v>
      </c>
      <c r="X548" s="5"/>
    </row>
    <row r="549" spans="1:24">
      <c r="A549" s="4">
        <v>45105</v>
      </c>
      <c r="B549" s="5" t="str">
        <f t="shared" si="24"/>
        <v>June</v>
      </c>
      <c r="C549" s="5" t="s">
        <v>16</v>
      </c>
      <c r="D549" s="5" t="s">
        <v>25</v>
      </c>
      <c r="E549" s="5">
        <v>14</v>
      </c>
      <c r="F549" s="5">
        <v>293.31</v>
      </c>
      <c r="G549" s="6">
        <f t="shared" si="25"/>
        <v>4106.34</v>
      </c>
      <c r="H549" s="5" t="s">
        <v>81</v>
      </c>
      <c r="I549" s="5" t="s">
        <v>54</v>
      </c>
      <c r="J549" s="5">
        <v>0</v>
      </c>
      <c r="K549" s="5" t="s">
        <v>63</v>
      </c>
      <c r="L549" s="6">
        <v>4106.34</v>
      </c>
      <c r="M549" s="5" t="s">
        <v>31</v>
      </c>
      <c r="N549" s="5"/>
      <c r="O549" s="5">
        <v>0</v>
      </c>
      <c r="P549" s="5" t="s">
        <v>1149</v>
      </c>
      <c r="Q549" s="5" t="s">
        <v>1150</v>
      </c>
      <c r="R549" s="5">
        <v>21.61</v>
      </c>
      <c r="S549" s="4">
        <v>45105</v>
      </c>
      <c r="T549" s="4">
        <v>45107</v>
      </c>
      <c r="U549" s="5">
        <f t="shared" si="26"/>
        <v>2</v>
      </c>
      <c r="V549" s="5" t="s">
        <v>59</v>
      </c>
      <c r="X549" s="5"/>
    </row>
    <row r="550" spans="1:24">
      <c r="A550" s="4">
        <v>45388</v>
      </c>
      <c r="B550" s="5" t="str">
        <f t="shared" si="24"/>
        <v>April</v>
      </c>
      <c r="C550" s="5" t="s">
        <v>19</v>
      </c>
      <c r="D550" s="5" t="s">
        <v>25</v>
      </c>
      <c r="E550" s="5">
        <v>10</v>
      </c>
      <c r="F550" s="5">
        <v>397.39</v>
      </c>
      <c r="G550" s="6">
        <f t="shared" si="25"/>
        <v>3973.9</v>
      </c>
      <c r="H550" s="5" t="s">
        <v>81</v>
      </c>
      <c r="I550" s="5" t="s">
        <v>62</v>
      </c>
      <c r="J550" s="5">
        <v>0.15</v>
      </c>
      <c r="K550" s="5" t="s">
        <v>63</v>
      </c>
      <c r="L550" s="6">
        <v>3377.815</v>
      </c>
      <c r="M550" s="5" t="s">
        <v>31</v>
      </c>
      <c r="N550" s="5"/>
      <c r="O550" s="5">
        <v>0</v>
      </c>
      <c r="P550" s="5" t="s">
        <v>1151</v>
      </c>
      <c r="Q550" s="5" t="s">
        <v>1152</v>
      </c>
      <c r="R550" s="5">
        <v>25.27</v>
      </c>
      <c r="S550" s="4">
        <v>45388</v>
      </c>
      <c r="T550" s="4">
        <v>45398</v>
      </c>
      <c r="U550" s="5">
        <f t="shared" si="26"/>
        <v>10</v>
      </c>
      <c r="V550" s="5" t="s">
        <v>76</v>
      </c>
      <c r="X550" s="5"/>
    </row>
    <row r="551" spans="1:24">
      <c r="A551" s="4">
        <v>45705</v>
      </c>
      <c r="B551" s="5" t="str">
        <f t="shared" si="24"/>
        <v>February</v>
      </c>
      <c r="C551" s="5" t="s">
        <v>17</v>
      </c>
      <c r="D551" s="5" t="s">
        <v>25</v>
      </c>
      <c r="E551" s="5">
        <v>2</v>
      </c>
      <c r="F551" s="5">
        <v>98.35</v>
      </c>
      <c r="G551" s="6">
        <f t="shared" si="25"/>
        <v>196.7</v>
      </c>
      <c r="H551" s="5" t="s">
        <v>77</v>
      </c>
      <c r="I551" s="5" t="s">
        <v>62</v>
      </c>
      <c r="J551" s="5">
        <v>0</v>
      </c>
      <c r="K551" s="5" t="s">
        <v>55</v>
      </c>
      <c r="L551" s="6">
        <v>196.7</v>
      </c>
      <c r="M551" s="5" t="s">
        <v>33</v>
      </c>
      <c r="N551" s="5" t="s">
        <v>56</v>
      </c>
      <c r="O551" s="5">
        <v>0</v>
      </c>
      <c r="P551" s="5" t="s">
        <v>1153</v>
      </c>
      <c r="Q551" s="5" t="s">
        <v>1154</v>
      </c>
      <c r="R551" s="5">
        <v>28.65</v>
      </c>
      <c r="S551" s="4">
        <v>45705</v>
      </c>
      <c r="T551" s="4">
        <v>45707</v>
      </c>
      <c r="U551" s="5">
        <f t="shared" si="26"/>
        <v>2</v>
      </c>
      <c r="V551" s="5" t="s">
        <v>67</v>
      </c>
      <c r="X551" s="5"/>
    </row>
    <row r="552" spans="1:24">
      <c r="A552" s="4">
        <v>44934</v>
      </c>
      <c r="B552" s="5" t="str">
        <f t="shared" si="24"/>
        <v>January</v>
      </c>
      <c r="C552" s="5" t="s">
        <v>17</v>
      </c>
      <c r="D552" s="5" t="s">
        <v>24</v>
      </c>
      <c r="E552" s="5">
        <v>6</v>
      </c>
      <c r="F552" s="5">
        <v>581.67</v>
      </c>
      <c r="G552" s="6">
        <f t="shared" si="25"/>
        <v>3490.02</v>
      </c>
      <c r="H552" s="5" t="s">
        <v>61</v>
      </c>
      <c r="I552" s="5" t="s">
        <v>54</v>
      </c>
      <c r="J552" s="5">
        <v>0</v>
      </c>
      <c r="K552" s="5" t="s">
        <v>73</v>
      </c>
      <c r="L552" s="6">
        <v>3490.02</v>
      </c>
      <c r="M552" s="5" t="s">
        <v>33</v>
      </c>
      <c r="N552" s="5"/>
      <c r="O552" s="5">
        <v>0</v>
      </c>
      <c r="P552" s="5" t="s">
        <v>1155</v>
      </c>
      <c r="Q552" s="5" t="s">
        <v>1156</v>
      </c>
      <c r="R552" s="5">
        <v>39.4</v>
      </c>
      <c r="S552" s="4">
        <v>44934</v>
      </c>
      <c r="T552" s="4">
        <v>44937</v>
      </c>
      <c r="U552" s="5">
        <f t="shared" si="26"/>
        <v>3</v>
      </c>
      <c r="V552" s="5" t="s">
        <v>67</v>
      </c>
      <c r="X552" s="5"/>
    </row>
    <row r="553" spans="1:24">
      <c r="A553" s="4">
        <v>45281</v>
      </c>
      <c r="B553" s="5" t="str">
        <f t="shared" si="24"/>
        <v>December</v>
      </c>
      <c r="C553" s="5" t="s">
        <v>17</v>
      </c>
      <c r="D553" s="5" t="s">
        <v>23</v>
      </c>
      <c r="E553" s="5">
        <v>19</v>
      </c>
      <c r="F553" s="5">
        <v>30.41</v>
      </c>
      <c r="G553" s="6">
        <f t="shared" si="25"/>
        <v>577.79</v>
      </c>
      <c r="H553" s="5" t="s">
        <v>81</v>
      </c>
      <c r="I553" s="5" t="s">
        <v>62</v>
      </c>
      <c r="J553" s="5">
        <v>0.05</v>
      </c>
      <c r="K553" s="5" t="s">
        <v>73</v>
      </c>
      <c r="L553" s="6">
        <v>548.9005</v>
      </c>
      <c r="M553" s="5" t="s">
        <v>33</v>
      </c>
      <c r="N553" s="5" t="s">
        <v>56</v>
      </c>
      <c r="O553" s="5">
        <v>0</v>
      </c>
      <c r="P553" s="5" t="s">
        <v>1157</v>
      </c>
      <c r="Q553" s="5" t="s">
        <v>1158</v>
      </c>
      <c r="R553" s="5">
        <v>48.33</v>
      </c>
      <c r="S553" s="4">
        <v>45281</v>
      </c>
      <c r="T553" s="4">
        <v>45291</v>
      </c>
      <c r="U553" s="5">
        <f t="shared" si="26"/>
        <v>10</v>
      </c>
      <c r="V553" s="5" t="s">
        <v>67</v>
      </c>
      <c r="X553" s="5"/>
    </row>
    <row r="554" spans="1:24">
      <c r="A554" s="4">
        <v>45486</v>
      </c>
      <c r="B554" s="5" t="str">
        <f t="shared" si="24"/>
        <v>July</v>
      </c>
      <c r="C554" s="5" t="s">
        <v>18</v>
      </c>
      <c r="D554" s="5" t="s">
        <v>26</v>
      </c>
      <c r="E554" s="5">
        <v>15</v>
      </c>
      <c r="F554" s="5">
        <v>368.79</v>
      </c>
      <c r="G554" s="6">
        <f t="shared" si="25"/>
        <v>5531.85</v>
      </c>
      <c r="H554" s="5" t="s">
        <v>77</v>
      </c>
      <c r="I554" s="5" t="s">
        <v>54</v>
      </c>
      <c r="J554" s="5">
        <v>0.1</v>
      </c>
      <c r="K554" s="5" t="s">
        <v>89</v>
      </c>
      <c r="L554" s="6">
        <v>4978.665</v>
      </c>
      <c r="M554" s="5" t="s">
        <v>31</v>
      </c>
      <c r="N554" s="5" t="s">
        <v>69</v>
      </c>
      <c r="O554" s="5">
        <v>0</v>
      </c>
      <c r="P554" s="5" t="s">
        <v>1159</v>
      </c>
      <c r="Q554" s="5" t="s">
        <v>1160</v>
      </c>
      <c r="R554" s="5">
        <v>16.9</v>
      </c>
      <c r="S554" s="4">
        <v>45486</v>
      </c>
      <c r="T554" s="4">
        <v>45488</v>
      </c>
      <c r="U554" s="5">
        <f t="shared" si="26"/>
        <v>2</v>
      </c>
      <c r="V554" s="5" t="s">
        <v>72</v>
      </c>
      <c r="X554" s="5"/>
    </row>
    <row r="555" spans="1:24">
      <c r="A555" s="4">
        <v>45374</v>
      </c>
      <c r="B555" s="5" t="str">
        <f t="shared" si="24"/>
        <v>March</v>
      </c>
      <c r="C555" s="5" t="s">
        <v>20</v>
      </c>
      <c r="D555" s="5" t="s">
        <v>26</v>
      </c>
      <c r="E555" s="5">
        <v>4</v>
      </c>
      <c r="F555" s="5">
        <v>56.06</v>
      </c>
      <c r="G555" s="6">
        <f t="shared" si="25"/>
        <v>224.24</v>
      </c>
      <c r="H555" s="5" t="s">
        <v>81</v>
      </c>
      <c r="I555" s="5" t="s">
        <v>62</v>
      </c>
      <c r="J555" s="5">
        <v>0.15</v>
      </c>
      <c r="K555" s="5" t="s">
        <v>78</v>
      </c>
      <c r="L555" s="6">
        <v>190.604</v>
      </c>
      <c r="M555" s="5" t="s">
        <v>34</v>
      </c>
      <c r="N555" s="5" t="s">
        <v>64</v>
      </c>
      <c r="O555" s="5">
        <v>0</v>
      </c>
      <c r="P555" s="5" t="s">
        <v>1161</v>
      </c>
      <c r="Q555" s="5" t="s">
        <v>1162</v>
      </c>
      <c r="R555" s="5">
        <v>10.77</v>
      </c>
      <c r="S555" s="4">
        <v>45374</v>
      </c>
      <c r="T555" s="4">
        <v>45383</v>
      </c>
      <c r="U555" s="5">
        <f t="shared" si="26"/>
        <v>9</v>
      </c>
      <c r="V555" s="5" t="s">
        <v>94</v>
      </c>
      <c r="X555" s="5"/>
    </row>
    <row r="556" spans="1:24">
      <c r="A556" s="4">
        <v>45370</v>
      </c>
      <c r="B556" s="5" t="str">
        <f t="shared" si="24"/>
        <v>March</v>
      </c>
      <c r="C556" s="5" t="s">
        <v>20</v>
      </c>
      <c r="D556" s="5" t="s">
        <v>25</v>
      </c>
      <c r="E556" s="5">
        <v>7</v>
      </c>
      <c r="F556" s="5">
        <v>15.65</v>
      </c>
      <c r="G556" s="6">
        <f t="shared" si="25"/>
        <v>109.55</v>
      </c>
      <c r="H556" s="5" t="s">
        <v>81</v>
      </c>
      <c r="I556" s="5" t="s">
        <v>54</v>
      </c>
      <c r="J556" s="5">
        <v>0</v>
      </c>
      <c r="K556" s="5" t="s">
        <v>78</v>
      </c>
      <c r="L556" s="6">
        <v>109.55</v>
      </c>
      <c r="M556" s="5" t="s">
        <v>33</v>
      </c>
      <c r="N556" s="5"/>
      <c r="O556" s="5">
        <v>0</v>
      </c>
      <c r="P556" s="5" t="s">
        <v>1163</v>
      </c>
      <c r="Q556" s="5" t="s">
        <v>1164</v>
      </c>
      <c r="R556" s="5">
        <v>13.28</v>
      </c>
      <c r="S556" s="4">
        <v>45370</v>
      </c>
      <c r="T556" s="4">
        <v>45376</v>
      </c>
      <c r="U556" s="5">
        <f t="shared" si="26"/>
        <v>6</v>
      </c>
      <c r="V556" s="5" t="s">
        <v>94</v>
      </c>
      <c r="X556" s="5"/>
    </row>
    <row r="557" spans="1:24">
      <c r="A557" s="4">
        <v>45797</v>
      </c>
      <c r="B557" s="5" t="str">
        <f t="shared" si="24"/>
        <v>May</v>
      </c>
      <c r="C557" s="5" t="s">
        <v>19</v>
      </c>
      <c r="D557" s="5" t="s">
        <v>101</v>
      </c>
      <c r="E557" s="5">
        <v>9</v>
      </c>
      <c r="F557" s="5">
        <v>380.85</v>
      </c>
      <c r="G557" s="6">
        <f t="shared" si="25"/>
        <v>3427.65</v>
      </c>
      <c r="H557" s="5" t="s">
        <v>53</v>
      </c>
      <c r="I557" s="5" t="s">
        <v>54</v>
      </c>
      <c r="J557" s="5">
        <v>0</v>
      </c>
      <c r="K557" s="5" t="s">
        <v>78</v>
      </c>
      <c r="L557" s="6">
        <v>3427.65</v>
      </c>
      <c r="M557" s="5" t="s">
        <v>34</v>
      </c>
      <c r="N557" s="5" t="s">
        <v>56</v>
      </c>
      <c r="O557" s="5">
        <v>0</v>
      </c>
      <c r="P557" s="5" t="s">
        <v>1165</v>
      </c>
      <c r="Q557" s="5" t="s">
        <v>846</v>
      </c>
      <c r="R557" s="5">
        <v>33.4</v>
      </c>
      <c r="S557" s="4">
        <v>45797</v>
      </c>
      <c r="T557" s="4">
        <v>45806</v>
      </c>
      <c r="U557" s="5">
        <f t="shared" si="26"/>
        <v>9</v>
      </c>
      <c r="V557" s="5" t="s">
        <v>76</v>
      </c>
      <c r="X557" s="5"/>
    </row>
    <row r="558" spans="1:24">
      <c r="A558" s="4">
        <v>45676</v>
      </c>
      <c r="B558" s="5" t="str">
        <f t="shared" si="24"/>
        <v>January</v>
      </c>
      <c r="C558" s="5" t="s">
        <v>17</v>
      </c>
      <c r="D558" s="5" t="s">
        <v>25</v>
      </c>
      <c r="E558" s="5">
        <v>11</v>
      </c>
      <c r="F558" s="5">
        <v>587.21</v>
      </c>
      <c r="G558" s="6">
        <f t="shared" si="25"/>
        <v>6459.31</v>
      </c>
      <c r="H558" s="5" t="s">
        <v>77</v>
      </c>
      <c r="I558" s="5" t="s">
        <v>54</v>
      </c>
      <c r="J558" s="5">
        <v>0</v>
      </c>
      <c r="K558" s="5" t="s">
        <v>78</v>
      </c>
      <c r="L558" s="6">
        <v>6459.31</v>
      </c>
      <c r="M558" s="5" t="s">
        <v>33</v>
      </c>
      <c r="N558" s="5" t="s">
        <v>69</v>
      </c>
      <c r="O558" s="5">
        <v>0</v>
      </c>
      <c r="P558" s="5" t="s">
        <v>1166</v>
      </c>
      <c r="Q558" s="5" t="s">
        <v>1167</v>
      </c>
      <c r="R558" s="5">
        <v>34.32</v>
      </c>
      <c r="S558" s="4">
        <v>45676</v>
      </c>
      <c r="T558" s="4">
        <v>45683</v>
      </c>
      <c r="U558" s="5">
        <f t="shared" si="26"/>
        <v>7</v>
      </c>
      <c r="V558" s="5" t="s">
        <v>67</v>
      </c>
      <c r="X558" s="5"/>
    </row>
    <row r="559" spans="1:24">
      <c r="A559" s="4">
        <v>45074</v>
      </c>
      <c r="B559" s="5" t="str">
        <f t="shared" si="24"/>
        <v>May</v>
      </c>
      <c r="C559" s="5" t="s">
        <v>17</v>
      </c>
      <c r="D559" s="5" t="s">
        <v>27</v>
      </c>
      <c r="E559" s="5">
        <v>17</v>
      </c>
      <c r="F559" s="5">
        <v>554.25</v>
      </c>
      <c r="G559" s="6">
        <f t="shared" si="25"/>
        <v>9422.25</v>
      </c>
      <c r="H559" s="5" t="s">
        <v>61</v>
      </c>
      <c r="I559" s="5" t="s">
        <v>54</v>
      </c>
      <c r="J559" s="5">
        <v>0.1</v>
      </c>
      <c r="K559" s="5" t="s">
        <v>82</v>
      </c>
      <c r="L559" s="6">
        <v>8480.025</v>
      </c>
      <c r="M559" s="5" t="s">
        <v>33</v>
      </c>
      <c r="N559" s="5"/>
      <c r="O559" s="5">
        <v>0</v>
      </c>
      <c r="P559" s="5" t="s">
        <v>1168</v>
      </c>
      <c r="Q559" s="5" t="s">
        <v>1169</v>
      </c>
      <c r="R559" s="5">
        <v>8.66</v>
      </c>
      <c r="S559" s="4">
        <v>45074</v>
      </c>
      <c r="T559" s="4">
        <v>45078</v>
      </c>
      <c r="U559" s="5">
        <f t="shared" si="26"/>
        <v>4</v>
      </c>
      <c r="V559" s="5" t="s">
        <v>67</v>
      </c>
      <c r="X559" s="5"/>
    </row>
    <row r="560" spans="1:24">
      <c r="A560" s="4">
        <v>45227</v>
      </c>
      <c r="B560" s="5" t="str">
        <f t="shared" si="24"/>
        <v>October</v>
      </c>
      <c r="C560" s="5" t="s">
        <v>16</v>
      </c>
      <c r="D560" s="5" t="s">
        <v>27</v>
      </c>
      <c r="E560" s="5">
        <v>3</v>
      </c>
      <c r="F560" s="5">
        <v>410.23</v>
      </c>
      <c r="G560" s="6">
        <f t="shared" si="25"/>
        <v>1230.69</v>
      </c>
      <c r="H560" s="5" t="s">
        <v>61</v>
      </c>
      <c r="I560" s="5" t="s">
        <v>54</v>
      </c>
      <c r="J560" s="5">
        <v>0.15</v>
      </c>
      <c r="K560" s="5" t="s">
        <v>82</v>
      </c>
      <c r="L560" s="6">
        <v>1046.0865</v>
      </c>
      <c r="M560" s="5" t="s">
        <v>32</v>
      </c>
      <c r="N560" s="5" t="s">
        <v>56</v>
      </c>
      <c r="O560" s="5">
        <v>0</v>
      </c>
      <c r="P560" s="5" t="s">
        <v>1170</v>
      </c>
      <c r="Q560" s="5" t="s">
        <v>1171</v>
      </c>
      <c r="R560" s="5">
        <v>6.04</v>
      </c>
      <c r="S560" s="4">
        <v>45227</v>
      </c>
      <c r="T560" s="4">
        <v>45233</v>
      </c>
      <c r="U560" s="5">
        <f t="shared" si="26"/>
        <v>6</v>
      </c>
      <c r="V560" s="5" t="s">
        <v>59</v>
      </c>
      <c r="X560" s="5"/>
    </row>
    <row r="561" spans="1:24">
      <c r="A561" s="4">
        <v>45255</v>
      </c>
      <c r="B561" s="5" t="str">
        <f t="shared" si="24"/>
        <v>November</v>
      </c>
      <c r="C561" s="5" t="s">
        <v>20</v>
      </c>
      <c r="D561" s="5" t="s">
        <v>26</v>
      </c>
      <c r="E561" s="5">
        <v>5</v>
      </c>
      <c r="F561" s="5">
        <v>99.23</v>
      </c>
      <c r="G561" s="6">
        <f t="shared" si="25"/>
        <v>496.15</v>
      </c>
      <c r="H561" s="5" t="s">
        <v>53</v>
      </c>
      <c r="I561" s="5" t="s">
        <v>62</v>
      </c>
      <c r="J561" s="5">
        <v>0</v>
      </c>
      <c r="K561" s="5" t="s">
        <v>55</v>
      </c>
      <c r="L561" s="6">
        <v>496.15</v>
      </c>
      <c r="M561" s="5" t="s">
        <v>33</v>
      </c>
      <c r="N561" s="5"/>
      <c r="O561" s="5">
        <v>0</v>
      </c>
      <c r="P561" s="5" t="s">
        <v>1172</v>
      </c>
      <c r="Q561" s="5" t="s">
        <v>1173</v>
      </c>
      <c r="R561" s="5">
        <v>37.66</v>
      </c>
      <c r="S561" s="4">
        <v>45255</v>
      </c>
      <c r="T561" s="4">
        <v>45262</v>
      </c>
      <c r="U561" s="5">
        <f t="shared" si="26"/>
        <v>7</v>
      </c>
      <c r="V561" s="5" t="s">
        <v>94</v>
      </c>
      <c r="X561" s="5"/>
    </row>
    <row r="562" spans="1:24">
      <c r="A562" s="4">
        <v>45613</v>
      </c>
      <c r="B562" s="5" t="str">
        <f t="shared" si="24"/>
        <v>November</v>
      </c>
      <c r="C562" s="5" t="s">
        <v>17</v>
      </c>
      <c r="D562" s="5" t="s">
        <v>26</v>
      </c>
      <c r="E562" s="5">
        <v>9</v>
      </c>
      <c r="F562" s="5">
        <v>503.18</v>
      </c>
      <c r="G562" s="6">
        <f t="shared" si="25"/>
        <v>4528.62</v>
      </c>
      <c r="H562" s="5" t="s">
        <v>53</v>
      </c>
      <c r="I562" s="5" t="s">
        <v>54</v>
      </c>
      <c r="J562" s="5">
        <v>0</v>
      </c>
      <c r="K562" s="5" t="s">
        <v>82</v>
      </c>
      <c r="L562" s="6">
        <v>4528.62</v>
      </c>
      <c r="M562" s="5" t="s">
        <v>31</v>
      </c>
      <c r="N562" s="5" t="s">
        <v>64</v>
      </c>
      <c r="O562" s="5">
        <v>1</v>
      </c>
      <c r="P562" s="5" t="s">
        <v>1174</v>
      </c>
      <c r="Q562" s="5" t="s">
        <v>1175</v>
      </c>
      <c r="R562" s="5">
        <v>46.02</v>
      </c>
      <c r="S562" s="4">
        <v>45613</v>
      </c>
      <c r="T562" s="4">
        <v>45620</v>
      </c>
      <c r="U562" s="5">
        <f t="shared" si="26"/>
        <v>7</v>
      </c>
      <c r="V562" s="5" t="s">
        <v>67</v>
      </c>
      <c r="X562" s="5"/>
    </row>
    <row r="563" spans="1:24">
      <c r="A563" s="4">
        <v>45315</v>
      </c>
      <c r="B563" s="5" t="str">
        <f t="shared" si="24"/>
        <v>January</v>
      </c>
      <c r="C563" s="5" t="s">
        <v>19</v>
      </c>
      <c r="D563" s="5" t="s">
        <v>26</v>
      </c>
      <c r="E563" s="5">
        <v>17</v>
      </c>
      <c r="F563" s="5">
        <v>155.31</v>
      </c>
      <c r="G563" s="6">
        <f t="shared" si="25"/>
        <v>2640.27</v>
      </c>
      <c r="H563" s="5" t="s">
        <v>77</v>
      </c>
      <c r="I563" s="5" t="s">
        <v>62</v>
      </c>
      <c r="J563" s="5">
        <v>0.15</v>
      </c>
      <c r="K563" s="5" t="s">
        <v>89</v>
      </c>
      <c r="L563" s="6">
        <v>2244.2295</v>
      </c>
      <c r="M563" s="5" t="s">
        <v>32</v>
      </c>
      <c r="N563" s="5" t="s">
        <v>69</v>
      </c>
      <c r="O563" s="5">
        <v>0</v>
      </c>
      <c r="P563" s="5" t="s">
        <v>1176</v>
      </c>
      <c r="Q563" s="5" t="s">
        <v>1177</v>
      </c>
      <c r="R563" s="5">
        <v>27.1</v>
      </c>
      <c r="S563" s="4">
        <v>45315</v>
      </c>
      <c r="T563" s="4">
        <v>45320</v>
      </c>
      <c r="U563" s="5">
        <f t="shared" si="26"/>
        <v>5</v>
      </c>
      <c r="V563" s="5" t="s">
        <v>76</v>
      </c>
      <c r="X563" s="5"/>
    </row>
    <row r="564" spans="1:24">
      <c r="A564" s="4">
        <v>45096</v>
      </c>
      <c r="B564" s="5" t="str">
        <f t="shared" si="24"/>
        <v>June</v>
      </c>
      <c r="C564" s="5" t="s">
        <v>18</v>
      </c>
      <c r="D564" s="5" t="s">
        <v>25</v>
      </c>
      <c r="E564" s="5">
        <v>7</v>
      </c>
      <c r="F564" s="5">
        <v>303.79</v>
      </c>
      <c r="G564" s="6">
        <f t="shared" si="25"/>
        <v>2126.53</v>
      </c>
      <c r="H564" s="5" t="s">
        <v>81</v>
      </c>
      <c r="I564" s="5" t="s">
        <v>54</v>
      </c>
      <c r="J564" s="5">
        <v>0.15</v>
      </c>
      <c r="K564" s="5" t="s">
        <v>73</v>
      </c>
      <c r="L564" s="6">
        <v>1807.5505</v>
      </c>
      <c r="M564" s="5" t="s">
        <v>32</v>
      </c>
      <c r="N564" s="5" t="s">
        <v>64</v>
      </c>
      <c r="O564" s="5">
        <v>0</v>
      </c>
      <c r="P564" s="5" t="s">
        <v>1178</v>
      </c>
      <c r="Q564" s="5" t="s">
        <v>1179</v>
      </c>
      <c r="R564" s="5">
        <v>38.85</v>
      </c>
      <c r="S564" s="4">
        <v>45096</v>
      </c>
      <c r="T564" s="4">
        <v>45106</v>
      </c>
      <c r="U564" s="5">
        <f t="shared" si="26"/>
        <v>10</v>
      </c>
      <c r="V564" s="5" t="s">
        <v>72</v>
      </c>
      <c r="X564" s="5"/>
    </row>
    <row r="565" spans="1:24">
      <c r="A565" s="4">
        <v>45670</v>
      </c>
      <c r="B565" s="5" t="str">
        <f t="shared" si="24"/>
        <v>January</v>
      </c>
      <c r="C565" s="5" t="s">
        <v>16</v>
      </c>
      <c r="D565" s="5" t="s">
        <v>23</v>
      </c>
      <c r="E565" s="5">
        <v>17</v>
      </c>
      <c r="F565" s="5">
        <v>263.75</v>
      </c>
      <c r="G565" s="6">
        <f t="shared" si="25"/>
        <v>4483.75</v>
      </c>
      <c r="H565" s="5" t="s">
        <v>53</v>
      </c>
      <c r="I565" s="5" t="s">
        <v>62</v>
      </c>
      <c r="J565" s="5">
        <v>0</v>
      </c>
      <c r="K565" s="5" t="s">
        <v>63</v>
      </c>
      <c r="L565" s="6">
        <v>4483.75</v>
      </c>
      <c r="M565" s="5" t="s">
        <v>30</v>
      </c>
      <c r="N565" s="5"/>
      <c r="O565" s="5">
        <v>1</v>
      </c>
      <c r="P565" s="5" t="s">
        <v>1180</v>
      </c>
      <c r="Q565" s="5" t="s">
        <v>1181</v>
      </c>
      <c r="R565" s="5">
        <v>12.97</v>
      </c>
      <c r="S565" s="4">
        <v>45670</v>
      </c>
      <c r="T565" s="4">
        <v>45675</v>
      </c>
      <c r="U565" s="5">
        <f t="shared" si="26"/>
        <v>5</v>
      </c>
      <c r="V565" s="5" t="s">
        <v>59</v>
      </c>
      <c r="X565" s="5"/>
    </row>
    <row r="566" spans="1:24">
      <c r="A566" s="4">
        <v>45315</v>
      </c>
      <c r="B566" s="5" t="str">
        <f t="shared" si="24"/>
        <v>January</v>
      </c>
      <c r="C566" s="5" t="s">
        <v>16</v>
      </c>
      <c r="D566" s="5" t="s">
        <v>23</v>
      </c>
      <c r="E566" s="5">
        <v>4</v>
      </c>
      <c r="F566" s="5">
        <v>179.92</v>
      </c>
      <c r="G566" s="6">
        <f t="shared" si="25"/>
        <v>719.68</v>
      </c>
      <c r="H566" s="5" t="s">
        <v>81</v>
      </c>
      <c r="I566" s="5" t="s">
        <v>62</v>
      </c>
      <c r="J566" s="5">
        <v>0.1</v>
      </c>
      <c r="K566" s="5" t="s">
        <v>82</v>
      </c>
      <c r="L566" s="6">
        <v>647.712</v>
      </c>
      <c r="M566" s="5" t="s">
        <v>30</v>
      </c>
      <c r="N566" s="5" t="s">
        <v>69</v>
      </c>
      <c r="O566" s="5">
        <v>0</v>
      </c>
      <c r="P566" s="5" t="s">
        <v>1182</v>
      </c>
      <c r="Q566" s="5" t="s">
        <v>1183</v>
      </c>
      <c r="R566" s="5">
        <v>35.26</v>
      </c>
      <c r="S566" s="4">
        <v>45315</v>
      </c>
      <c r="T566" s="4">
        <v>45323</v>
      </c>
      <c r="U566" s="5">
        <f t="shared" si="26"/>
        <v>8</v>
      </c>
      <c r="V566" s="5" t="s">
        <v>59</v>
      </c>
      <c r="X566" s="5"/>
    </row>
    <row r="567" spans="1:24">
      <c r="A567" s="4">
        <v>45663</v>
      </c>
      <c r="B567" s="5" t="str">
        <f t="shared" si="24"/>
        <v>January</v>
      </c>
      <c r="C567" s="5" t="s">
        <v>17</v>
      </c>
      <c r="D567" s="5" t="s">
        <v>27</v>
      </c>
      <c r="E567" s="5">
        <v>2</v>
      </c>
      <c r="F567" s="5">
        <v>264</v>
      </c>
      <c r="G567" s="6">
        <f t="shared" si="25"/>
        <v>528</v>
      </c>
      <c r="H567" s="5" t="s">
        <v>81</v>
      </c>
      <c r="I567" s="5" t="s">
        <v>62</v>
      </c>
      <c r="J567" s="5">
        <v>0</v>
      </c>
      <c r="K567" s="5" t="s">
        <v>89</v>
      </c>
      <c r="L567" s="6">
        <v>528</v>
      </c>
      <c r="M567" s="5" t="s">
        <v>31</v>
      </c>
      <c r="N567" s="5" t="s">
        <v>64</v>
      </c>
      <c r="O567" s="5">
        <v>0</v>
      </c>
      <c r="P567" s="5" t="s">
        <v>1184</v>
      </c>
      <c r="Q567" s="5" t="s">
        <v>1185</v>
      </c>
      <c r="R567" s="5">
        <v>26.73</v>
      </c>
      <c r="S567" s="4">
        <v>45663</v>
      </c>
      <c r="T567" s="4">
        <v>45671</v>
      </c>
      <c r="U567" s="5">
        <f t="shared" si="26"/>
        <v>8</v>
      </c>
      <c r="V567" s="5" t="s">
        <v>67</v>
      </c>
      <c r="X567" s="5"/>
    </row>
    <row r="568" spans="1:24">
      <c r="A568" s="4">
        <v>45659</v>
      </c>
      <c r="B568" s="5" t="str">
        <f t="shared" si="24"/>
        <v>January</v>
      </c>
      <c r="C568" s="5" t="s">
        <v>19</v>
      </c>
      <c r="D568" s="5" t="s">
        <v>22</v>
      </c>
      <c r="E568" s="5">
        <v>4</v>
      </c>
      <c r="F568" s="5">
        <v>403.97</v>
      </c>
      <c r="G568" s="6">
        <f t="shared" si="25"/>
        <v>1615.88</v>
      </c>
      <c r="H568" s="5" t="s">
        <v>61</v>
      </c>
      <c r="I568" s="5" t="s">
        <v>54</v>
      </c>
      <c r="J568" s="5">
        <v>0.05</v>
      </c>
      <c r="K568" s="5" t="s">
        <v>63</v>
      </c>
      <c r="L568" s="6">
        <v>1535.086</v>
      </c>
      <c r="M568" s="5" t="s">
        <v>34</v>
      </c>
      <c r="N568" s="5" t="s">
        <v>69</v>
      </c>
      <c r="O568" s="5">
        <v>0</v>
      </c>
      <c r="P568" s="5" t="s">
        <v>1186</v>
      </c>
      <c r="Q568" s="5" t="s">
        <v>1187</v>
      </c>
      <c r="R568" s="5">
        <v>39.92</v>
      </c>
      <c r="S568" s="4">
        <v>45659</v>
      </c>
      <c r="T568" s="4">
        <v>45666</v>
      </c>
      <c r="U568" s="5">
        <f t="shared" si="26"/>
        <v>7</v>
      </c>
      <c r="V568" s="5" t="s">
        <v>76</v>
      </c>
      <c r="X568" s="5"/>
    </row>
    <row r="569" spans="1:24">
      <c r="A569" s="4">
        <v>44979</v>
      </c>
      <c r="B569" s="5" t="str">
        <f t="shared" si="24"/>
        <v>February</v>
      </c>
      <c r="C569" s="5" t="s">
        <v>18</v>
      </c>
      <c r="D569" s="5" t="s">
        <v>24</v>
      </c>
      <c r="E569" s="5">
        <v>4</v>
      </c>
      <c r="F569" s="5">
        <v>85.96</v>
      </c>
      <c r="G569" s="6">
        <f t="shared" si="25"/>
        <v>343.84</v>
      </c>
      <c r="H569" s="5" t="s">
        <v>61</v>
      </c>
      <c r="I569" s="5" t="s">
        <v>62</v>
      </c>
      <c r="J569" s="5">
        <v>0.1</v>
      </c>
      <c r="K569" s="5" t="s">
        <v>73</v>
      </c>
      <c r="L569" s="6">
        <v>309.456</v>
      </c>
      <c r="M569" s="5" t="s">
        <v>32</v>
      </c>
      <c r="N569" s="5"/>
      <c r="O569" s="5">
        <v>0</v>
      </c>
      <c r="P569" s="5" t="s">
        <v>1188</v>
      </c>
      <c r="Q569" s="5" t="s">
        <v>1189</v>
      </c>
      <c r="R569" s="5">
        <v>32.12</v>
      </c>
      <c r="S569" s="4">
        <v>44979</v>
      </c>
      <c r="T569" s="4">
        <v>44988</v>
      </c>
      <c r="U569" s="5">
        <f t="shared" si="26"/>
        <v>9</v>
      </c>
      <c r="V569" s="5" t="s">
        <v>72</v>
      </c>
      <c r="X569" s="5"/>
    </row>
    <row r="570" spans="1:24">
      <c r="A570" s="4">
        <v>45694</v>
      </c>
      <c r="B570" s="5" t="str">
        <f t="shared" si="24"/>
        <v>February</v>
      </c>
      <c r="C570" s="5" t="s">
        <v>16</v>
      </c>
      <c r="D570" s="5" t="s">
        <v>24</v>
      </c>
      <c r="E570" s="5">
        <v>2</v>
      </c>
      <c r="F570" s="5">
        <v>93.49</v>
      </c>
      <c r="G570" s="6">
        <f t="shared" si="25"/>
        <v>186.98</v>
      </c>
      <c r="H570" s="5" t="s">
        <v>61</v>
      </c>
      <c r="I570" s="5" t="s">
        <v>54</v>
      </c>
      <c r="J570" s="5">
        <v>0.1</v>
      </c>
      <c r="K570" s="5" t="s">
        <v>63</v>
      </c>
      <c r="L570" s="6">
        <v>168.282</v>
      </c>
      <c r="M570" s="5" t="s">
        <v>33</v>
      </c>
      <c r="N570" s="5" t="s">
        <v>69</v>
      </c>
      <c r="O570" s="5">
        <v>0</v>
      </c>
      <c r="P570" s="5" t="s">
        <v>1190</v>
      </c>
      <c r="Q570" s="5" t="s">
        <v>1191</v>
      </c>
      <c r="R570" s="5">
        <v>26.31</v>
      </c>
      <c r="S570" s="4">
        <v>45694</v>
      </c>
      <c r="T570" s="4">
        <v>45704</v>
      </c>
      <c r="U570" s="5">
        <f t="shared" si="26"/>
        <v>10</v>
      </c>
      <c r="V570" s="5" t="s">
        <v>59</v>
      </c>
      <c r="X570" s="5"/>
    </row>
    <row r="571" spans="1:24">
      <c r="A571" s="4">
        <v>45561</v>
      </c>
      <c r="B571" s="5" t="str">
        <f t="shared" si="24"/>
        <v>September</v>
      </c>
      <c r="C571" s="5" t="s">
        <v>16</v>
      </c>
      <c r="D571" s="5" t="s">
        <v>24</v>
      </c>
      <c r="E571" s="5">
        <v>11</v>
      </c>
      <c r="F571" s="5">
        <v>144.29</v>
      </c>
      <c r="G571" s="6">
        <f t="shared" si="25"/>
        <v>1587.19</v>
      </c>
      <c r="H571" s="5" t="s">
        <v>53</v>
      </c>
      <c r="I571" s="5" t="s">
        <v>62</v>
      </c>
      <c r="J571" s="5">
        <v>0.05</v>
      </c>
      <c r="K571" s="5" t="s">
        <v>89</v>
      </c>
      <c r="L571" s="6">
        <v>1507.8305</v>
      </c>
      <c r="M571" s="5" t="s">
        <v>32</v>
      </c>
      <c r="N571" s="5" t="s">
        <v>69</v>
      </c>
      <c r="O571" s="5">
        <v>0</v>
      </c>
      <c r="P571" s="5" t="s">
        <v>1192</v>
      </c>
      <c r="Q571" s="5" t="s">
        <v>904</v>
      </c>
      <c r="R571" s="5">
        <v>11.91</v>
      </c>
      <c r="S571" s="4">
        <v>45561</v>
      </c>
      <c r="T571" s="4">
        <v>45565</v>
      </c>
      <c r="U571" s="5">
        <f t="shared" si="26"/>
        <v>4</v>
      </c>
      <c r="V571" s="5" t="s">
        <v>59</v>
      </c>
      <c r="X571" s="5"/>
    </row>
    <row r="572" spans="1:24">
      <c r="A572" s="4">
        <v>45744</v>
      </c>
      <c r="B572" s="5" t="str">
        <f t="shared" si="24"/>
        <v>March</v>
      </c>
      <c r="C572" s="5" t="s">
        <v>18</v>
      </c>
      <c r="D572" s="5" t="s">
        <v>25</v>
      </c>
      <c r="E572" s="5">
        <v>18</v>
      </c>
      <c r="F572" s="5">
        <v>553.23</v>
      </c>
      <c r="G572" s="6">
        <f t="shared" si="25"/>
        <v>9958.14</v>
      </c>
      <c r="H572" s="5" t="s">
        <v>81</v>
      </c>
      <c r="I572" s="5" t="s">
        <v>54</v>
      </c>
      <c r="J572" s="5">
        <v>0</v>
      </c>
      <c r="K572" s="5" t="s">
        <v>73</v>
      </c>
      <c r="L572" s="6">
        <v>9958.14</v>
      </c>
      <c r="M572" s="5" t="s">
        <v>34</v>
      </c>
      <c r="N572" s="5" t="s">
        <v>56</v>
      </c>
      <c r="O572" s="5">
        <v>0</v>
      </c>
      <c r="P572" s="5" t="s">
        <v>1193</v>
      </c>
      <c r="Q572" s="5" t="s">
        <v>1194</v>
      </c>
      <c r="R572" s="5">
        <v>31.76</v>
      </c>
      <c r="S572" s="4">
        <v>45744</v>
      </c>
      <c r="T572" s="4">
        <v>45748</v>
      </c>
      <c r="U572" s="5">
        <f t="shared" si="26"/>
        <v>4</v>
      </c>
      <c r="V572" s="5" t="s">
        <v>72</v>
      </c>
      <c r="X572" s="5"/>
    </row>
    <row r="573" spans="1:24">
      <c r="A573" s="4">
        <v>45108</v>
      </c>
      <c r="B573" s="5" t="str">
        <f t="shared" si="24"/>
        <v>July</v>
      </c>
      <c r="C573" s="5" t="s">
        <v>16</v>
      </c>
      <c r="D573" s="5" t="s">
        <v>25</v>
      </c>
      <c r="E573" s="5">
        <v>9</v>
      </c>
      <c r="F573" s="5">
        <v>228.3</v>
      </c>
      <c r="G573" s="6">
        <f t="shared" si="25"/>
        <v>2054.7</v>
      </c>
      <c r="H573" s="5" t="s">
        <v>53</v>
      </c>
      <c r="I573" s="5" t="s">
        <v>62</v>
      </c>
      <c r="J573" s="5">
        <v>0.05</v>
      </c>
      <c r="K573" s="5" t="s">
        <v>55</v>
      </c>
      <c r="L573" s="6">
        <v>1951.965</v>
      </c>
      <c r="M573" s="5" t="s">
        <v>33</v>
      </c>
      <c r="N573" s="5" t="s">
        <v>56</v>
      </c>
      <c r="O573" s="5">
        <v>0</v>
      </c>
      <c r="P573" s="5" t="s">
        <v>1195</v>
      </c>
      <c r="Q573" s="5" t="s">
        <v>1196</v>
      </c>
      <c r="R573" s="5">
        <v>8.75</v>
      </c>
      <c r="S573" s="4">
        <v>45108</v>
      </c>
      <c r="T573" s="4">
        <v>45116</v>
      </c>
      <c r="U573" s="5">
        <f t="shared" si="26"/>
        <v>8</v>
      </c>
      <c r="V573" s="5" t="s">
        <v>59</v>
      </c>
      <c r="X573" s="5"/>
    </row>
    <row r="574" spans="1:24">
      <c r="A574" s="4">
        <v>45045</v>
      </c>
      <c r="B574" s="5" t="str">
        <f t="shared" si="24"/>
        <v>April</v>
      </c>
      <c r="C574" s="5" t="s">
        <v>20</v>
      </c>
      <c r="D574" s="5" t="s">
        <v>24</v>
      </c>
      <c r="E574" s="5">
        <v>7</v>
      </c>
      <c r="F574" s="5">
        <v>235.94</v>
      </c>
      <c r="G574" s="6">
        <f t="shared" si="25"/>
        <v>1651.58</v>
      </c>
      <c r="H574" s="5" t="s">
        <v>81</v>
      </c>
      <c r="I574" s="5" t="s">
        <v>54</v>
      </c>
      <c r="J574" s="5">
        <v>0.1</v>
      </c>
      <c r="K574" s="5" t="s">
        <v>63</v>
      </c>
      <c r="L574" s="6">
        <v>1486.422</v>
      </c>
      <c r="M574" s="5" t="s">
        <v>31</v>
      </c>
      <c r="N574" s="5" t="s">
        <v>56</v>
      </c>
      <c r="O574" s="5">
        <v>0</v>
      </c>
      <c r="P574" s="5" t="s">
        <v>1197</v>
      </c>
      <c r="Q574" s="5" t="s">
        <v>1198</v>
      </c>
      <c r="R574" s="5">
        <v>8.44</v>
      </c>
      <c r="S574" s="4">
        <v>45045</v>
      </c>
      <c r="T574" s="4">
        <v>45050</v>
      </c>
      <c r="U574" s="5">
        <f t="shared" si="26"/>
        <v>5</v>
      </c>
      <c r="V574" s="5" t="s">
        <v>94</v>
      </c>
      <c r="X574" s="5"/>
    </row>
    <row r="575" spans="1:24">
      <c r="A575" s="4">
        <v>45046</v>
      </c>
      <c r="B575" s="5" t="str">
        <f t="shared" si="24"/>
        <v>April</v>
      </c>
      <c r="C575" s="5" t="s">
        <v>16</v>
      </c>
      <c r="D575" s="5" t="s">
        <v>27</v>
      </c>
      <c r="E575" s="5">
        <v>17</v>
      </c>
      <c r="F575" s="5">
        <v>369.52</v>
      </c>
      <c r="G575" s="6">
        <f t="shared" si="25"/>
        <v>6281.84</v>
      </c>
      <c r="H575" s="5" t="s">
        <v>77</v>
      </c>
      <c r="I575" s="5" t="s">
        <v>54</v>
      </c>
      <c r="J575" s="5">
        <v>0</v>
      </c>
      <c r="K575" s="5" t="s">
        <v>78</v>
      </c>
      <c r="L575" s="6">
        <v>6281.84</v>
      </c>
      <c r="M575" s="5" t="s">
        <v>31</v>
      </c>
      <c r="N575" s="5"/>
      <c r="O575" s="5">
        <v>0</v>
      </c>
      <c r="P575" s="5" t="s">
        <v>1199</v>
      </c>
      <c r="Q575" s="5" t="s">
        <v>1200</v>
      </c>
      <c r="R575" s="5">
        <v>17.12</v>
      </c>
      <c r="S575" s="4">
        <v>45046</v>
      </c>
      <c r="T575" s="4">
        <v>45052</v>
      </c>
      <c r="U575" s="5">
        <f t="shared" si="26"/>
        <v>6</v>
      </c>
      <c r="V575" s="5" t="s">
        <v>59</v>
      </c>
      <c r="X575" s="5"/>
    </row>
    <row r="576" spans="1:24">
      <c r="A576" s="4">
        <v>45365</v>
      </c>
      <c r="B576" s="5" t="str">
        <f t="shared" si="24"/>
        <v>March</v>
      </c>
      <c r="C576" s="5" t="s">
        <v>20</v>
      </c>
      <c r="D576" s="5" t="s">
        <v>23</v>
      </c>
      <c r="E576" s="5">
        <v>8</v>
      </c>
      <c r="F576" s="5">
        <v>142.09</v>
      </c>
      <c r="G576" s="6">
        <f t="shared" si="25"/>
        <v>1136.72</v>
      </c>
      <c r="H576" s="5" t="s">
        <v>61</v>
      </c>
      <c r="I576" s="5" t="s">
        <v>54</v>
      </c>
      <c r="J576" s="5">
        <v>0</v>
      </c>
      <c r="K576" s="5" t="s">
        <v>55</v>
      </c>
      <c r="L576" s="6">
        <v>1136.72</v>
      </c>
      <c r="M576" s="5" t="s">
        <v>32</v>
      </c>
      <c r="N576" s="5" t="s">
        <v>69</v>
      </c>
      <c r="O576" s="5">
        <v>0</v>
      </c>
      <c r="P576" s="5" t="s">
        <v>1201</v>
      </c>
      <c r="Q576" s="5" t="s">
        <v>1202</v>
      </c>
      <c r="R576" s="5">
        <v>38.97</v>
      </c>
      <c r="S576" s="4">
        <v>45365</v>
      </c>
      <c r="T576" s="4">
        <v>45371</v>
      </c>
      <c r="U576" s="5">
        <f t="shared" si="26"/>
        <v>6</v>
      </c>
      <c r="V576" s="5" t="s">
        <v>94</v>
      </c>
      <c r="X576" s="5"/>
    </row>
    <row r="577" spans="1:24">
      <c r="A577" s="4">
        <v>45104</v>
      </c>
      <c r="B577" s="5" t="str">
        <f t="shared" si="24"/>
        <v>June</v>
      </c>
      <c r="C577" s="5" t="s">
        <v>19</v>
      </c>
      <c r="D577" s="5" t="s">
        <v>25</v>
      </c>
      <c r="E577" s="5">
        <v>3</v>
      </c>
      <c r="F577" s="5">
        <v>497.61</v>
      </c>
      <c r="G577" s="6">
        <f t="shared" si="25"/>
        <v>1492.83</v>
      </c>
      <c r="H577" s="5" t="s">
        <v>53</v>
      </c>
      <c r="I577" s="5" t="s">
        <v>54</v>
      </c>
      <c r="J577" s="5">
        <v>0.15</v>
      </c>
      <c r="K577" s="5" t="s">
        <v>63</v>
      </c>
      <c r="L577" s="6">
        <v>1268.9055</v>
      </c>
      <c r="M577" s="5" t="s">
        <v>34</v>
      </c>
      <c r="N577" s="5" t="s">
        <v>56</v>
      </c>
      <c r="O577" s="5">
        <v>1</v>
      </c>
      <c r="P577" s="5" t="s">
        <v>1203</v>
      </c>
      <c r="Q577" s="5" t="s">
        <v>1204</v>
      </c>
      <c r="R577" s="5">
        <v>13.97</v>
      </c>
      <c r="S577" s="4">
        <v>45104</v>
      </c>
      <c r="T577" s="4">
        <v>45109</v>
      </c>
      <c r="U577" s="5">
        <f t="shared" si="26"/>
        <v>5</v>
      </c>
      <c r="V577" s="5" t="s">
        <v>76</v>
      </c>
      <c r="X577" s="5"/>
    </row>
    <row r="578" spans="1:24">
      <c r="A578" s="4">
        <v>45392</v>
      </c>
      <c r="B578" s="5" t="str">
        <f t="shared" si="24"/>
        <v>April</v>
      </c>
      <c r="C578" s="5" t="s">
        <v>18</v>
      </c>
      <c r="D578" s="5" t="s">
        <v>22</v>
      </c>
      <c r="E578" s="5">
        <v>19</v>
      </c>
      <c r="F578" s="5">
        <v>9.48</v>
      </c>
      <c r="G578" s="6">
        <f t="shared" si="25"/>
        <v>180.12</v>
      </c>
      <c r="H578" s="5" t="s">
        <v>61</v>
      </c>
      <c r="I578" s="5" t="s">
        <v>54</v>
      </c>
      <c r="J578" s="5">
        <v>0</v>
      </c>
      <c r="K578" s="5" t="s">
        <v>78</v>
      </c>
      <c r="L578" s="6">
        <v>180.12</v>
      </c>
      <c r="M578" s="5" t="s">
        <v>30</v>
      </c>
      <c r="N578" s="5"/>
      <c r="O578" s="5">
        <v>0</v>
      </c>
      <c r="P578" s="5" t="s">
        <v>1205</v>
      </c>
      <c r="Q578" s="5" t="s">
        <v>1206</v>
      </c>
      <c r="R578" s="5">
        <v>22.33</v>
      </c>
      <c r="S578" s="4">
        <v>45392</v>
      </c>
      <c r="T578" s="4">
        <v>45394</v>
      </c>
      <c r="U578" s="5">
        <f t="shared" si="26"/>
        <v>2</v>
      </c>
      <c r="V578" s="5" t="s">
        <v>72</v>
      </c>
      <c r="X578" s="5"/>
    </row>
    <row r="579" spans="1:24">
      <c r="A579" s="4">
        <v>45168</v>
      </c>
      <c r="B579" s="5" t="str">
        <f t="shared" ref="B579:B642" si="27">TEXT(A579,"mmmm")</f>
        <v>August</v>
      </c>
      <c r="C579" s="5" t="s">
        <v>19</v>
      </c>
      <c r="D579" s="5" t="s">
        <v>27</v>
      </c>
      <c r="E579" s="5">
        <v>8</v>
      </c>
      <c r="F579" s="5">
        <v>55.27</v>
      </c>
      <c r="G579" s="6">
        <f t="shared" ref="G579:G642" si="28">F579*E579</f>
        <v>442.16</v>
      </c>
      <c r="H579" s="5" t="s">
        <v>61</v>
      </c>
      <c r="I579" s="5" t="s">
        <v>54</v>
      </c>
      <c r="J579" s="5">
        <v>0.15</v>
      </c>
      <c r="K579" s="5" t="s">
        <v>89</v>
      </c>
      <c r="L579" s="6">
        <v>375.836</v>
      </c>
      <c r="M579" s="5" t="s">
        <v>34</v>
      </c>
      <c r="N579" s="5" t="s">
        <v>69</v>
      </c>
      <c r="O579" s="5">
        <v>0</v>
      </c>
      <c r="P579" s="5" t="s">
        <v>1207</v>
      </c>
      <c r="Q579" s="5" t="s">
        <v>1208</v>
      </c>
      <c r="R579" s="5">
        <v>16.84</v>
      </c>
      <c r="S579" s="4">
        <v>45168</v>
      </c>
      <c r="T579" s="4">
        <v>45170</v>
      </c>
      <c r="U579" s="5">
        <f t="shared" ref="U579:U642" si="29">T579-S579</f>
        <v>2</v>
      </c>
      <c r="V579" s="5" t="s">
        <v>76</v>
      </c>
      <c r="X579" s="5"/>
    </row>
    <row r="580" spans="1:24">
      <c r="A580" s="4">
        <v>45222</v>
      </c>
      <c r="B580" s="5" t="str">
        <f t="shared" si="27"/>
        <v>October</v>
      </c>
      <c r="C580" s="5" t="s">
        <v>20</v>
      </c>
      <c r="D580" s="5" t="s">
        <v>22</v>
      </c>
      <c r="E580" s="5">
        <v>17</v>
      </c>
      <c r="F580" s="5">
        <v>25.95</v>
      </c>
      <c r="G580" s="6">
        <f t="shared" si="28"/>
        <v>441.15</v>
      </c>
      <c r="H580" s="5" t="s">
        <v>53</v>
      </c>
      <c r="I580" s="5" t="s">
        <v>54</v>
      </c>
      <c r="J580" s="5">
        <v>0.05</v>
      </c>
      <c r="K580" s="5" t="s">
        <v>89</v>
      </c>
      <c r="L580" s="6">
        <v>419.0925</v>
      </c>
      <c r="M580" s="5" t="s">
        <v>31</v>
      </c>
      <c r="N580" s="5"/>
      <c r="O580" s="5">
        <v>0</v>
      </c>
      <c r="P580" s="5" t="s">
        <v>1209</v>
      </c>
      <c r="Q580" s="5" t="s">
        <v>1210</v>
      </c>
      <c r="R580" s="5">
        <v>27.68</v>
      </c>
      <c r="S580" s="4">
        <v>45222</v>
      </c>
      <c r="T580" s="4">
        <v>45229</v>
      </c>
      <c r="U580" s="5">
        <f t="shared" si="29"/>
        <v>7</v>
      </c>
      <c r="V580" s="5" t="s">
        <v>94</v>
      </c>
      <c r="X580" s="5"/>
    </row>
    <row r="581" spans="1:24">
      <c r="A581" s="4">
        <v>45008</v>
      </c>
      <c r="B581" s="5" t="str">
        <f t="shared" si="27"/>
        <v>March</v>
      </c>
      <c r="C581" s="5" t="s">
        <v>18</v>
      </c>
      <c r="D581" s="5" t="s">
        <v>24</v>
      </c>
      <c r="E581" s="5">
        <v>18</v>
      </c>
      <c r="F581" s="5">
        <v>209.65</v>
      </c>
      <c r="G581" s="6">
        <f t="shared" si="28"/>
        <v>3773.7</v>
      </c>
      <c r="H581" s="5" t="s">
        <v>61</v>
      </c>
      <c r="I581" s="5" t="s">
        <v>54</v>
      </c>
      <c r="J581" s="5">
        <v>0.1</v>
      </c>
      <c r="K581" s="5" t="s">
        <v>78</v>
      </c>
      <c r="L581" s="6">
        <v>3396.33</v>
      </c>
      <c r="M581" s="5" t="s">
        <v>33</v>
      </c>
      <c r="N581" s="5"/>
      <c r="O581" s="5">
        <v>0</v>
      </c>
      <c r="P581" s="5" t="s">
        <v>1211</v>
      </c>
      <c r="Q581" s="5" t="s">
        <v>1212</v>
      </c>
      <c r="R581" s="5">
        <v>42.04</v>
      </c>
      <c r="S581" s="4">
        <v>45008</v>
      </c>
      <c r="T581" s="4">
        <v>45015</v>
      </c>
      <c r="U581" s="5">
        <f t="shared" si="29"/>
        <v>7</v>
      </c>
      <c r="V581" s="5" t="s">
        <v>72</v>
      </c>
      <c r="X581" s="5"/>
    </row>
    <row r="582" spans="1:24">
      <c r="A582" s="4">
        <v>45556</v>
      </c>
      <c r="B582" s="5" t="str">
        <f t="shared" si="27"/>
        <v>September</v>
      </c>
      <c r="C582" s="5" t="s">
        <v>19</v>
      </c>
      <c r="D582" s="5" t="s">
        <v>22</v>
      </c>
      <c r="E582" s="5">
        <v>13</v>
      </c>
      <c r="F582" s="5">
        <v>75.77</v>
      </c>
      <c r="G582" s="6">
        <f t="shared" si="28"/>
        <v>985.01</v>
      </c>
      <c r="H582" s="5" t="s">
        <v>53</v>
      </c>
      <c r="I582" s="5" t="s">
        <v>54</v>
      </c>
      <c r="J582" s="5">
        <v>0.15</v>
      </c>
      <c r="K582" s="5" t="s">
        <v>73</v>
      </c>
      <c r="L582" s="6">
        <v>837.2585</v>
      </c>
      <c r="M582" s="5" t="s">
        <v>33</v>
      </c>
      <c r="N582" s="5" t="s">
        <v>64</v>
      </c>
      <c r="O582" s="5">
        <v>0</v>
      </c>
      <c r="P582" s="5" t="s">
        <v>1213</v>
      </c>
      <c r="Q582" s="5" t="s">
        <v>1214</v>
      </c>
      <c r="R582" s="5">
        <v>41.94</v>
      </c>
      <c r="S582" s="4">
        <v>45556</v>
      </c>
      <c r="T582" s="4">
        <v>45565</v>
      </c>
      <c r="U582" s="5">
        <f t="shared" si="29"/>
        <v>9</v>
      </c>
      <c r="V582" s="5" t="s">
        <v>76</v>
      </c>
      <c r="X582" s="5"/>
    </row>
    <row r="583" spans="1:24">
      <c r="A583" s="4">
        <v>45652</v>
      </c>
      <c r="B583" s="5" t="str">
        <f t="shared" si="27"/>
        <v>December</v>
      </c>
      <c r="C583" s="5" t="s">
        <v>20</v>
      </c>
      <c r="D583" s="5" t="s">
        <v>101</v>
      </c>
      <c r="E583" s="5">
        <v>5</v>
      </c>
      <c r="F583" s="5">
        <v>307.84</v>
      </c>
      <c r="G583" s="6">
        <f t="shared" si="28"/>
        <v>1539.2</v>
      </c>
      <c r="H583" s="5" t="s">
        <v>53</v>
      </c>
      <c r="I583" s="5" t="s">
        <v>54</v>
      </c>
      <c r="J583" s="5">
        <v>0.1</v>
      </c>
      <c r="K583" s="5" t="s">
        <v>89</v>
      </c>
      <c r="L583" s="6">
        <v>1385.28</v>
      </c>
      <c r="M583" s="5" t="s">
        <v>30</v>
      </c>
      <c r="N583" s="5" t="s">
        <v>64</v>
      </c>
      <c r="O583" s="5">
        <v>0</v>
      </c>
      <c r="P583" s="5" t="s">
        <v>1215</v>
      </c>
      <c r="Q583" s="5" t="s">
        <v>1216</v>
      </c>
      <c r="R583" s="5">
        <v>13.61</v>
      </c>
      <c r="S583" s="4">
        <v>45652</v>
      </c>
      <c r="T583" s="4">
        <v>45660</v>
      </c>
      <c r="U583" s="5">
        <f t="shared" si="29"/>
        <v>8</v>
      </c>
      <c r="V583" s="5" t="s">
        <v>94</v>
      </c>
      <c r="X583" s="5"/>
    </row>
    <row r="584" spans="1:24">
      <c r="A584" s="4">
        <v>44983</v>
      </c>
      <c r="B584" s="5" t="str">
        <f t="shared" si="27"/>
        <v>February</v>
      </c>
      <c r="C584" s="5" t="s">
        <v>16</v>
      </c>
      <c r="D584" s="5" t="s">
        <v>23</v>
      </c>
      <c r="E584" s="5">
        <v>13</v>
      </c>
      <c r="F584" s="5">
        <v>6.5</v>
      </c>
      <c r="G584" s="6">
        <f t="shared" si="28"/>
        <v>84.5</v>
      </c>
      <c r="H584" s="5" t="s">
        <v>61</v>
      </c>
      <c r="I584" s="5" t="s">
        <v>54</v>
      </c>
      <c r="J584" s="5">
        <v>0</v>
      </c>
      <c r="K584" s="5" t="s">
        <v>82</v>
      </c>
      <c r="L584" s="6">
        <v>84.5</v>
      </c>
      <c r="M584" s="5" t="s">
        <v>34</v>
      </c>
      <c r="N584" s="5"/>
      <c r="O584" s="5">
        <v>0</v>
      </c>
      <c r="P584" s="5" t="s">
        <v>1217</v>
      </c>
      <c r="Q584" s="5" t="s">
        <v>1218</v>
      </c>
      <c r="R584" s="5">
        <v>20.02</v>
      </c>
      <c r="S584" s="4">
        <v>44983</v>
      </c>
      <c r="T584" s="4">
        <v>44988</v>
      </c>
      <c r="U584" s="5">
        <f t="shared" si="29"/>
        <v>5</v>
      </c>
      <c r="V584" s="5" t="s">
        <v>59</v>
      </c>
      <c r="X584" s="5"/>
    </row>
    <row r="585" spans="1:24">
      <c r="A585" s="4">
        <v>45636</v>
      </c>
      <c r="B585" s="5" t="str">
        <f t="shared" si="27"/>
        <v>December</v>
      </c>
      <c r="C585" s="5" t="s">
        <v>18</v>
      </c>
      <c r="D585" s="5" t="s">
        <v>26</v>
      </c>
      <c r="E585" s="5">
        <v>8</v>
      </c>
      <c r="F585" s="5">
        <v>70.79</v>
      </c>
      <c r="G585" s="6">
        <f t="shared" si="28"/>
        <v>566.32</v>
      </c>
      <c r="H585" s="5" t="s">
        <v>53</v>
      </c>
      <c r="I585" s="5" t="s">
        <v>54</v>
      </c>
      <c r="J585" s="5">
        <v>0</v>
      </c>
      <c r="K585" s="5" t="s">
        <v>82</v>
      </c>
      <c r="L585" s="6">
        <v>566.32</v>
      </c>
      <c r="M585" s="5" t="s">
        <v>30</v>
      </c>
      <c r="N585" s="5"/>
      <c r="O585" s="5">
        <v>0</v>
      </c>
      <c r="P585" s="5" t="s">
        <v>1219</v>
      </c>
      <c r="Q585" s="5" t="s">
        <v>1220</v>
      </c>
      <c r="R585" s="5">
        <v>46.35</v>
      </c>
      <c r="S585" s="4">
        <v>45636</v>
      </c>
      <c r="T585" s="4">
        <v>45640</v>
      </c>
      <c r="U585" s="5">
        <f t="shared" si="29"/>
        <v>4</v>
      </c>
      <c r="V585" s="5" t="s">
        <v>72</v>
      </c>
      <c r="X585" s="5"/>
    </row>
    <row r="586" spans="1:24">
      <c r="A586" s="4">
        <v>45658</v>
      </c>
      <c r="B586" s="5" t="str">
        <f t="shared" si="27"/>
        <v>January</v>
      </c>
      <c r="C586" s="5" t="s">
        <v>16</v>
      </c>
      <c r="D586" s="5" t="s">
        <v>22</v>
      </c>
      <c r="E586" s="5">
        <v>17</v>
      </c>
      <c r="F586" s="5">
        <v>584.7</v>
      </c>
      <c r="G586" s="6">
        <f t="shared" si="28"/>
        <v>9939.9</v>
      </c>
      <c r="H586" s="5" t="s">
        <v>81</v>
      </c>
      <c r="I586" s="5" t="s">
        <v>62</v>
      </c>
      <c r="J586" s="5">
        <v>0.1</v>
      </c>
      <c r="K586" s="5" t="s">
        <v>55</v>
      </c>
      <c r="L586" s="6">
        <v>8945.91</v>
      </c>
      <c r="M586" s="5" t="s">
        <v>30</v>
      </c>
      <c r="N586" s="5"/>
      <c r="O586" s="5">
        <v>1</v>
      </c>
      <c r="P586" s="5" t="s">
        <v>1221</v>
      </c>
      <c r="Q586" s="5" t="s">
        <v>1222</v>
      </c>
      <c r="R586" s="5">
        <v>46.59</v>
      </c>
      <c r="S586" s="4">
        <v>45658</v>
      </c>
      <c r="T586" s="4">
        <v>45660</v>
      </c>
      <c r="U586" s="5">
        <f t="shared" si="29"/>
        <v>2</v>
      </c>
      <c r="V586" s="5" t="s">
        <v>59</v>
      </c>
      <c r="X586" s="5"/>
    </row>
    <row r="587" spans="1:24">
      <c r="A587" s="4">
        <v>45730</v>
      </c>
      <c r="B587" s="5" t="str">
        <f t="shared" si="27"/>
        <v>March</v>
      </c>
      <c r="C587" s="5" t="s">
        <v>16</v>
      </c>
      <c r="D587" s="5" t="s">
        <v>23</v>
      </c>
      <c r="E587" s="5">
        <v>4</v>
      </c>
      <c r="F587" s="5">
        <v>23.27</v>
      </c>
      <c r="G587" s="6">
        <f t="shared" si="28"/>
        <v>93.08</v>
      </c>
      <c r="H587" s="5" t="s">
        <v>77</v>
      </c>
      <c r="I587" s="5" t="s">
        <v>54</v>
      </c>
      <c r="J587" s="5">
        <v>0.15</v>
      </c>
      <c r="K587" s="5" t="s">
        <v>82</v>
      </c>
      <c r="L587" s="6">
        <v>79.118</v>
      </c>
      <c r="M587" s="5" t="s">
        <v>30</v>
      </c>
      <c r="N587" s="5" t="s">
        <v>64</v>
      </c>
      <c r="O587" s="5">
        <v>0</v>
      </c>
      <c r="P587" s="5" t="s">
        <v>1223</v>
      </c>
      <c r="Q587" s="5" t="s">
        <v>1224</v>
      </c>
      <c r="R587" s="5">
        <v>32.86</v>
      </c>
      <c r="S587" s="4">
        <v>45730</v>
      </c>
      <c r="T587" s="4">
        <v>45737</v>
      </c>
      <c r="U587" s="5">
        <f t="shared" si="29"/>
        <v>7</v>
      </c>
      <c r="V587" s="5" t="s">
        <v>59</v>
      </c>
      <c r="X587" s="5"/>
    </row>
    <row r="588" spans="1:24">
      <c r="A588" s="4">
        <v>45307</v>
      </c>
      <c r="B588" s="5" t="str">
        <f t="shared" si="27"/>
        <v>January</v>
      </c>
      <c r="C588" s="5" t="s">
        <v>17</v>
      </c>
      <c r="D588" s="5" t="s">
        <v>101</v>
      </c>
      <c r="E588" s="5">
        <v>5</v>
      </c>
      <c r="F588" s="5">
        <v>440.93</v>
      </c>
      <c r="G588" s="6">
        <f t="shared" si="28"/>
        <v>2204.65</v>
      </c>
      <c r="H588" s="5" t="s">
        <v>53</v>
      </c>
      <c r="I588" s="5" t="s">
        <v>54</v>
      </c>
      <c r="J588" s="5">
        <v>0.1</v>
      </c>
      <c r="K588" s="5" t="s">
        <v>78</v>
      </c>
      <c r="L588" s="6">
        <v>1984.185</v>
      </c>
      <c r="M588" s="5" t="s">
        <v>31</v>
      </c>
      <c r="N588" s="5"/>
      <c r="O588" s="5">
        <v>0</v>
      </c>
      <c r="P588" s="5" t="s">
        <v>1225</v>
      </c>
      <c r="Q588" s="5" t="s">
        <v>1226</v>
      </c>
      <c r="R588" s="5">
        <v>23.84</v>
      </c>
      <c r="S588" s="4">
        <v>45307</v>
      </c>
      <c r="T588" s="4">
        <v>45311</v>
      </c>
      <c r="U588" s="5">
        <f t="shared" si="29"/>
        <v>4</v>
      </c>
      <c r="V588" s="5" t="s">
        <v>67</v>
      </c>
      <c r="X588" s="5"/>
    </row>
    <row r="589" spans="1:24">
      <c r="A589" s="4">
        <v>45401</v>
      </c>
      <c r="B589" s="5" t="str">
        <f t="shared" si="27"/>
        <v>April</v>
      </c>
      <c r="C589" s="5" t="s">
        <v>20</v>
      </c>
      <c r="D589" s="5" t="s">
        <v>101</v>
      </c>
      <c r="E589" s="5">
        <v>10</v>
      </c>
      <c r="F589" s="5">
        <v>278.45</v>
      </c>
      <c r="G589" s="6">
        <f t="shared" si="28"/>
        <v>2784.5</v>
      </c>
      <c r="H589" s="5" t="s">
        <v>81</v>
      </c>
      <c r="I589" s="5" t="s">
        <v>54</v>
      </c>
      <c r="J589" s="5">
        <v>0</v>
      </c>
      <c r="K589" s="5" t="s">
        <v>55</v>
      </c>
      <c r="L589" s="6">
        <v>2784.5</v>
      </c>
      <c r="M589" s="5" t="s">
        <v>32</v>
      </c>
      <c r="N589" s="5" t="s">
        <v>64</v>
      </c>
      <c r="O589" s="5">
        <v>0</v>
      </c>
      <c r="P589" s="5" t="s">
        <v>1227</v>
      </c>
      <c r="Q589" s="5" t="s">
        <v>1228</v>
      </c>
      <c r="R589" s="5">
        <v>11.13</v>
      </c>
      <c r="S589" s="4">
        <v>45401</v>
      </c>
      <c r="T589" s="4">
        <v>45407</v>
      </c>
      <c r="U589" s="5">
        <f t="shared" si="29"/>
        <v>6</v>
      </c>
      <c r="V589" s="5" t="s">
        <v>94</v>
      </c>
      <c r="X589" s="5"/>
    </row>
    <row r="590" spans="1:24">
      <c r="A590" s="4">
        <v>45268</v>
      </c>
      <c r="B590" s="5" t="str">
        <f t="shared" si="27"/>
        <v>December</v>
      </c>
      <c r="C590" s="5" t="s">
        <v>18</v>
      </c>
      <c r="D590" s="5" t="s">
        <v>26</v>
      </c>
      <c r="E590" s="5">
        <v>14</v>
      </c>
      <c r="F590" s="5">
        <v>382.19</v>
      </c>
      <c r="G590" s="6">
        <f t="shared" si="28"/>
        <v>5350.66</v>
      </c>
      <c r="H590" s="5" t="s">
        <v>53</v>
      </c>
      <c r="I590" s="5" t="s">
        <v>54</v>
      </c>
      <c r="J590" s="5">
        <v>0.05</v>
      </c>
      <c r="K590" s="5" t="s">
        <v>73</v>
      </c>
      <c r="L590" s="6">
        <v>5083.127</v>
      </c>
      <c r="M590" s="5" t="s">
        <v>34</v>
      </c>
      <c r="N590" s="5" t="s">
        <v>56</v>
      </c>
      <c r="O590" s="5">
        <v>1</v>
      </c>
      <c r="P590" s="5" t="s">
        <v>1229</v>
      </c>
      <c r="Q590" s="5" t="s">
        <v>1230</v>
      </c>
      <c r="R590" s="5">
        <v>49.12</v>
      </c>
      <c r="S590" s="4">
        <v>45268</v>
      </c>
      <c r="T590" s="4">
        <v>45271</v>
      </c>
      <c r="U590" s="5">
        <f t="shared" si="29"/>
        <v>3</v>
      </c>
      <c r="V590" s="5" t="s">
        <v>72</v>
      </c>
      <c r="X590" s="5"/>
    </row>
    <row r="591" spans="1:24">
      <c r="A591" s="4">
        <v>45000</v>
      </c>
      <c r="B591" s="5" t="str">
        <f t="shared" si="27"/>
        <v>March</v>
      </c>
      <c r="C591" s="5" t="s">
        <v>18</v>
      </c>
      <c r="D591" s="5" t="s">
        <v>26</v>
      </c>
      <c r="E591" s="5">
        <v>14</v>
      </c>
      <c r="F591" s="5">
        <v>232.49</v>
      </c>
      <c r="G591" s="6">
        <f t="shared" si="28"/>
        <v>3254.86</v>
      </c>
      <c r="H591" s="5" t="s">
        <v>81</v>
      </c>
      <c r="I591" s="5" t="s">
        <v>54</v>
      </c>
      <c r="J591" s="5">
        <v>0.05</v>
      </c>
      <c r="K591" s="5" t="s">
        <v>82</v>
      </c>
      <c r="L591" s="6">
        <v>3092.117</v>
      </c>
      <c r="M591" s="5" t="s">
        <v>30</v>
      </c>
      <c r="N591" s="5" t="s">
        <v>64</v>
      </c>
      <c r="O591" s="5">
        <v>1</v>
      </c>
      <c r="P591" s="5" t="s">
        <v>1231</v>
      </c>
      <c r="Q591" s="5" t="s">
        <v>1232</v>
      </c>
      <c r="R591" s="5">
        <v>5.32</v>
      </c>
      <c r="S591" s="4">
        <v>45000</v>
      </c>
      <c r="T591" s="4">
        <v>45004</v>
      </c>
      <c r="U591" s="5">
        <f t="shared" si="29"/>
        <v>4</v>
      </c>
      <c r="V591" s="5" t="s">
        <v>72</v>
      </c>
      <c r="X591" s="5"/>
    </row>
    <row r="592" spans="1:24">
      <c r="A592" s="4">
        <v>45695</v>
      </c>
      <c r="B592" s="5" t="str">
        <f t="shared" si="27"/>
        <v>February</v>
      </c>
      <c r="C592" s="5" t="s">
        <v>17</v>
      </c>
      <c r="D592" s="5" t="s">
        <v>22</v>
      </c>
      <c r="E592" s="5">
        <v>17</v>
      </c>
      <c r="F592" s="5">
        <v>15.01</v>
      </c>
      <c r="G592" s="6">
        <f t="shared" si="28"/>
        <v>255.17</v>
      </c>
      <c r="H592" s="5" t="s">
        <v>81</v>
      </c>
      <c r="I592" s="5" t="s">
        <v>54</v>
      </c>
      <c r="J592" s="5">
        <v>0.15</v>
      </c>
      <c r="K592" s="5" t="s">
        <v>82</v>
      </c>
      <c r="L592" s="6">
        <v>216.8945</v>
      </c>
      <c r="M592" s="5" t="s">
        <v>33</v>
      </c>
      <c r="N592" s="5" t="s">
        <v>64</v>
      </c>
      <c r="O592" s="5">
        <v>1</v>
      </c>
      <c r="P592" s="5" t="s">
        <v>1233</v>
      </c>
      <c r="Q592" s="5" t="s">
        <v>1234</v>
      </c>
      <c r="R592" s="5">
        <v>22</v>
      </c>
      <c r="S592" s="4">
        <v>45695</v>
      </c>
      <c r="T592" s="4">
        <v>45701</v>
      </c>
      <c r="U592" s="5">
        <f t="shared" si="29"/>
        <v>6</v>
      </c>
      <c r="V592" s="5" t="s">
        <v>67</v>
      </c>
      <c r="X592" s="5"/>
    </row>
    <row r="593" spans="1:24">
      <c r="A593" s="4">
        <v>45835</v>
      </c>
      <c r="B593" s="5" t="str">
        <f t="shared" si="27"/>
        <v>June</v>
      </c>
      <c r="C593" s="5" t="s">
        <v>18</v>
      </c>
      <c r="D593" s="5" t="s">
        <v>26</v>
      </c>
      <c r="E593" s="5">
        <v>11</v>
      </c>
      <c r="F593" s="5">
        <v>29.41</v>
      </c>
      <c r="G593" s="6">
        <f t="shared" si="28"/>
        <v>323.51</v>
      </c>
      <c r="H593" s="5" t="s">
        <v>81</v>
      </c>
      <c r="I593" s="5" t="s">
        <v>62</v>
      </c>
      <c r="J593" s="5">
        <v>0.05</v>
      </c>
      <c r="K593" s="5" t="s">
        <v>78</v>
      </c>
      <c r="L593" s="6">
        <v>307.3345</v>
      </c>
      <c r="M593" s="5" t="s">
        <v>32</v>
      </c>
      <c r="N593" s="5" t="s">
        <v>64</v>
      </c>
      <c r="O593" s="5">
        <v>0</v>
      </c>
      <c r="P593" s="5" t="s">
        <v>1235</v>
      </c>
      <c r="Q593" s="5" t="s">
        <v>1236</v>
      </c>
      <c r="R593" s="5">
        <v>6.16</v>
      </c>
      <c r="S593" s="4">
        <v>45835</v>
      </c>
      <c r="T593" s="4">
        <v>45840</v>
      </c>
      <c r="U593" s="5">
        <f t="shared" si="29"/>
        <v>5</v>
      </c>
      <c r="V593" s="5" t="s">
        <v>72</v>
      </c>
      <c r="X593" s="5"/>
    </row>
    <row r="594" spans="1:24">
      <c r="A594" s="4">
        <v>45643</v>
      </c>
      <c r="B594" s="5" t="str">
        <f t="shared" si="27"/>
        <v>December</v>
      </c>
      <c r="C594" s="5" t="s">
        <v>19</v>
      </c>
      <c r="D594" s="5" t="s">
        <v>101</v>
      </c>
      <c r="E594" s="5">
        <v>1</v>
      </c>
      <c r="F594" s="5">
        <v>486.19</v>
      </c>
      <c r="G594" s="6">
        <f t="shared" si="28"/>
        <v>486.19</v>
      </c>
      <c r="H594" s="5" t="s">
        <v>53</v>
      </c>
      <c r="I594" s="5" t="s">
        <v>62</v>
      </c>
      <c r="J594" s="5">
        <v>0.05</v>
      </c>
      <c r="K594" s="5" t="s">
        <v>73</v>
      </c>
      <c r="L594" s="6">
        <v>461.8805</v>
      </c>
      <c r="M594" s="5" t="s">
        <v>30</v>
      </c>
      <c r="N594" s="5" t="s">
        <v>64</v>
      </c>
      <c r="O594" s="5">
        <v>0</v>
      </c>
      <c r="P594" s="5" t="s">
        <v>1237</v>
      </c>
      <c r="Q594" s="5" t="s">
        <v>1238</v>
      </c>
      <c r="R594" s="5">
        <v>41.73</v>
      </c>
      <c r="S594" s="4">
        <v>45643</v>
      </c>
      <c r="T594" s="4">
        <v>45646</v>
      </c>
      <c r="U594" s="5">
        <f t="shared" si="29"/>
        <v>3</v>
      </c>
      <c r="V594" s="5" t="s">
        <v>76</v>
      </c>
      <c r="X594" s="5"/>
    </row>
    <row r="595" spans="1:24">
      <c r="A595" s="4">
        <v>45415</v>
      </c>
      <c r="B595" s="5" t="str">
        <f t="shared" si="27"/>
        <v>May</v>
      </c>
      <c r="C595" s="5" t="s">
        <v>17</v>
      </c>
      <c r="D595" s="5" t="s">
        <v>22</v>
      </c>
      <c r="E595" s="5">
        <v>6</v>
      </c>
      <c r="F595" s="5">
        <v>266.67</v>
      </c>
      <c r="G595" s="6">
        <f t="shared" si="28"/>
        <v>1600.02</v>
      </c>
      <c r="H595" s="5" t="s">
        <v>53</v>
      </c>
      <c r="I595" s="5" t="s">
        <v>54</v>
      </c>
      <c r="J595" s="5">
        <v>0.05</v>
      </c>
      <c r="K595" s="5" t="s">
        <v>55</v>
      </c>
      <c r="L595" s="6">
        <v>1520.019</v>
      </c>
      <c r="M595" s="5" t="s">
        <v>33</v>
      </c>
      <c r="N595" s="5"/>
      <c r="O595" s="5">
        <v>0</v>
      </c>
      <c r="P595" s="5" t="s">
        <v>1239</v>
      </c>
      <c r="Q595" s="5" t="s">
        <v>1240</v>
      </c>
      <c r="R595" s="5">
        <v>48.49</v>
      </c>
      <c r="S595" s="4">
        <v>45415</v>
      </c>
      <c r="T595" s="4">
        <v>45423</v>
      </c>
      <c r="U595" s="5">
        <f t="shared" si="29"/>
        <v>8</v>
      </c>
      <c r="V595" s="5" t="s">
        <v>67</v>
      </c>
      <c r="X595" s="5"/>
    </row>
    <row r="596" spans="1:24">
      <c r="A596" s="4">
        <v>45286</v>
      </c>
      <c r="B596" s="5" t="str">
        <f t="shared" si="27"/>
        <v>December</v>
      </c>
      <c r="C596" s="5" t="s">
        <v>17</v>
      </c>
      <c r="D596" s="5" t="s">
        <v>27</v>
      </c>
      <c r="E596" s="5">
        <v>3</v>
      </c>
      <c r="F596" s="5">
        <v>300.8</v>
      </c>
      <c r="G596" s="6">
        <f t="shared" si="28"/>
        <v>902.4</v>
      </c>
      <c r="H596" s="5" t="s">
        <v>53</v>
      </c>
      <c r="I596" s="5" t="s">
        <v>54</v>
      </c>
      <c r="J596" s="5">
        <v>0.1</v>
      </c>
      <c r="K596" s="5" t="s">
        <v>78</v>
      </c>
      <c r="L596" s="6">
        <v>812.16</v>
      </c>
      <c r="M596" s="5" t="s">
        <v>34</v>
      </c>
      <c r="N596" s="5"/>
      <c r="O596" s="5">
        <v>1</v>
      </c>
      <c r="P596" s="5" t="s">
        <v>1241</v>
      </c>
      <c r="Q596" s="5" t="s">
        <v>1049</v>
      </c>
      <c r="R596" s="5">
        <v>15.98</v>
      </c>
      <c r="S596" s="4">
        <v>45286</v>
      </c>
      <c r="T596" s="4">
        <v>45292</v>
      </c>
      <c r="U596" s="5">
        <f t="shared" si="29"/>
        <v>6</v>
      </c>
      <c r="V596" s="5" t="s">
        <v>67</v>
      </c>
      <c r="X596" s="5"/>
    </row>
    <row r="597" spans="1:24">
      <c r="A597" s="4">
        <v>45425</v>
      </c>
      <c r="B597" s="5" t="str">
        <f t="shared" si="27"/>
        <v>May</v>
      </c>
      <c r="C597" s="5" t="s">
        <v>19</v>
      </c>
      <c r="D597" s="5" t="s">
        <v>27</v>
      </c>
      <c r="E597" s="5">
        <v>11</v>
      </c>
      <c r="F597" s="5">
        <v>79.63</v>
      </c>
      <c r="G597" s="6">
        <f t="shared" si="28"/>
        <v>875.93</v>
      </c>
      <c r="H597" s="5" t="s">
        <v>53</v>
      </c>
      <c r="I597" s="5" t="s">
        <v>54</v>
      </c>
      <c r="J597" s="5">
        <v>0.05</v>
      </c>
      <c r="K597" s="5" t="s">
        <v>73</v>
      </c>
      <c r="L597" s="6">
        <v>832.1335</v>
      </c>
      <c r="M597" s="5" t="s">
        <v>30</v>
      </c>
      <c r="N597" s="5"/>
      <c r="O597" s="5">
        <v>0</v>
      </c>
      <c r="P597" s="5" t="s">
        <v>1242</v>
      </c>
      <c r="Q597" s="5" t="s">
        <v>1243</v>
      </c>
      <c r="R597" s="5">
        <v>43.84</v>
      </c>
      <c r="S597" s="4">
        <v>45425</v>
      </c>
      <c r="T597" s="4">
        <v>45431</v>
      </c>
      <c r="U597" s="5">
        <f t="shared" si="29"/>
        <v>6</v>
      </c>
      <c r="V597" s="5" t="s">
        <v>76</v>
      </c>
      <c r="X597" s="5"/>
    </row>
    <row r="598" spans="1:24">
      <c r="A598" s="4">
        <v>45206</v>
      </c>
      <c r="B598" s="5" t="str">
        <f t="shared" si="27"/>
        <v>October</v>
      </c>
      <c r="C598" s="5" t="s">
        <v>17</v>
      </c>
      <c r="D598" s="5" t="s">
        <v>22</v>
      </c>
      <c r="E598" s="5">
        <v>6</v>
      </c>
      <c r="F598" s="5">
        <v>505.7</v>
      </c>
      <c r="G598" s="6">
        <f t="shared" si="28"/>
        <v>3034.2</v>
      </c>
      <c r="H598" s="5" t="s">
        <v>77</v>
      </c>
      <c r="I598" s="5" t="s">
        <v>62</v>
      </c>
      <c r="J598" s="5">
        <v>0</v>
      </c>
      <c r="K598" s="5" t="s">
        <v>63</v>
      </c>
      <c r="L598" s="6">
        <v>3034.2</v>
      </c>
      <c r="M598" s="5" t="s">
        <v>34</v>
      </c>
      <c r="N598" s="5"/>
      <c r="O598" s="5">
        <v>0</v>
      </c>
      <c r="P598" s="5" t="s">
        <v>1244</v>
      </c>
      <c r="Q598" s="5" t="s">
        <v>1245</v>
      </c>
      <c r="R598" s="5">
        <v>40.38</v>
      </c>
      <c r="S598" s="4">
        <v>45206</v>
      </c>
      <c r="T598" s="4">
        <v>45215</v>
      </c>
      <c r="U598" s="5">
        <f t="shared" si="29"/>
        <v>9</v>
      </c>
      <c r="V598" s="5" t="s">
        <v>67</v>
      </c>
      <c r="X598" s="5"/>
    </row>
    <row r="599" spans="1:24">
      <c r="A599" s="4">
        <v>45118</v>
      </c>
      <c r="B599" s="5" t="str">
        <f t="shared" si="27"/>
        <v>July</v>
      </c>
      <c r="C599" s="5" t="s">
        <v>20</v>
      </c>
      <c r="D599" s="5" t="s">
        <v>27</v>
      </c>
      <c r="E599" s="5">
        <v>5</v>
      </c>
      <c r="F599" s="5">
        <v>569.62</v>
      </c>
      <c r="G599" s="6">
        <f t="shared" si="28"/>
        <v>2848.1</v>
      </c>
      <c r="H599" s="5" t="s">
        <v>77</v>
      </c>
      <c r="I599" s="5" t="s">
        <v>54</v>
      </c>
      <c r="J599" s="5">
        <v>0</v>
      </c>
      <c r="K599" s="5" t="s">
        <v>82</v>
      </c>
      <c r="L599" s="6">
        <v>2848.1</v>
      </c>
      <c r="M599" s="5" t="s">
        <v>33</v>
      </c>
      <c r="N599" s="5" t="s">
        <v>56</v>
      </c>
      <c r="O599" s="5">
        <v>0</v>
      </c>
      <c r="P599" s="5" t="s">
        <v>1246</v>
      </c>
      <c r="Q599" s="5" t="s">
        <v>1247</v>
      </c>
      <c r="R599" s="5">
        <v>48.8</v>
      </c>
      <c r="S599" s="4">
        <v>45118</v>
      </c>
      <c r="T599" s="4">
        <v>45120</v>
      </c>
      <c r="U599" s="5">
        <f t="shared" si="29"/>
        <v>2</v>
      </c>
      <c r="V599" s="5" t="s">
        <v>94</v>
      </c>
      <c r="X599" s="5"/>
    </row>
    <row r="600" spans="1:24">
      <c r="A600" s="4">
        <v>45688</v>
      </c>
      <c r="B600" s="5" t="str">
        <f t="shared" si="27"/>
        <v>January</v>
      </c>
      <c r="C600" s="5" t="s">
        <v>17</v>
      </c>
      <c r="D600" s="5" t="s">
        <v>101</v>
      </c>
      <c r="E600" s="5">
        <v>19</v>
      </c>
      <c r="F600" s="5">
        <v>90.85</v>
      </c>
      <c r="G600" s="6">
        <f t="shared" si="28"/>
        <v>1726.15</v>
      </c>
      <c r="H600" s="5" t="s">
        <v>77</v>
      </c>
      <c r="I600" s="5" t="s">
        <v>62</v>
      </c>
      <c r="J600" s="5">
        <v>0.05</v>
      </c>
      <c r="K600" s="5" t="s">
        <v>63</v>
      </c>
      <c r="L600" s="6">
        <v>1639.8425</v>
      </c>
      <c r="M600" s="5" t="s">
        <v>32</v>
      </c>
      <c r="N600" s="5" t="s">
        <v>64</v>
      </c>
      <c r="O600" s="5">
        <v>0</v>
      </c>
      <c r="P600" s="5" t="s">
        <v>1248</v>
      </c>
      <c r="Q600" s="5" t="s">
        <v>1249</v>
      </c>
      <c r="R600" s="5">
        <v>22.28</v>
      </c>
      <c r="S600" s="4">
        <v>45688</v>
      </c>
      <c r="T600" s="4">
        <v>45694</v>
      </c>
      <c r="U600" s="5">
        <f t="shared" si="29"/>
        <v>6</v>
      </c>
      <c r="V600" s="5" t="s">
        <v>67</v>
      </c>
      <c r="X600" s="5"/>
    </row>
    <row r="601" spans="1:24">
      <c r="A601" s="4">
        <v>44961</v>
      </c>
      <c r="B601" s="5" t="str">
        <f t="shared" si="27"/>
        <v>February</v>
      </c>
      <c r="C601" s="5" t="s">
        <v>17</v>
      </c>
      <c r="D601" s="5" t="s">
        <v>25</v>
      </c>
      <c r="E601" s="5">
        <v>2</v>
      </c>
      <c r="F601" s="5">
        <v>296.91</v>
      </c>
      <c r="G601" s="6">
        <f t="shared" si="28"/>
        <v>593.82</v>
      </c>
      <c r="H601" s="5" t="s">
        <v>61</v>
      </c>
      <c r="I601" s="5" t="s">
        <v>54</v>
      </c>
      <c r="J601" s="5">
        <v>0.05</v>
      </c>
      <c r="K601" s="5" t="s">
        <v>78</v>
      </c>
      <c r="L601" s="6">
        <v>564.129</v>
      </c>
      <c r="M601" s="5" t="s">
        <v>33</v>
      </c>
      <c r="N601" s="5" t="s">
        <v>69</v>
      </c>
      <c r="O601" s="5">
        <v>0</v>
      </c>
      <c r="P601" s="5" t="s">
        <v>1250</v>
      </c>
      <c r="Q601" s="5" t="s">
        <v>1251</v>
      </c>
      <c r="R601" s="5">
        <v>44.35</v>
      </c>
      <c r="S601" s="4">
        <v>44961</v>
      </c>
      <c r="T601" s="4">
        <v>44964</v>
      </c>
      <c r="U601" s="5">
        <f t="shared" si="29"/>
        <v>3</v>
      </c>
      <c r="V601" s="5" t="s">
        <v>67</v>
      </c>
      <c r="X601" s="5"/>
    </row>
    <row r="602" spans="1:24">
      <c r="A602" s="4">
        <v>45171</v>
      </c>
      <c r="B602" s="5" t="str">
        <f t="shared" si="27"/>
        <v>September</v>
      </c>
      <c r="C602" s="5" t="s">
        <v>17</v>
      </c>
      <c r="D602" s="5" t="s">
        <v>27</v>
      </c>
      <c r="E602" s="5">
        <v>2</v>
      </c>
      <c r="F602" s="5">
        <v>6.19</v>
      </c>
      <c r="G602" s="6">
        <f t="shared" si="28"/>
        <v>12.38</v>
      </c>
      <c r="H602" s="5" t="s">
        <v>53</v>
      </c>
      <c r="I602" s="5" t="s">
        <v>62</v>
      </c>
      <c r="J602" s="5">
        <v>0.1</v>
      </c>
      <c r="K602" s="5" t="s">
        <v>73</v>
      </c>
      <c r="L602" s="6">
        <v>11.142</v>
      </c>
      <c r="M602" s="5" t="s">
        <v>32</v>
      </c>
      <c r="N602" s="5" t="s">
        <v>56</v>
      </c>
      <c r="O602" s="5">
        <v>1</v>
      </c>
      <c r="P602" s="5" t="s">
        <v>1252</v>
      </c>
      <c r="Q602" s="5" t="s">
        <v>1253</v>
      </c>
      <c r="R602" s="5">
        <v>47.24</v>
      </c>
      <c r="S602" s="4">
        <v>45171</v>
      </c>
      <c r="T602" s="4">
        <v>45181</v>
      </c>
      <c r="U602" s="5">
        <f t="shared" si="29"/>
        <v>10</v>
      </c>
      <c r="V602" s="5" t="s">
        <v>67</v>
      </c>
      <c r="X602" s="5"/>
    </row>
    <row r="603" spans="1:24">
      <c r="A603" s="4">
        <v>45639</v>
      </c>
      <c r="B603" s="5" t="str">
        <f t="shared" si="27"/>
        <v>December</v>
      </c>
      <c r="C603" s="5" t="s">
        <v>19</v>
      </c>
      <c r="D603" s="5" t="s">
        <v>26</v>
      </c>
      <c r="E603" s="5">
        <v>18</v>
      </c>
      <c r="F603" s="5">
        <v>207.35</v>
      </c>
      <c r="G603" s="6">
        <f t="shared" si="28"/>
        <v>3732.3</v>
      </c>
      <c r="H603" s="5" t="s">
        <v>81</v>
      </c>
      <c r="I603" s="5" t="s">
        <v>54</v>
      </c>
      <c r="J603" s="5">
        <v>0.15</v>
      </c>
      <c r="K603" s="5" t="s">
        <v>63</v>
      </c>
      <c r="L603" s="6">
        <v>3172.455</v>
      </c>
      <c r="M603" s="5" t="s">
        <v>33</v>
      </c>
      <c r="N603" s="5" t="s">
        <v>56</v>
      </c>
      <c r="O603" s="5">
        <v>0</v>
      </c>
      <c r="P603" s="5" t="s">
        <v>1254</v>
      </c>
      <c r="Q603" s="5" t="s">
        <v>1255</v>
      </c>
      <c r="R603" s="5">
        <v>11.17</v>
      </c>
      <c r="S603" s="4">
        <v>45639</v>
      </c>
      <c r="T603" s="4">
        <v>45641</v>
      </c>
      <c r="U603" s="5">
        <f t="shared" si="29"/>
        <v>2</v>
      </c>
      <c r="V603" s="5" t="s">
        <v>76</v>
      </c>
      <c r="X603" s="5"/>
    </row>
    <row r="604" spans="1:24">
      <c r="A604" s="4">
        <v>45212</v>
      </c>
      <c r="B604" s="5" t="str">
        <f t="shared" si="27"/>
        <v>October</v>
      </c>
      <c r="C604" s="5" t="s">
        <v>19</v>
      </c>
      <c r="D604" s="5" t="s">
        <v>101</v>
      </c>
      <c r="E604" s="5">
        <v>5</v>
      </c>
      <c r="F604" s="5">
        <v>75.27</v>
      </c>
      <c r="G604" s="6">
        <f t="shared" si="28"/>
        <v>376.35</v>
      </c>
      <c r="H604" s="5" t="s">
        <v>61</v>
      </c>
      <c r="I604" s="5" t="s">
        <v>54</v>
      </c>
      <c r="J604" s="5">
        <v>0</v>
      </c>
      <c r="K604" s="5" t="s">
        <v>78</v>
      </c>
      <c r="L604" s="6">
        <v>376.35</v>
      </c>
      <c r="M604" s="5" t="s">
        <v>34</v>
      </c>
      <c r="N604" s="5"/>
      <c r="O604" s="5">
        <v>0</v>
      </c>
      <c r="P604" s="5" t="s">
        <v>1256</v>
      </c>
      <c r="Q604" s="5" t="s">
        <v>1257</v>
      </c>
      <c r="R604" s="5">
        <v>31.61</v>
      </c>
      <c r="S604" s="4">
        <v>45212</v>
      </c>
      <c r="T604" s="4">
        <v>45221</v>
      </c>
      <c r="U604" s="5">
        <f t="shared" si="29"/>
        <v>9</v>
      </c>
      <c r="V604" s="5" t="s">
        <v>76</v>
      </c>
      <c r="X604" s="5"/>
    </row>
    <row r="605" spans="1:24">
      <c r="A605" s="4">
        <v>45568</v>
      </c>
      <c r="B605" s="5" t="str">
        <f t="shared" si="27"/>
        <v>October</v>
      </c>
      <c r="C605" s="5" t="s">
        <v>17</v>
      </c>
      <c r="D605" s="5" t="s">
        <v>26</v>
      </c>
      <c r="E605" s="5">
        <v>3</v>
      </c>
      <c r="F605" s="5">
        <v>136.15</v>
      </c>
      <c r="G605" s="6">
        <f t="shared" si="28"/>
        <v>408.45</v>
      </c>
      <c r="H605" s="5" t="s">
        <v>61</v>
      </c>
      <c r="I605" s="5" t="s">
        <v>62</v>
      </c>
      <c r="J605" s="5">
        <v>0.1</v>
      </c>
      <c r="K605" s="5" t="s">
        <v>82</v>
      </c>
      <c r="L605" s="6">
        <v>367.605</v>
      </c>
      <c r="M605" s="5" t="s">
        <v>31</v>
      </c>
      <c r="N605" s="5" t="s">
        <v>64</v>
      </c>
      <c r="O605" s="5">
        <v>0</v>
      </c>
      <c r="P605" s="5" t="s">
        <v>1258</v>
      </c>
      <c r="Q605" s="5" t="s">
        <v>1259</v>
      </c>
      <c r="R605" s="5">
        <v>48.38</v>
      </c>
      <c r="S605" s="4">
        <v>45568</v>
      </c>
      <c r="T605" s="4">
        <v>45572</v>
      </c>
      <c r="U605" s="5">
        <f t="shared" si="29"/>
        <v>4</v>
      </c>
      <c r="V605" s="5" t="s">
        <v>67</v>
      </c>
      <c r="X605" s="5"/>
    </row>
    <row r="606" spans="1:24">
      <c r="A606" s="4">
        <v>45410</v>
      </c>
      <c r="B606" s="5" t="str">
        <f t="shared" si="27"/>
        <v>April</v>
      </c>
      <c r="C606" s="5" t="s">
        <v>19</v>
      </c>
      <c r="D606" s="5" t="s">
        <v>24</v>
      </c>
      <c r="E606" s="5">
        <v>5</v>
      </c>
      <c r="F606" s="5">
        <v>544.66</v>
      </c>
      <c r="G606" s="6">
        <f t="shared" si="28"/>
        <v>2723.3</v>
      </c>
      <c r="H606" s="5" t="s">
        <v>53</v>
      </c>
      <c r="I606" s="5" t="s">
        <v>62</v>
      </c>
      <c r="J606" s="5">
        <v>0.1</v>
      </c>
      <c r="K606" s="5" t="s">
        <v>82</v>
      </c>
      <c r="L606" s="6">
        <v>2450.97</v>
      </c>
      <c r="M606" s="5" t="s">
        <v>30</v>
      </c>
      <c r="N606" s="5" t="s">
        <v>64</v>
      </c>
      <c r="O606" s="5">
        <v>0</v>
      </c>
      <c r="P606" s="5" t="s">
        <v>1260</v>
      </c>
      <c r="Q606" s="5" t="s">
        <v>1261</v>
      </c>
      <c r="R606" s="5">
        <v>8.39</v>
      </c>
      <c r="S606" s="4">
        <v>45410</v>
      </c>
      <c r="T606" s="4">
        <v>45416</v>
      </c>
      <c r="U606" s="5">
        <f t="shared" si="29"/>
        <v>6</v>
      </c>
      <c r="V606" s="5" t="s">
        <v>76</v>
      </c>
      <c r="X606" s="5"/>
    </row>
    <row r="607" spans="1:24">
      <c r="A607" s="4">
        <v>45329</v>
      </c>
      <c r="B607" s="5" t="str">
        <f t="shared" si="27"/>
        <v>February</v>
      </c>
      <c r="C607" s="5" t="s">
        <v>19</v>
      </c>
      <c r="D607" s="5" t="s">
        <v>24</v>
      </c>
      <c r="E607" s="5">
        <v>8</v>
      </c>
      <c r="F607" s="5">
        <v>561.9</v>
      </c>
      <c r="G607" s="6">
        <f t="shared" si="28"/>
        <v>4495.2</v>
      </c>
      <c r="H607" s="5" t="s">
        <v>61</v>
      </c>
      <c r="I607" s="5" t="s">
        <v>62</v>
      </c>
      <c r="J607" s="5">
        <v>0.15</v>
      </c>
      <c r="K607" s="5" t="s">
        <v>89</v>
      </c>
      <c r="L607" s="6">
        <v>3820.92</v>
      </c>
      <c r="M607" s="5" t="s">
        <v>30</v>
      </c>
      <c r="N607" s="5" t="s">
        <v>56</v>
      </c>
      <c r="O607" s="5">
        <v>1</v>
      </c>
      <c r="P607" s="5" t="s">
        <v>1262</v>
      </c>
      <c r="Q607" s="5" t="s">
        <v>1263</v>
      </c>
      <c r="R607" s="5">
        <v>15.97</v>
      </c>
      <c r="S607" s="4">
        <v>45329</v>
      </c>
      <c r="T607" s="4">
        <v>45336</v>
      </c>
      <c r="U607" s="5">
        <f t="shared" si="29"/>
        <v>7</v>
      </c>
      <c r="V607" s="5" t="s">
        <v>76</v>
      </c>
      <c r="X607" s="5"/>
    </row>
    <row r="608" spans="1:24">
      <c r="A608" s="4">
        <v>44965</v>
      </c>
      <c r="B608" s="5" t="str">
        <f t="shared" si="27"/>
        <v>February</v>
      </c>
      <c r="C608" s="5" t="s">
        <v>17</v>
      </c>
      <c r="D608" s="5" t="s">
        <v>25</v>
      </c>
      <c r="E608" s="5">
        <v>20</v>
      </c>
      <c r="F608" s="5">
        <v>313.47</v>
      </c>
      <c r="G608" s="6">
        <f t="shared" si="28"/>
        <v>6269.4</v>
      </c>
      <c r="H608" s="5" t="s">
        <v>77</v>
      </c>
      <c r="I608" s="5" t="s">
        <v>62</v>
      </c>
      <c r="J608" s="5">
        <v>0.15</v>
      </c>
      <c r="K608" s="5" t="s">
        <v>63</v>
      </c>
      <c r="L608" s="6">
        <v>5328.99</v>
      </c>
      <c r="M608" s="5" t="s">
        <v>30</v>
      </c>
      <c r="N608" s="5" t="s">
        <v>56</v>
      </c>
      <c r="O608" s="5">
        <v>0</v>
      </c>
      <c r="P608" s="5" t="s">
        <v>1264</v>
      </c>
      <c r="Q608" s="5" t="s">
        <v>1265</v>
      </c>
      <c r="R608" s="5">
        <v>18.17</v>
      </c>
      <c r="S608" s="4">
        <v>44965</v>
      </c>
      <c r="T608" s="4">
        <v>44968</v>
      </c>
      <c r="U608" s="5">
        <f t="shared" si="29"/>
        <v>3</v>
      </c>
      <c r="V608" s="5" t="s">
        <v>67</v>
      </c>
      <c r="X608" s="5"/>
    </row>
    <row r="609" spans="1:24">
      <c r="A609" s="4">
        <v>45094</v>
      </c>
      <c r="B609" s="5" t="str">
        <f t="shared" si="27"/>
        <v>June</v>
      </c>
      <c r="C609" s="5" t="s">
        <v>17</v>
      </c>
      <c r="D609" s="5" t="s">
        <v>23</v>
      </c>
      <c r="E609" s="5">
        <v>1</v>
      </c>
      <c r="F609" s="5">
        <v>418.45</v>
      </c>
      <c r="G609" s="6">
        <f t="shared" si="28"/>
        <v>418.45</v>
      </c>
      <c r="H609" s="5" t="s">
        <v>77</v>
      </c>
      <c r="I609" s="5" t="s">
        <v>62</v>
      </c>
      <c r="J609" s="5">
        <v>0.15</v>
      </c>
      <c r="K609" s="5" t="s">
        <v>82</v>
      </c>
      <c r="L609" s="6">
        <v>355.6825</v>
      </c>
      <c r="M609" s="5" t="s">
        <v>34</v>
      </c>
      <c r="N609" s="5" t="s">
        <v>69</v>
      </c>
      <c r="O609" s="5">
        <v>0</v>
      </c>
      <c r="P609" s="5" t="s">
        <v>1266</v>
      </c>
      <c r="Q609" s="5" t="s">
        <v>1267</v>
      </c>
      <c r="R609" s="5">
        <v>35.58</v>
      </c>
      <c r="S609" s="4">
        <v>45094</v>
      </c>
      <c r="T609" s="4">
        <v>45096</v>
      </c>
      <c r="U609" s="5">
        <f t="shared" si="29"/>
        <v>2</v>
      </c>
      <c r="V609" s="5" t="s">
        <v>67</v>
      </c>
      <c r="X609" s="5"/>
    </row>
    <row r="610" spans="1:24">
      <c r="A610" s="4">
        <v>45502</v>
      </c>
      <c r="B610" s="5" t="str">
        <f t="shared" si="27"/>
        <v>July</v>
      </c>
      <c r="C610" s="5" t="s">
        <v>20</v>
      </c>
      <c r="D610" s="5" t="s">
        <v>26</v>
      </c>
      <c r="E610" s="5">
        <v>8</v>
      </c>
      <c r="F610" s="5">
        <v>420.75</v>
      </c>
      <c r="G610" s="6">
        <f t="shared" si="28"/>
        <v>3366</v>
      </c>
      <c r="H610" s="5" t="s">
        <v>53</v>
      </c>
      <c r="I610" s="5" t="s">
        <v>54</v>
      </c>
      <c r="J610" s="5">
        <v>0.1</v>
      </c>
      <c r="K610" s="5" t="s">
        <v>89</v>
      </c>
      <c r="L610" s="6">
        <v>3029.4</v>
      </c>
      <c r="M610" s="5" t="s">
        <v>30</v>
      </c>
      <c r="N610" s="5" t="s">
        <v>64</v>
      </c>
      <c r="O610" s="5">
        <v>1</v>
      </c>
      <c r="P610" s="5" t="s">
        <v>1268</v>
      </c>
      <c r="Q610" s="5" t="s">
        <v>1269</v>
      </c>
      <c r="R610" s="5">
        <v>44.61</v>
      </c>
      <c r="S610" s="4">
        <v>45502</v>
      </c>
      <c r="T610" s="4">
        <v>45505</v>
      </c>
      <c r="U610" s="5">
        <f t="shared" si="29"/>
        <v>3</v>
      </c>
      <c r="V610" s="5" t="s">
        <v>94</v>
      </c>
      <c r="X610" s="5"/>
    </row>
    <row r="611" spans="1:24">
      <c r="A611" s="4">
        <v>45320</v>
      </c>
      <c r="B611" s="5" t="str">
        <f t="shared" si="27"/>
        <v>January</v>
      </c>
      <c r="C611" s="5" t="s">
        <v>20</v>
      </c>
      <c r="D611" s="5" t="s">
        <v>27</v>
      </c>
      <c r="E611" s="5">
        <v>16</v>
      </c>
      <c r="F611" s="5">
        <v>514.36</v>
      </c>
      <c r="G611" s="6">
        <f t="shared" si="28"/>
        <v>8229.76</v>
      </c>
      <c r="H611" s="5" t="s">
        <v>81</v>
      </c>
      <c r="I611" s="5" t="s">
        <v>54</v>
      </c>
      <c r="J611" s="5">
        <v>0</v>
      </c>
      <c r="K611" s="5" t="s">
        <v>63</v>
      </c>
      <c r="L611" s="6">
        <v>8229.76</v>
      </c>
      <c r="M611" s="5" t="s">
        <v>30</v>
      </c>
      <c r="N611" s="5" t="s">
        <v>64</v>
      </c>
      <c r="O611" s="5">
        <v>0</v>
      </c>
      <c r="P611" s="5" t="s">
        <v>1270</v>
      </c>
      <c r="Q611" s="5" t="s">
        <v>1271</v>
      </c>
      <c r="R611" s="5">
        <v>40.75</v>
      </c>
      <c r="S611" s="4">
        <v>45320</v>
      </c>
      <c r="T611" s="4">
        <v>45323</v>
      </c>
      <c r="U611" s="5">
        <f t="shared" si="29"/>
        <v>3</v>
      </c>
      <c r="V611" s="5" t="s">
        <v>94</v>
      </c>
      <c r="X611" s="5"/>
    </row>
    <row r="612" spans="1:24">
      <c r="A612" s="4">
        <v>45309</v>
      </c>
      <c r="B612" s="5" t="str">
        <f t="shared" si="27"/>
        <v>January</v>
      </c>
      <c r="C612" s="5" t="s">
        <v>16</v>
      </c>
      <c r="D612" s="5" t="s">
        <v>23</v>
      </c>
      <c r="E612" s="5">
        <v>2</v>
      </c>
      <c r="F612" s="5">
        <v>297.2</v>
      </c>
      <c r="G612" s="6">
        <f t="shared" si="28"/>
        <v>594.4</v>
      </c>
      <c r="H612" s="5" t="s">
        <v>53</v>
      </c>
      <c r="I612" s="5" t="s">
        <v>62</v>
      </c>
      <c r="J612" s="5">
        <v>0.1</v>
      </c>
      <c r="K612" s="5" t="s">
        <v>73</v>
      </c>
      <c r="L612" s="6">
        <v>534.96</v>
      </c>
      <c r="M612" s="5" t="s">
        <v>31</v>
      </c>
      <c r="N612" s="5" t="s">
        <v>56</v>
      </c>
      <c r="O612" s="5">
        <v>0</v>
      </c>
      <c r="P612" s="5" t="s">
        <v>1272</v>
      </c>
      <c r="Q612" s="5" t="s">
        <v>1273</v>
      </c>
      <c r="R612" s="5">
        <v>8.71</v>
      </c>
      <c r="S612" s="4">
        <v>45309</v>
      </c>
      <c r="T612" s="4">
        <v>45314</v>
      </c>
      <c r="U612" s="5">
        <f t="shared" si="29"/>
        <v>5</v>
      </c>
      <c r="V612" s="5" t="s">
        <v>59</v>
      </c>
      <c r="X612" s="5"/>
    </row>
    <row r="613" spans="1:24">
      <c r="A613" s="4">
        <v>45516</v>
      </c>
      <c r="B613" s="5" t="str">
        <f t="shared" si="27"/>
        <v>August</v>
      </c>
      <c r="C613" s="5" t="s">
        <v>18</v>
      </c>
      <c r="D613" s="5" t="s">
        <v>25</v>
      </c>
      <c r="E613" s="5">
        <v>10</v>
      </c>
      <c r="F613" s="5">
        <v>278</v>
      </c>
      <c r="G613" s="6">
        <f t="shared" si="28"/>
        <v>2780</v>
      </c>
      <c r="H613" s="5" t="s">
        <v>77</v>
      </c>
      <c r="I613" s="5" t="s">
        <v>62</v>
      </c>
      <c r="J613" s="5">
        <v>0</v>
      </c>
      <c r="K613" s="5" t="s">
        <v>89</v>
      </c>
      <c r="L613" s="6">
        <v>2780</v>
      </c>
      <c r="M613" s="5" t="s">
        <v>32</v>
      </c>
      <c r="N613" s="5"/>
      <c r="O613" s="5">
        <v>0</v>
      </c>
      <c r="P613" s="5" t="s">
        <v>1274</v>
      </c>
      <c r="Q613" s="5" t="s">
        <v>1275</v>
      </c>
      <c r="R613" s="5">
        <v>24.25</v>
      </c>
      <c r="S613" s="4">
        <v>45516</v>
      </c>
      <c r="T613" s="4">
        <v>45526</v>
      </c>
      <c r="U613" s="5">
        <f t="shared" si="29"/>
        <v>10</v>
      </c>
      <c r="V613" s="5" t="s">
        <v>72</v>
      </c>
      <c r="X613" s="5"/>
    </row>
    <row r="614" spans="1:24">
      <c r="A614" s="4">
        <v>45763</v>
      </c>
      <c r="B614" s="5" t="str">
        <f t="shared" si="27"/>
        <v>April</v>
      </c>
      <c r="C614" s="5" t="s">
        <v>20</v>
      </c>
      <c r="D614" s="5" t="s">
        <v>26</v>
      </c>
      <c r="E614" s="5">
        <v>8</v>
      </c>
      <c r="F614" s="5">
        <v>583.17</v>
      </c>
      <c r="G614" s="6">
        <f t="shared" si="28"/>
        <v>4665.36</v>
      </c>
      <c r="H614" s="5" t="s">
        <v>81</v>
      </c>
      <c r="I614" s="5" t="s">
        <v>54</v>
      </c>
      <c r="J614" s="5">
        <v>0.1</v>
      </c>
      <c r="K614" s="5" t="s">
        <v>73</v>
      </c>
      <c r="L614" s="6">
        <v>4198.824</v>
      </c>
      <c r="M614" s="5" t="s">
        <v>32</v>
      </c>
      <c r="N614" s="5" t="s">
        <v>69</v>
      </c>
      <c r="O614" s="5">
        <v>0</v>
      </c>
      <c r="P614" s="5" t="s">
        <v>1276</v>
      </c>
      <c r="Q614" s="5" t="s">
        <v>1277</v>
      </c>
      <c r="R614" s="5">
        <v>49.18</v>
      </c>
      <c r="S614" s="4">
        <v>45763</v>
      </c>
      <c r="T614" s="4">
        <v>45767</v>
      </c>
      <c r="U614" s="5">
        <f t="shared" si="29"/>
        <v>4</v>
      </c>
      <c r="V614" s="5" t="s">
        <v>94</v>
      </c>
      <c r="X614" s="5"/>
    </row>
    <row r="615" spans="1:24">
      <c r="A615" s="4">
        <v>44983</v>
      </c>
      <c r="B615" s="5" t="str">
        <f t="shared" si="27"/>
        <v>February</v>
      </c>
      <c r="C615" s="5" t="s">
        <v>19</v>
      </c>
      <c r="D615" s="5" t="s">
        <v>24</v>
      </c>
      <c r="E615" s="5">
        <v>16</v>
      </c>
      <c r="F615" s="5">
        <v>75.62</v>
      </c>
      <c r="G615" s="6">
        <f t="shared" si="28"/>
        <v>1209.92</v>
      </c>
      <c r="H615" s="5" t="s">
        <v>81</v>
      </c>
      <c r="I615" s="5" t="s">
        <v>62</v>
      </c>
      <c r="J615" s="5">
        <v>0.1</v>
      </c>
      <c r="K615" s="5" t="s">
        <v>82</v>
      </c>
      <c r="L615" s="6">
        <v>1088.928</v>
      </c>
      <c r="M615" s="5" t="s">
        <v>34</v>
      </c>
      <c r="N615" s="5" t="s">
        <v>69</v>
      </c>
      <c r="O615" s="5">
        <v>0</v>
      </c>
      <c r="P615" s="5" t="s">
        <v>1278</v>
      </c>
      <c r="Q615" s="5" t="s">
        <v>1279</v>
      </c>
      <c r="R615" s="5">
        <v>27.39</v>
      </c>
      <c r="S615" s="4">
        <v>44983</v>
      </c>
      <c r="T615" s="4">
        <v>44987</v>
      </c>
      <c r="U615" s="5">
        <f t="shared" si="29"/>
        <v>4</v>
      </c>
      <c r="V615" s="5" t="s">
        <v>76</v>
      </c>
      <c r="X615" s="5"/>
    </row>
    <row r="616" spans="1:24">
      <c r="A616" s="4">
        <v>44933</v>
      </c>
      <c r="B616" s="5" t="str">
        <f t="shared" si="27"/>
        <v>January</v>
      </c>
      <c r="C616" s="5" t="s">
        <v>16</v>
      </c>
      <c r="D616" s="5" t="s">
        <v>24</v>
      </c>
      <c r="E616" s="5">
        <v>13</v>
      </c>
      <c r="F616" s="5">
        <v>561.62</v>
      </c>
      <c r="G616" s="6">
        <f t="shared" si="28"/>
        <v>7301.06</v>
      </c>
      <c r="H616" s="5" t="s">
        <v>77</v>
      </c>
      <c r="I616" s="5" t="s">
        <v>54</v>
      </c>
      <c r="J616" s="5">
        <v>0.05</v>
      </c>
      <c r="K616" s="5" t="s">
        <v>73</v>
      </c>
      <c r="L616" s="6">
        <v>6936.007</v>
      </c>
      <c r="M616" s="5" t="s">
        <v>31</v>
      </c>
      <c r="N616" s="5" t="s">
        <v>56</v>
      </c>
      <c r="O616" s="5">
        <v>0</v>
      </c>
      <c r="P616" s="5" t="s">
        <v>1280</v>
      </c>
      <c r="Q616" s="5" t="s">
        <v>1281</v>
      </c>
      <c r="R616" s="5">
        <v>12.91</v>
      </c>
      <c r="S616" s="4">
        <v>44933</v>
      </c>
      <c r="T616" s="4">
        <v>44937</v>
      </c>
      <c r="U616" s="5">
        <f t="shared" si="29"/>
        <v>4</v>
      </c>
      <c r="V616" s="5" t="s">
        <v>59</v>
      </c>
      <c r="X616" s="5"/>
    </row>
    <row r="617" spans="1:24">
      <c r="A617" s="4">
        <v>45223</v>
      </c>
      <c r="B617" s="5" t="str">
        <f t="shared" si="27"/>
        <v>October</v>
      </c>
      <c r="C617" s="5" t="s">
        <v>17</v>
      </c>
      <c r="D617" s="5" t="s">
        <v>24</v>
      </c>
      <c r="E617" s="5">
        <v>5</v>
      </c>
      <c r="F617" s="5">
        <v>359.61</v>
      </c>
      <c r="G617" s="6">
        <f t="shared" si="28"/>
        <v>1798.05</v>
      </c>
      <c r="H617" s="5" t="s">
        <v>61</v>
      </c>
      <c r="I617" s="5" t="s">
        <v>62</v>
      </c>
      <c r="J617" s="5">
        <v>0</v>
      </c>
      <c r="K617" s="5" t="s">
        <v>89</v>
      </c>
      <c r="L617" s="6">
        <v>1798.05</v>
      </c>
      <c r="M617" s="5" t="s">
        <v>30</v>
      </c>
      <c r="N617" s="5" t="s">
        <v>56</v>
      </c>
      <c r="O617" s="5">
        <v>0</v>
      </c>
      <c r="P617" s="5" t="s">
        <v>1282</v>
      </c>
      <c r="Q617" s="5" t="s">
        <v>1283</v>
      </c>
      <c r="R617" s="5">
        <v>41.31</v>
      </c>
      <c r="S617" s="4">
        <v>45223</v>
      </c>
      <c r="T617" s="4">
        <v>45233</v>
      </c>
      <c r="U617" s="5">
        <f t="shared" si="29"/>
        <v>10</v>
      </c>
      <c r="V617" s="5" t="s">
        <v>67</v>
      </c>
      <c r="X617" s="5"/>
    </row>
    <row r="618" spans="1:24">
      <c r="A618" s="4">
        <v>45293</v>
      </c>
      <c r="B618" s="5" t="str">
        <f t="shared" si="27"/>
        <v>January</v>
      </c>
      <c r="C618" s="5" t="s">
        <v>18</v>
      </c>
      <c r="D618" s="5" t="s">
        <v>101</v>
      </c>
      <c r="E618" s="5">
        <v>15</v>
      </c>
      <c r="F618" s="5">
        <v>115.48</v>
      </c>
      <c r="G618" s="6">
        <f t="shared" si="28"/>
        <v>1732.2</v>
      </c>
      <c r="H618" s="5" t="s">
        <v>61</v>
      </c>
      <c r="I618" s="5" t="s">
        <v>62</v>
      </c>
      <c r="J618" s="5">
        <v>0.15</v>
      </c>
      <c r="K618" s="5" t="s">
        <v>73</v>
      </c>
      <c r="L618" s="6">
        <v>1472.37</v>
      </c>
      <c r="M618" s="5" t="s">
        <v>32</v>
      </c>
      <c r="N618" s="5"/>
      <c r="O618" s="5">
        <v>0</v>
      </c>
      <c r="P618" s="5" t="s">
        <v>1284</v>
      </c>
      <c r="Q618" s="5" t="s">
        <v>1285</v>
      </c>
      <c r="R618" s="5">
        <v>6.04</v>
      </c>
      <c r="S618" s="4">
        <v>45293</v>
      </c>
      <c r="T618" s="4">
        <v>45303</v>
      </c>
      <c r="U618" s="5">
        <f t="shared" si="29"/>
        <v>10</v>
      </c>
      <c r="V618" s="5" t="s">
        <v>72</v>
      </c>
      <c r="X618" s="5"/>
    </row>
    <row r="619" spans="1:24">
      <c r="A619" s="4">
        <v>45552</v>
      </c>
      <c r="B619" s="5" t="str">
        <f t="shared" si="27"/>
        <v>September</v>
      </c>
      <c r="C619" s="5" t="s">
        <v>17</v>
      </c>
      <c r="D619" s="5" t="s">
        <v>22</v>
      </c>
      <c r="E619" s="5">
        <v>12</v>
      </c>
      <c r="F619" s="5">
        <v>596.26</v>
      </c>
      <c r="G619" s="6">
        <f t="shared" si="28"/>
        <v>7155.12</v>
      </c>
      <c r="H619" s="5" t="s">
        <v>81</v>
      </c>
      <c r="I619" s="5" t="s">
        <v>54</v>
      </c>
      <c r="J619" s="5">
        <v>0.15</v>
      </c>
      <c r="K619" s="5" t="s">
        <v>55</v>
      </c>
      <c r="L619" s="6">
        <v>6081.852</v>
      </c>
      <c r="M619" s="5" t="s">
        <v>31</v>
      </c>
      <c r="N619" s="5" t="s">
        <v>69</v>
      </c>
      <c r="O619" s="5">
        <v>0</v>
      </c>
      <c r="P619" s="5" t="s">
        <v>1286</v>
      </c>
      <c r="Q619" s="5" t="s">
        <v>1287</v>
      </c>
      <c r="R619" s="5">
        <v>28.27</v>
      </c>
      <c r="S619" s="4">
        <v>45552</v>
      </c>
      <c r="T619" s="4">
        <v>45560</v>
      </c>
      <c r="U619" s="5">
        <f t="shared" si="29"/>
        <v>8</v>
      </c>
      <c r="V619" s="5" t="s">
        <v>67</v>
      </c>
      <c r="X619" s="5"/>
    </row>
    <row r="620" spans="1:24">
      <c r="A620" s="4">
        <v>45417</v>
      </c>
      <c r="B620" s="5" t="str">
        <f t="shared" si="27"/>
        <v>May</v>
      </c>
      <c r="C620" s="5" t="s">
        <v>19</v>
      </c>
      <c r="D620" s="5" t="s">
        <v>101</v>
      </c>
      <c r="E620" s="5">
        <v>19</v>
      </c>
      <c r="F620" s="5">
        <v>401.68</v>
      </c>
      <c r="G620" s="6">
        <f t="shared" si="28"/>
        <v>7631.92</v>
      </c>
      <c r="H620" s="5" t="s">
        <v>77</v>
      </c>
      <c r="I620" s="5" t="s">
        <v>54</v>
      </c>
      <c r="J620" s="5">
        <v>0.05</v>
      </c>
      <c r="K620" s="5" t="s">
        <v>63</v>
      </c>
      <c r="L620" s="6">
        <v>7250.324</v>
      </c>
      <c r="M620" s="5" t="s">
        <v>33</v>
      </c>
      <c r="N620" s="5" t="s">
        <v>69</v>
      </c>
      <c r="O620" s="5">
        <v>1</v>
      </c>
      <c r="P620" s="5" t="s">
        <v>1288</v>
      </c>
      <c r="Q620" s="5" t="s">
        <v>1289</v>
      </c>
      <c r="R620" s="5">
        <v>37.77</v>
      </c>
      <c r="S620" s="4">
        <v>45417</v>
      </c>
      <c r="T620" s="4">
        <v>45423</v>
      </c>
      <c r="U620" s="5">
        <f t="shared" si="29"/>
        <v>6</v>
      </c>
      <c r="V620" s="5" t="s">
        <v>76</v>
      </c>
      <c r="X620" s="5"/>
    </row>
    <row r="621" spans="1:24">
      <c r="A621" s="4">
        <v>45835</v>
      </c>
      <c r="B621" s="5" t="str">
        <f t="shared" si="27"/>
        <v>June</v>
      </c>
      <c r="C621" s="5" t="s">
        <v>20</v>
      </c>
      <c r="D621" s="5" t="s">
        <v>24</v>
      </c>
      <c r="E621" s="5">
        <v>13</v>
      </c>
      <c r="F621" s="5">
        <v>112.88</v>
      </c>
      <c r="G621" s="6">
        <f t="shared" si="28"/>
        <v>1467.44</v>
      </c>
      <c r="H621" s="5" t="s">
        <v>81</v>
      </c>
      <c r="I621" s="5" t="s">
        <v>62</v>
      </c>
      <c r="J621" s="5">
        <v>0</v>
      </c>
      <c r="K621" s="5" t="s">
        <v>73</v>
      </c>
      <c r="L621" s="6">
        <v>1467.44</v>
      </c>
      <c r="M621" s="5" t="s">
        <v>33</v>
      </c>
      <c r="N621" s="5"/>
      <c r="O621" s="5">
        <v>0</v>
      </c>
      <c r="P621" s="5" t="s">
        <v>1290</v>
      </c>
      <c r="Q621" s="5" t="s">
        <v>1291</v>
      </c>
      <c r="R621" s="5">
        <v>12.39</v>
      </c>
      <c r="S621" s="4">
        <v>45835</v>
      </c>
      <c r="T621" s="4">
        <v>45837</v>
      </c>
      <c r="U621" s="5">
        <f t="shared" si="29"/>
        <v>2</v>
      </c>
      <c r="V621" s="5" t="s">
        <v>94</v>
      </c>
      <c r="X621" s="5"/>
    </row>
    <row r="622" spans="1:24">
      <c r="A622" s="4">
        <v>45426</v>
      </c>
      <c r="B622" s="5" t="str">
        <f t="shared" si="27"/>
        <v>May</v>
      </c>
      <c r="C622" s="5" t="s">
        <v>20</v>
      </c>
      <c r="D622" s="5" t="s">
        <v>23</v>
      </c>
      <c r="E622" s="5">
        <v>6</v>
      </c>
      <c r="F622" s="5">
        <v>370.08</v>
      </c>
      <c r="G622" s="6">
        <f t="shared" si="28"/>
        <v>2220.48</v>
      </c>
      <c r="H622" s="5" t="s">
        <v>81</v>
      </c>
      <c r="I622" s="5" t="s">
        <v>62</v>
      </c>
      <c r="J622" s="5">
        <v>0.15</v>
      </c>
      <c r="K622" s="5" t="s">
        <v>63</v>
      </c>
      <c r="L622" s="6">
        <v>1887.408</v>
      </c>
      <c r="M622" s="5" t="s">
        <v>30</v>
      </c>
      <c r="N622" s="5" t="s">
        <v>64</v>
      </c>
      <c r="O622" s="5">
        <v>0</v>
      </c>
      <c r="P622" s="5" t="s">
        <v>1292</v>
      </c>
      <c r="Q622" s="5" t="s">
        <v>1293</v>
      </c>
      <c r="R622" s="5">
        <v>7.39</v>
      </c>
      <c r="S622" s="4">
        <v>45426</v>
      </c>
      <c r="T622" s="4">
        <v>45434</v>
      </c>
      <c r="U622" s="5">
        <f t="shared" si="29"/>
        <v>8</v>
      </c>
      <c r="V622" s="5" t="s">
        <v>94</v>
      </c>
      <c r="X622" s="5"/>
    </row>
    <row r="623" spans="1:24">
      <c r="A623" s="4">
        <v>45351</v>
      </c>
      <c r="B623" s="5" t="str">
        <f t="shared" si="27"/>
        <v>February</v>
      </c>
      <c r="C623" s="5" t="s">
        <v>18</v>
      </c>
      <c r="D623" s="5" t="s">
        <v>25</v>
      </c>
      <c r="E623" s="5">
        <v>15</v>
      </c>
      <c r="F623" s="5">
        <v>119.86</v>
      </c>
      <c r="G623" s="6">
        <f t="shared" si="28"/>
        <v>1797.9</v>
      </c>
      <c r="H623" s="5" t="s">
        <v>61</v>
      </c>
      <c r="I623" s="5" t="s">
        <v>54</v>
      </c>
      <c r="J623" s="5">
        <v>0.15</v>
      </c>
      <c r="K623" s="5" t="s">
        <v>89</v>
      </c>
      <c r="L623" s="6">
        <v>1528.215</v>
      </c>
      <c r="M623" s="5" t="s">
        <v>33</v>
      </c>
      <c r="N623" s="5"/>
      <c r="O623" s="5">
        <v>1</v>
      </c>
      <c r="P623" s="5" t="s">
        <v>1294</v>
      </c>
      <c r="Q623" s="5" t="s">
        <v>1295</v>
      </c>
      <c r="R623" s="5">
        <v>30.78</v>
      </c>
      <c r="S623" s="4">
        <v>45351</v>
      </c>
      <c r="T623" s="4">
        <v>45356</v>
      </c>
      <c r="U623" s="5">
        <f t="shared" si="29"/>
        <v>5</v>
      </c>
      <c r="V623" s="5" t="s">
        <v>72</v>
      </c>
      <c r="X623" s="5"/>
    </row>
    <row r="624" spans="1:24">
      <c r="A624" s="4">
        <v>45796</v>
      </c>
      <c r="B624" s="5" t="str">
        <f t="shared" si="27"/>
        <v>May</v>
      </c>
      <c r="C624" s="5" t="s">
        <v>16</v>
      </c>
      <c r="D624" s="5" t="s">
        <v>23</v>
      </c>
      <c r="E624" s="5">
        <v>5</v>
      </c>
      <c r="F624" s="5">
        <v>271.44</v>
      </c>
      <c r="G624" s="6">
        <f t="shared" si="28"/>
        <v>1357.2</v>
      </c>
      <c r="H624" s="5" t="s">
        <v>61</v>
      </c>
      <c r="I624" s="5" t="s">
        <v>54</v>
      </c>
      <c r="J624" s="5">
        <v>0.15</v>
      </c>
      <c r="K624" s="5" t="s">
        <v>82</v>
      </c>
      <c r="L624" s="6">
        <v>1153.62</v>
      </c>
      <c r="M624" s="5" t="s">
        <v>33</v>
      </c>
      <c r="N624" s="5" t="s">
        <v>56</v>
      </c>
      <c r="O624" s="5">
        <v>0</v>
      </c>
      <c r="P624" s="5" t="s">
        <v>1296</v>
      </c>
      <c r="Q624" s="5" t="s">
        <v>1297</v>
      </c>
      <c r="R624" s="5">
        <v>5.98</v>
      </c>
      <c r="S624" s="4">
        <v>45796</v>
      </c>
      <c r="T624" s="4">
        <v>45804</v>
      </c>
      <c r="U624" s="5">
        <f t="shared" si="29"/>
        <v>8</v>
      </c>
      <c r="V624" s="5" t="s">
        <v>59</v>
      </c>
      <c r="X624" s="5"/>
    </row>
    <row r="625" spans="1:24">
      <c r="A625" s="4">
        <v>45628</v>
      </c>
      <c r="B625" s="5" t="str">
        <f t="shared" si="27"/>
        <v>December</v>
      </c>
      <c r="C625" s="5" t="s">
        <v>16</v>
      </c>
      <c r="D625" s="5" t="s">
        <v>24</v>
      </c>
      <c r="E625" s="5">
        <v>9</v>
      </c>
      <c r="F625" s="5">
        <v>363.39</v>
      </c>
      <c r="G625" s="6">
        <f t="shared" si="28"/>
        <v>3270.51</v>
      </c>
      <c r="H625" s="5" t="s">
        <v>53</v>
      </c>
      <c r="I625" s="5" t="s">
        <v>54</v>
      </c>
      <c r="J625" s="5">
        <v>0.05</v>
      </c>
      <c r="K625" s="5" t="s">
        <v>82</v>
      </c>
      <c r="L625" s="6">
        <v>3106.9845</v>
      </c>
      <c r="M625" s="5" t="s">
        <v>31</v>
      </c>
      <c r="N625" s="5"/>
      <c r="O625" s="5">
        <v>0</v>
      </c>
      <c r="P625" s="5" t="s">
        <v>1298</v>
      </c>
      <c r="Q625" s="5" t="s">
        <v>279</v>
      </c>
      <c r="R625" s="5">
        <v>41.64</v>
      </c>
      <c r="S625" s="4">
        <v>45628</v>
      </c>
      <c r="T625" s="4">
        <v>45630</v>
      </c>
      <c r="U625" s="5">
        <f t="shared" si="29"/>
        <v>2</v>
      </c>
      <c r="V625" s="5" t="s">
        <v>59</v>
      </c>
      <c r="X625" s="5"/>
    </row>
    <row r="626" spans="1:24">
      <c r="A626" s="4">
        <v>45503</v>
      </c>
      <c r="B626" s="5" t="str">
        <f t="shared" si="27"/>
        <v>July</v>
      </c>
      <c r="C626" s="5" t="s">
        <v>20</v>
      </c>
      <c r="D626" s="5" t="s">
        <v>27</v>
      </c>
      <c r="E626" s="5">
        <v>12</v>
      </c>
      <c r="F626" s="5">
        <v>533.77</v>
      </c>
      <c r="G626" s="6">
        <f t="shared" si="28"/>
        <v>6405.24</v>
      </c>
      <c r="H626" s="5" t="s">
        <v>81</v>
      </c>
      <c r="I626" s="5" t="s">
        <v>54</v>
      </c>
      <c r="J626" s="5">
        <v>0.15</v>
      </c>
      <c r="K626" s="5" t="s">
        <v>63</v>
      </c>
      <c r="L626" s="6">
        <v>5444.454</v>
      </c>
      <c r="M626" s="5" t="s">
        <v>34</v>
      </c>
      <c r="N626" s="5" t="s">
        <v>64</v>
      </c>
      <c r="O626" s="5">
        <v>0</v>
      </c>
      <c r="P626" s="5" t="s">
        <v>1299</v>
      </c>
      <c r="Q626" s="5" t="s">
        <v>1300</v>
      </c>
      <c r="R626" s="5">
        <v>48.71</v>
      </c>
      <c r="S626" s="4">
        <v>45503</v>
      </c>
      <c r="T626" s="4">
        <v>45508</v>
      </c>
      <c r="U626" s="5">
        <f t="shared" si="29"/>
        <v>5</v>
      </c>
      <c r="V626" s="5" t="s">
        <v>94</v>
      </c>
      <c r="X626" s="5"/>
    </row>
    <row r="627" spans="1:24">
      <c r="A627" s="4">
        <v>45102</v>
      </c>
      <c r="B627" s="5" t="str">
        <f t="shared" si="27"/>
        <v>June</v>
      </c>
      <c r="C627" s="5" t="s">
        <v>17</v>
      </c>
      <c r="D627" s="5" t="s">
        <v>24</v>
      </c>
      <c r="E627" s="5">
        <v>12</v>
      </c>
      <c r="F627" s="5">
        <v>192.03</v>
      </c>
      <c r="G627" s="6">
        <f t="shared" si="28"/>
        <v>2304.36</v>
      </c>
      <c r="H627" s="5" t="s">
        <v>53</v>
      </c>
      <c r="I627" s="5" t="s">
        <v>54</v>
      </c>
      <c r="J627" s="5">
        <v>0.1</v>
      </c>
      <c r="K627" s="5" t="s">
        <v>78</v>
      </c>
      <c r="L627" s="6">
        <v>2073.924</v>
      </c>
      <c r="M627" s="5" t="s">
        <v>32</v>
      </c>
      <c r="N627" s="5"/>
      <c r="O627" s="5">
        <v>0</v>
      </c>
      <c r="P627" s="5" t="s">
        <v>1301</v>
      </c>
      <c r="Q627" s="5" t="s">
        <v>1302</v>
      </c>
      <c r="R627" s="5">
        <v>41.08</v>
      </c>
      <c r="S627" s="4">
        <v>45102</v>
      </c>
      <c r="T627" s="4">
        <v>45110</v>
      </c>
      <c r="U627" s="5">
        <f t="shared" si="29"/>
        <v>8</v>
      </c>
      <c r="V627" s="5" t="s">
        <v>67</v>
      </c>
      <c r="X627" s="5"/>
    </row>
    <row r="628" spans="1:24">
      <c r="A628" s="4">
        <v>45483</v>
      </c>
      <c r="B628" s="5" t="str">
        <f t="shared" si="27"/>
        <v>July</v>
      </c>
      <c r="C628" s="5" t="s">
        <v>17</v>
      </c>
      <c r="D628" s="5" t="s">
        <v>25</v>
      </c>
      <c r="E628" s="5">
        <v>20</v>
      </c>
      <c r="F628" s="5">
        <v>504.22</v>
      </c>
      <c r="G628" s="6">
        <f t="shared" si="28"/>
        <v>10084.4</v>
      </c>
      <c r="H628" s="5" t="s">
        <v>81</v>
      </c>
      <c r="I628" s="5" t="s">
        <v>54</v>
      </c>
      <c r="J628" s="5">
        <v>0</v>
      </c>
      <c r="K628" s="5" t="s">
        <v>73</v>
      </c>
      <c r="L628" s="6">
        <v>10084.4</v>
      </c>
      <c r="M628" s="5" t="s">
        <v>30</v>
      </c>
      <c r="N628" s="5" t="s">
        <v>69</v>
      </c>
      <c r="O628" s="5">
        <v>0</v>
      </c>
      <c r="P628" s="5" t="s">
        <v>1303</v>
      </c>
      <c r="Q628" s="5" t="s">
        <v>1304</v>
      </c>
      <c r="R628" s="5">
        <v>14.61</v>
      </c>
      <c r="S628" s="4">
        <v>45483</v>
      </c>
      <c r="T628" s="4">
        <v>45492</v>
      </c>
      <c r="U628" s="5">
        <f t="shared" si="29"/>
        <v>9</v>
      </c>
      <c r="V628" s="5" t="s">
        <v>67</v>
      </c>
      <c r="X628" s="5"/>
    </row>
    <row r="629" spans="1:24">
      <c r="A629" s="4">
        <v>44932</v>
      </c>
      <c r="B629" s="5" t="str">
        <f t="shared" si="27"/>
        <v>January</v>
      </c>
      <c r="C629" s="5" t="s">
        <v>16</v>
      </c>
      <c r="D629" s="5" t="s">
        <v>22</v>
      </c>
      <c r="E629" s="5">
        <v>7</v>
      </c>
      <c r="F629" s="5">
        <v>193.66</v>
      </c>
      <c r="G629" s="6">
        <f t="shared" si="28"/>
        <v>1355.62</v>
      </c>
      <c r="H629" s="5" t="s">
        <v>61</v>
      </c>
      <c r="I629" s="5" t="s">
        <v>54</v>
      </c>
      <c r="J629" s="5">
        <v>0.1</v>
      </c>
      <c r="K629" s="5" t="s">
        <v>82</v>
      </c>
      <c r="L629" s="6">
        <v>1220.058</v>
      </c>
      <c r="M629" s="5" t="s">
        <v>32</v>
      </c>
      <c r="N629" s="5" t="s">
        <v>56</v>
      </c>
      <c r="O629" s="5">
        <v>0</v>
      </c>
      <c r="P629" s="5" t="s">
        <v>1305</v>
      </c>
      <c r="Q629" s="5" t="s">
        <v>1306</v>
      </c>
      <c r="R629" s="5">
        <v>39.01</v>
      </c>
      <c r="S629" s="4">
        <v>44932</v>
      </c>
      <c r="T629" s="4">
        <v>44941</v>
      </c>
      <c r="U629" s="5">
        <f t="shared" si="29"/>
        <v>9</v>
      </c>
      <c r="V629" s="5" t="s">
        <v>59</v>
      </c>
      <c r="X629" s="5"/>
    </row>
    <row r="630" spans="1:24">
      <c r="A630" s="4">
        <v>45346</v>
      </c>
      <c r="B630" s="5" t="str">
        <f t="shared" si="27"/>
        <v>February</v>
      </c>
      <c r="C630" s="5" t="s">
        <v>17</v>
      </c>
      <c r="D630" s="5" t="s">
        <v>25</v>
      </c>
      <c r="E630" s="5">
        <v>3</v>
      </c>
      <c r="F630" s="5">
        <v>270.83</v>
      </c>
      <c r="G630" s="6">
        <f t="shared" si="28"/>
        <v>812.49</v>
      </c>
      <c r="H630" s="5" t="s">
        <v>53</v>
      </c>
      <c r="I630" s="5" t="s">
        <v>54</v>
      </c>
      <c r="J630" s="5">
        <v>0.1</v>
      </c>
      <c r="K630" s="5" t="s">
        <v>78</v>
      </c>
      <c r="L630" s="6">
        <v>731.241</v>
      </c>
      <c r="M630" s="5" t="s">
        <v>30</v>
      </c>
      <c r="N630" s="5" t="s">
        <v>64</v>
      </c>
      <c r="O630" s="5">
        <v>1</v>
      </c>
      <c r="P630" s="5" t="s">
        <v>1307</v>
      </c>
      <c r="Q630" s="5" t="s">
        <v>1308</v>
      </c>
      <c r="R630" s="5">
        <v>17.2</v>
      </c>
      <c r="S630" s="4">
        <v>45346</v>
      </c>
      <c r="T630" s="4">
        <v>45351</v>
      </c>
      <c r="U630" s="5">
        <f t="shared" si="29"/>
        <v>5</v>
      </c>
      <c r="V630" s="5" t="s">
        <v>67</v>
      </c>
      <c r="X630" s="5"/>
    </row>
    <row r="631" spans="1:24">
      <c r="A631" s="4">
        <v>45271</v>
      </c>
      <c r="B631" s="5" t="str">
        <f t="shared" si="27"/>
        <v>December</v>
      </c>
      <c r="C631" s="5" t="s">
        <v>19</v>
      </c>
      <c r="D631" s="5" t="s">
        <v>101</v>
      </c>
      <c r="E631" s="5">
        <v>18</v>
      </c>
      <c r="F631" s="5">
        <v>62.08</v>
      </c>
      <c r="G631" s="6">
        <f t="shared" si="28"/>
        <v>1117.44</v>
      </c>
      <c r="H631" s="5" t="s">
        <v>53</v>
      </c>
      <c r="I631" s="5" t="s">
        <v>62</v>
      </c>
      <c r="J631" s="5">
        <v>0</v>
      </c>
      <c r="K631" s="5" t="s">
        <v>82</v>
      </c>
      <c r="L631" s="6">
        <v>1117.44</v>
      </c>
      <c r="M631" s="5" t="s">
        <v>32</v>
      </c>
      <c r="N631" s="5" t="s">
        <v>64</v>
      </c>
      <c r="O631" s="5">
        <v>1</v>
      </c>
      <c r="P631" s="5" t="s">
        <v>1309</v>
      </c>
      <c r="Q631" s="5" t="s">
        <v>1310</v>
      </c>
      <c r="R631" s="5">
        <v>8.67</v>
      </c>
      <c r="S631" s="4">
        <v>45271</v>
      </c>
      <c r="T631" s="4">
        <v>45280</v>
      </c>
      <c r="U631" s="5">
        <f t="shared" si="29"/>
        <v>9</v>
      </c>
      <c r="V631" s="5" t="s">
        <v>76</v>
      </c>
      <c r="X631" s="5"/>
    </row>
    <row r="632" spans="1:24">
      <c r="A632" s="4">
        <v>45707</v>
      </c>
      <c r="B632" s="5" t="str">
        <f t="shared" si="27"/>
        <v>February</v>
      </c>
      <c r="C632" s="5" t="s">
        <v>17</v>
      </c>
      <c r="D632" s="5" t="s">
        <v>27</v>
      </c>
      <c r="E632" s="5">
        <v>11</v>
      </c>
      <c r="F632" s="5">
        <v>505.96</v>
      </c>
      <c r="G632" s="6">
        <f t="shared" si="28"/>
        <v>5565.56</v>
      </c>
      <c r="H632" s="5" t="s">
        <v>77</v>
      </c>
      <c r="I632" s="5" t="s">
        <v>54</v>
      </c>
      <c r="J632" s="5">
        <v>0.15</v>
      </c>
      <c r="K632" s="5" t="s">
        <v>55</v>
      </c>
      <c r="L632" s="6">
        <v>4730.726</v>
      </c>
      <c r="M632" s="5" t="s">
        <v>33</v>
      </c>
      <c r="N632" s="5" t="s">
        <v>56</v>
      </c>
      <c r="O632" s="5">
        <v>1</v>
      </c>
      <c r="P632" s="5" t="s">
        <v>1311</v>
      </c>
      <c r="Q632" s="5" t="s">
        <v>1312</v>
      </c>
      <c r="R632" s="5">
        <v>22.84</v>
      </c>
      <c r="S632" s="4">
        <v>45707</v>
      </c>
      <c r="T632" s="4">
        <v>45711</v>
      </c>
      <c r="U632" s="5">
        <f t="shared" si="29"/>
        <v>4</v>
      </c>
      <c r="V632" s="5" t="s">
        <v>67</v>
      </c>
      <c r="X632" s="5"/>
    </row>
    <row r="633" spans="1:24">
      <c r="A633" s="4">
        <v>45734</v>
      </c>
      <c r="B633" s="5" t="str">
        <f t="shared" si="27"/>
        <v>March</v>
      </c>
      <c r="C633" s="5" t="s">
        <v>20</v>
      </c>
      <c r="D633" s="5" t="s">
        <v>101</v>
      </c>
      <c r="E633" s="5">
        <v>4</v>
      </c>
      <c r="F633" s="5">
        <v>62.46</v>
      </c>
      <c r="G633" s="6">
        <f t="shared" si="28"/>
        <v>249.84</v>
      </c>
      <c r="H633" s="5" t="s">
        <v>81</v>
      </c>
      <c r="I633" s="5" t="s">
        <v>54</v>
      </c>
      <c r="J633" s="5">
        <v>0.15</v>
      </c>
      <c r="K633" s="5" t="s">
        <v>63</v>
      </c>
      <c r="L633" s="6">
        <v>212.364</v>
      </c>
      <c r="M633" s="5" t="s">
        <v>33</v>
      </c>
      <c r="N633" s="5" t="s">
        <v>69</v>
      </c>
      <c r="O633" s="5">
        <v>0</v>
      </c>
      <c r="P633" s="5" t="s">
        <v>1313</v>
      </c>
      <c r="Q633" s="5" t="s">
        <v>1314</v>
      </c>
      <c r="R633" s="5">
        <v>31.91</v>
      </c>
      <c r="S633" s="4">
        <v>45734</v>
      </c>
      <c r="T633" s="4">
        <v>45742</v>
      </c>
      <c r="U633" s="5">
        <f t="shared" si="29"/>
        <v>8</v>
      </c>
      <c r="V633" s="5" t="s">
        <v>94</v>
      </c>
      <c r="X633" s="5"/>
    </row>
    <row r="634" spans="1:24">
      <c r="A634" s="4">
        <v>45191</v>
      </c>
      <c r="B634" s="5" t="str">
        <f t="shared" si="27"/>
        <v>September</v>
      </c>
      <c r="C634" s="5" t="s">
        <v>17</v>
      </c>
      <c r="D634" s="5" t="s">
        <v>23</v>
      </c>
      <c r="E634" s="5">
        <v>7</v>
      </c>
      <c r="F634" s="5">
        <v>480.08</v>
      </c>
      <c r="G634" s="6">
        <f t="shared" si="28"/>
        <v>3360.56</v>
      </c>
      <c r="H634" s="5" t="s">
        <v>53</v>
      </c>
      <c r="I634" s="5" t="s">
        <v>54</v>
      </c>
      <c r="J634" s="5">
        <v>0.1</v>
      </c>
      <c r="K634" s="5" t="s">
        <v>82</v>
      </c>
      <c r="L634" s="6">
        <v>3024.504</v>
      </c>
      <c r="M634" s="5" t="s">
        <v>30</v>
      </c>
      <c r="N634" s="5"/>
      <c r="O634" s="5">
        <v>1</v>
      </c>
      <c r="P634" s="5" t="s">
        <v>1315</v>
      </c>
      <c r="Q634" s="5" t="s">
        <v>1316</v>
      </c>
      <c r="R634" s="5">
        <v>44.37</v>
      </c>
      <c r="S634" s="4">
        <v>45191</v>
      </c>
      <c r="T634" s="4">
        <v>45196</v>
      </c>
      <c r="U634" s="5">
        <f t="shared" si="29"/>
        <v>5</v>
      </c>
      <c r="V634" s="5" t="s">
        <v>67</v>
      </c>
      <c r="X634" s="5"/>
    </row>
    <row r="635" spans="1:24">
      <c r="A635" s="4">
        <v>45283</v>
      </c>
      <c r="B635" s="5" t="str">
        <f t="shared" si="27"/>
        <v>December</v>
      </c>
      <c r="C635" s="5" t="s">
        <v>20</v>
      </c>
      <c r="D635" s="5" t="s">
        <v>101</v>
      </c>
      <c r="E635" s="5">
        <v>18</v>
      </c>
      <c r="F635" s="5">
        <v>60.66</v>
      </c>
      <c r="G635" s="6">
        <f t="shared" si="28"/>
        <v>1091.88</v>
      </c>
      <c r="H635" s="5" t="s">
        <v>61</v>
      </c>
      <c r="I635" s="5" t="s">
        <v>62</v>
      </c>
      <c r="J635" s="5">
        <v>0</v>
      </c>
      <c r="K635" s="5" t="s">
        <v>89</v>
      </c>
      <c r="L635" s="6">
        <v>1091.88</v>
      </c>
      <c r="M635" s="5" t="s">
        <v>30</v>
      </c>
      <c r="N635" s="5" t="s">
        <v>56</v>
      </c>
      <c r="O635" s="5">
        <v>1</v>
      </c>
      <c r="P635" s="5" t="s">
        <v>1317</v>
      </c>
      <c r="Q635" s="5" t="s">
        <v>1318</v>
      </c>
      <c r="R635" s="5">
        <v>10.08</v>
      </c>
      <c r="S635" s="4">
        <v>45283</v>
      </c>
      <c r="T635" s="4">
        <v>45288</v>
      </c>
      <c r="U635" s="5">
        <f t="shared" si="29"/>
        <v>5</v>
      </c>
      <c r="V635" s="5" t="s">
        <v>94</v>
      </c>
      <c r="X635" s="5"/>
    </row>
    <row r="636" spans="1:24">
      <c r="A636" s="4">
        <v>45781</v>
      </c>
      <c r="B636" s="5" t="str">
        <f t="shared" si="27"/>
        <v>May</v>
      </c>
      <c r="C636" s="5" t="s">
        <v>18</v>
      </c>
      <c r="D636" s="5" t="s">
        <v>24</v>
      </c>
      <c r="E636" s="5">
        <v>6</v>
      </c>
      <c r="F636" s="5">
        <v>249.09</v>
      </c>
      <c r="G636" s="6">
        <f t="shared" si="28"/>
        <v>1494.54</v>
      </c>
      <c r="H636" s="5" t="s">
        <v>53</v>
      </c>
      <c r="I636" s="5" t="s">
        <v>62</v>
      </c>
      <c r="J636" s="5">
        <v>0.05</v>
      </c>
      <c r="K636" s="5" t="s">
        <v>73</v>
      </c>
      <c r="L636" s="6">
        <v>1419.813</v>
      </c>
      <c r="M636" s="5" t="s">
        <v>34</v>
      </c>
      <c r="N636" s="5"/>
      <c r="O636" s="5">
        <v>0</v>
      </c>
      <c r="P636" s="5" t="s">
        <v>1319</v>
      </c>
      <c r="Q636" s="5" t="s">
        <v>1320</v>
      </c>
      <c r="R636" s="5">
        <v>20.38</v>
      </c>
      <c r="S636" s="4">
        <v>45781</v>
      </c>
      <c r="T636" s="4">
        <v>45787</v>
      </c>
      <c r="U636" s="5">
        <f t="shared" si="29"/>
        <v>6</v>
      </c>
      <c r="V636" s="5" t="s">
        <v>72</v>
      </c>
      <c r="X636" s="5"/>
    </row>
    <row r="637" spans="1:24">
      <c r="A637" s="4">
        <v>45668</v>
      </c>
      <c r="B637" s="5" t="str">
        <f t="shared" si="27"/>
        <v>January</v>
      </c>
      <c r="C637" s="5" t="s">
        <v>16</v>
      </c>
      <c r="D637" s="5" t="s">
        <v>23</v>
      </c>
      <c r="E637" s="5">
        <v>20</v>
      </c>
      <c r="F637" s="5">
        <v>400.05</v>
      </c>
      <c r="G637" s="6">
        <f t="shared" si="28"/>
        <v>8001</v>
      </c>
      <c r="H637" s="5" t="s">
        <v>81</v>
      </c>
      <c r="I637" s="5" t="s">
        <v>54</v>
      </c>
      <c r="J637" s="5">
        <v>0.1</v>
      </c>
      <c r="K637" s="5" t="s">
        <v>82</v>
      </c>
      <c r="L637" s="6">
        <v>7200.9</v>
      </c>
      <c r="M637" s="5" t="s">
        <v>33</v>
      </c>
      <c r="N637" s="5" t="s">
        <v>69</v>
      </c>
      <c r="O637" s="5">
        <v>0</v>
      </c>
      <c r="P637" s="5" t="s">
        <v>1321</v>
      </c>
      <c r="Q637" s="5" t="s">
        <v>1322</v>
      </c>
      <c r="R637" s="5">
        <v>24.41</v>
      </c>
      <c r="S637" s="4">
        <v>45668</v>
      </c>
      <c r="T637" s="4">
        <v>45670</v>
      </c>
      <c r="U637" s="5">
        <f t="shared" si="29"/>
        <v>2</v>
      </c>
      <c r="V637" s="5" t="s">
        <v>59</v>
      </c>
      <c r="X637" s="5"/>
    </row>
    <row r="638" spans="1:24">
      <c r="A638" s="4">
        <v>45768</v>
      </c>
      <c r="B638" s="5" t="str">
        <f t="shared" si="27"/>
        <v>April</v>
      </c>
      <c r="C638" s="5" t="s">
        <v>17</v>
      </c>
      <c r="D638" s="5" t="s">
        <v>27</v>
      </c>
      <c r="E638" s="5">
        <v>1</v>
      </c>
      <c r="F638" s="5">
        <v>130.87</v>
      </c>
      <c r="G638" s="6">
        <f t="shared" si="28"/>
        <v>130.87</v>
      </c>
      <c r="H638" s="5" t="s">
        <v>53</v>
      </c>
      <c r="I638" s="5" t="s">
        <v>62</v>
      </c>
      <c r="J638" s="5">
        <v>0.05</v>
      </c>
      <c r="K638" s="5" t="s">
        <v>82</v>
      </c>
      <c r="L638" s="6">
        <v>124.3265</v>
      </c>
      <c r="M638" s="5" t="s">
        <v>30</v>
      </c>
      <c r="N638" s="5" t="s">
        <v>69</v>
      </c>
      <c r="O638" s="5">
        <v>0</v>
      </c>
      <c r="P638" s="5" t="s">
        <v>1323</v>
      </c>
      <c r="Q638" s="5" t="s">
        <v>1324</v>
      </c>
      <c r="R638" s="5">
        <v>43.21</v>
      </c>
      <c r="S638" s="4">
        <v>45768</v>
      </c>
      <c r="T638" s="4">
        <v>45771</v>
      </c>
      <c r="U638" s="5">
        <f t="shared" si="29"/>
        <v>3</v>
      </c>
      <c r="V638" s="5" t="s">
        <v>67</v>
      </c>
      <c r="X638" s="5"/>
    </row>
    <row r="639" spans="1:24">
      <c r="A639" s="4">
        <v>45273</v>
      </c>
      <c r="B639" s="5" t="str">
        <f t="shared" si="27"/>
        <v>December</v>
      </c>
      <c r="C639" s="5" t="s">
        <v>19</v>
      </c>
      <c r="D639" s="5" t="s">
        <v>101</v>
      </c>
      <c r="E639" s="5">
        <v>11</v>
      </c>
      <c r="F639" s="5">
        <v>133.08</v>
      </c>
      <c r="G639" s="6">
        <f t="shared" si="28"/>
        <v>1463.88</v>
      </c>
      <c r="H639" s="5" t="s">
        <v>61</v>
      </c>
      <c r="I639" s="5" t="s">
        <v>54</v>
      </c>
      <c r="J639" s="5">
        <v>0.15</v>
      </c>
      <c r="K639" s="5" t="s">
        <v>73</v>
      </c>
      <c r="L639" s="6">
        <v>1244.298</v>
      </c>
      <c r="M639" s="5" t="s">
        <v>32</v>
      </c>
      <c r="N639" s="5" t="s">
        <v>69</v>
      </c>
      <c r="O639" s="5">
        <v>0</v>
      </c>
      <c r="P639" s="5" t="s">
        <v>1325</v>
      </c>
      <c r="Q639" s="5" t="s">
        <v>1326</v>
      </c>
      <c r="R639" s="5">
        <v>44.61</v>
      </c>
      <c r="S639" s="4">
        <v>45273</v>
      </c>
      <c r="T639" s="4">
        <v>45282</v>
      </c>
      <c r="U639" s="5">
        <f t="shared" si="29"/>
        <v>9</v>
      </c>
      <c r="V639" s="5" t="s">
        <v>76</v>
      </c>
      <c r="X639" s="5"/>
    </row>
    <row r="640" spans="1:24">
      <c r="A640" s="4">
        <v>45329</v>
      </c>
      <c r="B640" s="5" t="str">
        <f t="shared" si="27"/>
        <v>February</v>
      </c>
      <c r="C640" s="5" t="s">
        <v>16</v>
      </c>
      <c r="D640" s="5" t="s">
        <v>25</v>
      </c>
      <c r="E640" s="5">
        <v>13</v>
      </c>
      <c r="F640" s="5">
        <v>448.68</v>
      </c>
      <c r="G640" s="6">
        <f t="shared" si="28"/>
        <v>5832.84</v>
      </c>
      <c r="H640" s="5" t="s">
        <v>53</v>
      </c>
      <c r="I640" s="5" t="s">
        <v>54</v>
      </c>
      <c r="J640" s="5">
        <v>0.1</v>
      </c>
      <c r="K640" s="5" t="s">
        <v>82</v>
      </c>
      <c r="L640" s="6">
        <v>5249.556</v>
      </c>
      <c r="M640" s="5" t="s">
        <v>32</v>
      </c>
      <c r="N640" s="5" t="s">
        <v>56</v>
      </c>
      <c r="O640" s="5">
        <v>1</v>
      </c>
      <c r="P640" s="5" t="s">
        <v>1327</v>
      </c>
      <c r="Q640" s="5" t="s">
        <v>1328</v>
      </c>
      <c r="R640" s="5">
        <v>16.82</v>
      </c>
      <c r="S640" s="4">
        <v>45329</v>
      </c>
      <c r="T640" s="4">
        <v>45333</v>
      </c>
      <c r="U640" s="5">
        <f t="shared" si="29"/>
        <v>4</v>
      </c>
      <c r="V640" s="5" t="s">
        <v>59</v>
      </c>
      <c r="X640" s="5"/>
    </row>
    <row r="641" spans="1:24">
      <c r="A641" s="4">
        <v>45406</v>
      </c>
      <c r="B641" s="5" t="str">
        <f t="shared" si="27"/>
        <v>April</v>
      </c>
      <c r="C641" s="5" t="s">
        <v>18</v>
      </c>
      <c r="D641" s="5" t="s">
        <v>101</v>
      </c>
      <c r="E641" s="5">
        <v>19</v>
      </c>
      <c r="F641" s="5">
        <v>36.23</v>
      </c>
      <c r="G641" s="6">
        <f t="shared" si="28"/>
        <v>688.37</v>
      </c>
      <c r="H641" s="5" t="s">
        <v>53</v>
      </c>
      <c r="I641" s="5" t="s">
        <v>54</v>
      </c>
      <c r="J641" s="5">
        <v>0</v>
      </c>
      <c r="K641" s="5" t="s">
        <v>82</v>
      </c>
      <c r="L641" s="6">
        <v>688.37</v>
      </c>
      <c r="M641" s="5" t="s">
        <v>33</v>
      </c>
      <c r="N641" s="5" t="s">
        <v>69</v>
      </c>
      <c r="O641" s="5">
        <v>0</v>
      </c>
      <c r="P641" s="5" t="s">
        <v>1329</v>
      </c>
      <c r="Q641" s="5" t="s">
        <v>1330</v>
      </c>
      <c r="R641" s="5">
        <v>33.94</v>
      </c>
      <c r="S641" s="4">
        <v>45406</v>
      </c>
      <c r="T641" s="4">
        <v>45409</v>
      </c>
      <c r="U641" s="5">
        <f t="shared" si="29"/>
        <v>3</v>
      </c>
      <c r="V641" s="5" t="s">
        <v>72</v>
      </c>
      <c r="X641" s="5"/>
    </row>
    <row r="642" spans="1:24">
      <c r="A642" s="4">
        <v>45180</v>
      </c>
      <c r="B642" s="5" t="str">
        <f t="shared" si="27"/>
        <v>September</v>
      </c>
      <c r="C642" s="5" t="s">
        <v>20</v>
      </c>
      <c r="D642" s="5" t="s">
        <v>25</v>
      </c>
      <c r="E642" s="5">
        <v>14</v>
      </c>
      <c r="F642" s="5">
        <v>113.77</v>
      </c>
      <c r="G642" s="6">
        <f t="shared" si="28"/>
        <v>1592.78</v>
      </c>
      <c r="H642" s="5" t="s">
        <v>77</v>
      </c>
      <c r="I642" s="5" t="s">
        <v>62</v>
      </c>
      <c r="J642" s="5">
        <v>0</v>
      </c>
      <c r="K642" s="5" t="s">
        <v>55</v>
      </c>
      <c r="L642" s="6">
        <v>1592.78</v>
      </c>
      <c r="M642" s="5" t="s">
        <v>34</v>
      </c>
      <c r="N642" s="5" t="s">
        <v>56</v>
      </c>
      <c r="O642" s="5">
        <v>0</v>
      </c>
      <c r="P642" s="5" t="s">
        <v>1331</v>
      </c>
      <c r="Q642" s="5" t="s">
        <v>745</v>
      </c>
      <c r="R642" s="5">
        <v>25.35</v>
      </c>
      <c r="S642" s="4">
        <v>45180</v>
      </c>
      <c r="T642" s="4">
        <v>45185</v>
      </c>
      <c r="U642" s="5">
        <f t="shared" si="29"/>
        <v>5</v>
      </c>
      <c r="V642" s="5" t="s">
        <v>94</v>
      </c>
      <c r="X642" s="5"/>
    </row>
    <row r="643" spans="1:24">
      <c r="A643" s="4">
        <v>45817</v>
      </c>
      <c r="B643" s="5" t="str">
        <f t="shared" ref="B643:B706" si="30">TEXT(A643,"mmmm")</f>
        <v>June</v>
      </c>
      <c r="C643" s="5" t="s">
        <v>19</v>
      </c>
      <c r="D643" s="5" t="s">
        <v>27</v>
      </c>
      <c r="E643" s="5">
        <v>2</v>
      </c>
      <c r="F643" s="5">
        <v>89.6</v>
      </c>
      <c r="G643" s="6">
        <f t="shared" ref="G643:G706" si="31">F643*E643</f>
        <v>179.2</v>
      </c>
      <c r="H643" s="5" t="s">
        <v>61</v>
      </c>
      <c r="I643" s="5" t="s">
        <v>62</v>
      </c>
      <c r="J643" s="5">
        <v>0</v>
      </c>
      <c r="K643" s="5" t="s">
        <v>82</v>
      </c>
      <c r="L643" s="6">
        <v>179.2</v>
      </c>
      <c r="M643" s="5" t="s">
        <v>31</v>
      </c>
      <c r="N643" s="5" t="s">
        <v>56</v>
      </c>
      <c r="O643" s="5">
        <v>0</v>
      </c>
      <c r="P643" s="5" t="s">
        <v>1332</v>
      </c>
      <c r="Q643" s="5" t="s">
        <v>1333</v>
      </c>
      <c r="R643" s="5">
        <v>23.69</v>
      </c>
      <c r="S643" s="4">
        <v>45817</v>
      </c>
      <c r="T643" s="4">
        <v>45820</v>
      </c>
      <c r="U643" s="5">
        <f t="shared" ref="U643:U706" si="32">T643-S643</f>
        <v>3</v>
      </c>
      <c r="V643" s="5" t="s">
        <v>76</v>
      </c>
      <c r="X643" s="5"/>
    </row>
    <row r="644" spans="1:24">
      <c r="A644" s="4">
        <v>45814</v>
      </c>
      <c r="B644" s="5" t="str">
        <f t="shared" si="30"/>
        <v>June</v>
      </c>
      <c r="C644" s="5" t="s">
        <v>16</v>
      </c>
      <c r="D644" s="5" t="s">
        <v>24</v>
      </c>
      <c r="E644" s="5">
        <v>3</v>
      </c>
      <c r="F644" s="5">
        <v>391.92</v>
      </c>
      <c r="G644" s="6">
        <f t="shared" si="31"/>
        <v>1175.76</v>
      </c>
      <c r="H644" s="5" t="s">
        <v>61</v>
      </c>
      <c r="I644" s="5" t="s">
        <v>54</v>
      </c>
      <c r="J644" s="5">
        <v>0.15</v>
      </c>
      <c r="K644" s="5" t="s">
        <v>63</v>
      </c>
      <c r="L644" s="6">
        <v>999.396</v>
      </c>
      <c r="M644" s="5" t="s">
        <v>33</v>
      </c>
      <c r="N644" s="5" t="s">
        <v>64</v>
      </c>
      <c r="O644" s="5">
        <v>0</v>
      </c>
      <c r="P644" s="5" t="s">
        <v>1334</v>
      </c>
      <c r="Q644" s="5" t="s">
        <v>1335</v>
      </c>
      <c r="R644" s="5">
        <v>9.86</v>
      </c>
      <c r="S644" s="4">
        <v>45814</v>
      </c>
      <c r="T644" s="4">
        <v>45824</v>
      </c>
      <c r="U644" s="5">
        <f t="shared" si="32"/>
        <v>10</v>
      </c>
      <c r="V644" s="5" t="s">
        <v>59</v>
      </c>
      <c r="X644" s="5"/>
    </row>
    <row r="645" spans="1:24">
      <c r="A645" s="4">
        <v>45649</v>
      </c>
      <c r="B645" s="5" t="str">
        <f t="shared" si="30"/>
        <v>December</v>
      </c>
      <c r="C645" s="5" t="s">
        <v>17</v>
      </c>
      <c r="D645" s="5" t="s">
        <v>25</v>
      </c>
      <c r="E645" s="5">
        <v>10</v>
      </c>
      <c r="F645" s="5">
        <v>418.93</v>
      </c>
      <c r="G645" s="6">
        <f t="shared" si="31"/>
        <v>4189.3</v>
      </c>
      <c r="H645" s="5" t="s">
        <v>77</v>
      </c>
      <c r="I645" s="5" t="s">
        <v>54</v>
      </c>
      <c r="J645" s="5">
        <v>0.1</v>
      </c>
      <c r="K645" s="5" t="s">
        <v>89</v>
      </c>
      <c r="L645" s="6">
        <v>3770.37</v>
      </c>
      <c r="M645" s="5" t="s">
        <v>32</v>
      </c>
      <c r="N645" s="5" t="s">
        <v>56</v>
      </c>
      <c r="O645" s="5">
        <v>0</v>
      </c>
      <c r="P645" s="5" t="s">
        <v>1336</v>
      </c>
      <c r="Q645" s="5" t="s">
        <v>1337</v>
      </c>
      <c r="R645" s="5">
        <v>45.63</v>
      </c>
      <c r="S645" s="4">
        <v>45649</v>
      </c>
      <c r="T645" s="4">
        <v>45654</v>
      </c>
      <c r="U645" s="5">
        <f t="shared" si="32"/>
        <v>5</v>
      </c>
      <c r="V645" s="5" t="s">
        <v>67</v>
      </c>
      <c r="X645" s="5"/>
    </row>
    <row r="646" spans="1:24">
      <c r="A646" s="4">
        <v>45165</v>
      </c>
      <c r="B646" s="5" t="str">
        <f t="shared" si="30"/>
        <v>August</v>
      </c>
      <c r="C646" s="5" t="s">
        <v>16</v>
      </c>
      <c r="D646" s="5" t="s">
        <v>26</v>
      </c>
      <c r="E646" s="5">
        <v>12</v>
      </c>
      <c r="F646" s="5">
        <v>303.09</v>
      </c>
      <c r="G646" s="6">
        <f t="shared" si="31"/>
        <v>3637.08</v>
      </c>
      <c r="H646" s="5" t="s">
        <v>53</v>
      </c>
      <c r="I646" s="5" t="s">
        <v>54</v>
      </c>
      <c r="J646" s="5">
        <v>0</v>
      </c>
      <c r="K646" s="5" t="s">
        <v>63</v>
      </c>
      <c r="L646" s="6">
        <v>3637.08</v>
      </c>
      <c r="M646" s="5" t="s">
        <v>31</v>
      </c>
      <c r="N646" s="5" t="s">
        <v>69</v>
      </c>
      <c r="O646" s="5">
        <v>1</v>
      </c>
      <c r="P646" s="5" t="s">
        <v>1338</v>
      </c>
      <c r="Q646" s="5" t="s">
        <v>1339</v>
      </c>
      <c r="R646" s="5">
        <v>5.48</v>
      </c>
      <c r="S646" s="4">
        <v>45165</v>
      </c>
      <c r="T646" s="4">
        <v>45172</v>
      </c>
      <c r="U646" s="5">
        <f t="shared" si="32"/>
        <v>7</v>
      </c>
      <c r="V646" s="5" t="s">
        <v>59</v>
      </c>
      <c r="X646" s="5"/>
    </row>
    <row r="647" spans="1:24">
      <c r="A647" s="4">
        <v>44935</v>
      </c>
      <c r="B647" s="5" t="str">
        <f t="shared" si="30"/>
        <v>January</v>
      </c>
      <c r="C647" s="5" t="s">
        <v>16</v>
      </c>
      <c r="D647" s="5" t="s">
        <v>26</v>
      </c>
      <c r="E647" s="5">
        <v>10</v>
      </c>
      <c r="F647" s="5">
        <v>209.95</v>
      </c>
      <c r="G647" s="6">
        <f t="shared" si="31"/>
        <v>2099.5</v>
      </c>
      <c r="H647" s="5" t="s">
        <v>61</v>
      </c>
      <c r="I647" s="5" t="s">
        <v>54</v>
      </c>
      <c r="J647" s="5">
        <v>0.1</v>
      </c>
      <c r="K647" s="5" t="s">
        <v>55</v>
      </c>
      <c r="L647" s="6">
        <v>1889.55</v>
      </c>
      <c r="M647" s="5" t="s">
        <v>34</v>
      </c>
      <c r="N647" s="5" t="s">
        <v>69</v>
      </c>
      <c r="O647" s="5">
        <v>0</v>
      </c>
      <c r="P647" s="5" t="s">
        <v>1340</v>
      </c>
      <c r="Q647" s="5" t="s">
        <v>1341</v>
      </c>
      <c r="R647" s="5">
        <v>10.99</v>
      </c>
      <c r="S647" s="4">
        <v>44935</v>
      </c>
      <c r="T647" s="4">
        <v>44939</v>
      </c>
      <c r="U647" s="5">
        <f t="shared" si="32"/>
        <v>4</v>
      </c>
      <c r="V647" s="5" t="s">
        <v>59</v>
      </c>
      <c r="X647" s="5"/>
    </row>
    <row r="648" spans="1:24">
      <c r="A648" s="4">
        <v>45769</v>
      </c>
      <c r="B648" s="5" t="str">
        <f t="shared" si="30"/>
        <v>April</v>
      </c>
      <c r="C648" s="5" t="s">
        <v>16</v>
      </c>
      <c r="D648" s="5" t="s">
        <v>22</v>
      </c>
      <c r="E648" s="5">
        <v>8</v>
      </c>
      <c r="F648" s="5">
        <v>283.63</v>
      </c>
      <c r="G648" s="6">
        <f t="shared" si="31"/>
        <v>2269.04</v>
      </c>
      <c r="H648" s="5" t="s">
        <v>77</v>
      </c>
      <c r="I648" s="5" t="s">
        <v>54</v>
      </c>
      <c r="J648" s="5">
        <v>0.1</v>
      </c>
      <c r="K648" s="5" t="s">
        <v>63</v>
      </c>
      <c r="L648" s="6">
        <v>2042.136</v>
      </c>
      <c r="M648" s="5" t="s">
        <v>34</v>
      </c>
      <c r="N648" s="5" t="s">
        <v>64</v>
      </c>
      <c r="O648" s="5">
        <v>0</v>
      </c>
      <c r="P648" s="5" t="s">
        <v>1342</v>
      </c>
      <c r="Q648" s="5" t="s">
        <v>1343</v>
      </c>
      <c r="R648" s="5">
        <v>49.91</v>
      </c>
      <c r="S648" s="4">
        <v>45769</v>
      </c>
      <c r="T648" s="4">
        <v>45772</v>
      </c>
      <c r="U648" s="5">
        <f t="shared" si="32"/>
        <v>3</v>
      </c>
      <c r="V648" s="5" t="s">
        <v>59</v>
      </c>
      <c r="X648" s="5"/>
    </row>
    <row r="649" spans="1:24">
      <c r="A649" s="4">
        <v>45175</v>
      </c>
      <c r="B649" s="5" t="str">
        <f t="shared" si="30"/>
        <v>September</v>
      </c>
      <c r="C649" s="5" t="s">
        <v>17</v>
      </c>
      <c r="D649" s="5" t="s">
        <v>23</v>
      </c>
      <c r="E649" s="5">
        <v>7</v>
      </c>
      <c r="F649" s="5">
        <v>18.36</v>
      </c>
      <c r="G649" s="6">
        <f t="shared" si="31"/>
        <v>128.52</v>
      </c>
      <c r="H649" s="5" t="s">
        <v>81</v>
      </c>
      <c r="I649" s="5" t="s">
        <v>62</v>
      </c>
      <c r="J649" s="5">
        <v>0.1</v>
      </c>
      <c r="K649" s="5" t="s">
        <v>63</v>
      </c>
      <c r="L649" s="6">
        <v>115.668</v>
      </c>
      <c r="M649" s="5" t="s">
        <v>30</v>
      </c>
      <c r="N649" s="5"/>
      <c r="O649" s="5">
        <v>0</v>
      </c>
      <c r="P649" s="5" t="s">
        <v>1344</v>
      </c>
      <c r="Q649" s="5" t="s">
        <v>1345</v>
      </c>
      <c r="R649" s="5">
        <v>48.92</v>
      </c>
      <c r="S649" s="4">
        <v>45175</v>
      </c>
      <c r="T649" s="4">
        <v>45180</v>
      </c>
      <c r="U649" s="5">
        <f t="shared" si="32"/>
        <v>5</v>
      </c>
      <c r="V649" s="5" t="s">
        <v>67</v>
      </c>
      <c r="X649" s="5"/>
    </row>
    <row r="650" spans="1:24">
      <c r="A650" s="4">
        <v>44947</v>
      </c>
      <c r="B650" s="5" t="str">
        <f t="shared" si="30"/>
        <v>January</v>
      </c>
      <c r="C650" s="5" t="s">
        <v>16</v>
      </c>
      <c r="D650" s="5" t="s">
        <v>26</v>
      </c>
      <c r="E650" s="5">
        <v>9</v>
      </c>
      <c r="F650" s="5">
        <v>475.38</v>
      </c>
      <c r="G650" s="6">
        <f t="shared" si="31"/>
        <v>4278.42</v>
      </c>
      <c r="H650" s="5" t="s">
        <v>61</v>
      </c>
      <c r="I650" s="5" t="s">
        <v>54</v>
      </c>
      <c r="J650" s="5">
        <v>0.1</v>
      </c>
      <c r="K650" s="5" t="s">
        <v>78</v>
      </c>
      <c r="L650" s="6">
        <v>3850.578</v>
      </c>
      <c r="M650" s="5" t="s">
        <v>33</v>
      </c>
      <c r="N650" s="5" t="s">
        <v>64</v>
      </c>
      <c r="O650" s="5">
        <v>0</v>
      </c>
      <c r="P650" s="5" t="s">
        <v>1346</v>
      </c>
      <c r="Q650" s="5" t="s">
        <v>1347</v>
      </c>
      <c r="R650" s="5">
        <v>39.98</v>
      </c>
      <c r="S650" s="4">
        <v>44947</v>
      </c>
      <c r="T650" s="4">
        <v>44953</v>
      </c>
      <c r="U650" s="5">
        <f t="shared" si="32"/>
        <v>6</v>
      </c>
      <c r="V650" s="5" t="s">
        <v>59</v>
      </c>
      <c r="X650" s="5"/>
    </row>
    <row r="651" spans="1:24">
      <c r="A651" s="4">
        <v>45408</v>
      </c>
      <c r="B651" s="5" t="str">
        <f t="shared" si="30"/>
        <v>April</v>
      </c>
      <c r="C651" s="5" t="s">
        <v>19</v>
      </c>
      <c r="D651" s="5" t="s">
        <v>25</v>
      </c>
      <c r="E651" s="5">
        <v>12</v>
      </c>
      <c r="F651" s="5">
        <v>591.92</v>
      </c>
      <c r="G651" s="6">
        <f t="shared" si="31"/>
        <v>7103.04</v>
      </c>
      <c r="H651" s="5" t="s">
        <v>81</v>
      </c>
      <c r="I651" s="5" t="s">
        <v>62</v>
      </c>
      <c r="J651" s="5">
        <v>0</v>
      </c>
      <c r="K651" s="5" t="s">
        <v>55</v>
      </c>
      <c r="L651" s="6">
        <v>7103.04</v>
      </c>
      <c r="M651" s="5" t="s">
        <v>33</v>
      </c>
      <c r="N651" s="5" t="s">
        <v>64</v>
      </c>
      <c r="O651" s="5">
        <v>0</v>
      </c>
      <c r="P651" s="5" t="s">
        <v>1348</v>
      </c>
      <c r="Q651" s="5" t="s">
        <v>1349</v>
      </c>
      <c r="R651" s="5">
        <v>25.2</v>
      </c>
      <c r="S651" s="4">
        <v>45408</v>
      </c>
      <c r="T651" s="4">
        <v>45418</v>
      </c>
      <c r="U651" s="5">
        <f t="shared" si="32"/>
        <v>10</v>
      </c>
      <c r="V651" s="5" t="s">
        <v>76</v>
      </c>
      <c r="X651" s="5"/>
    </row>
    <row r="652" spans="1:24">
      <c r="A652" s="4">
        <v>45104</v>
      </c>
      <c r="B652" s="5" t="str">
        <f t="shared" si="30"/>
        <v>June</v>
      </c>
      <c r="C652" s="5" t="s">
        <v>18</v>
      </c>
      <c r="D652" s="5" t="s">
        <v>23</v>
      </c>
      <c r="E652" s="5">
        <v>7</v>
      </c>
      <c r="F652" s="5">
        <v>93.23</v>
      </c>
      <c r="G652" s="6">
        <f t="shared" si="31"/>
        <v>652.61</v>
      </c>
      <c r="H652" s="5" t="s">
        <v>53</v>
      </c>
      <c r="I652" s="5" t="s">
        <v>62</v>
      </c>
      <c r="J652" s="5">
        <v>0.05</v>
      </c>
      <c r="K652" s="5" t="s">
        <v>63</v>
      </c>
      <c r="L652" s="6">
        <v>619.9795</v>
      </c>
      <c r="M652" s="5" t="s">
        <v>32</v>
      </c>
      <c r="N652" s="5" t="s">
        <v>56</v>
      </c>
      <c r="O652" s="5">
        <v>1</v>
      </c>
      <c r="P652" s="5" t="s">
        <v>1350</v>
      </c>
      <c r="Q652" s="5" t="s">
        <v>1351</v>
      </c>
      <c r="R652" s="5">
        <v>6.47</v>
      </c>
      <c r="S652" s="4">
        <v>45104</v>
      </c>
      <c r="T652" s="4">
        <v>45107</v>
      </c>
      <c r="U652" s="5">
        <f t="shared" si="32"/>
        <v>3</v>
      </c>
      <c r="V652" s="5" t="s">
        <v>72</v>
      </c>
      <c r="X652" s="5"/>
    </row>
    <row r="653" spans="1:24">
      <c r="A653" s="4">
        <v>44927</v>
      </c>
      <c r="B653" s="5" t="str">
        <f t="shared" si="30"/>
        <v>January</v>
      </c>
      <c r="C653" s="5" t="s">
        <v>16</v>
      </c>
      <c r="D653" s="5" t="s">
        <v>101</v>
      </c>
      <c r="E653" s="5">
        <v>15</v>
      </c>
      <c r="F653" s="5">
        <v>298.71</v>
      </c>
      <c r="G653" s="6">
        <f t="shared" si="31"/>
        <v>4480.65</v>
      </c>
      <c r="H653" s="5" t="s">
        <v>77</v>
      </c>
      <c r="I653" s="5" t="s">
        <v>62</v>
      </c>
      <c r="J653" s="5">
        <v>0</v>
      </c>
      <c r="K653" s="5" t="s">
        <v>89</v>
      </c>
      <c r="L653" s="6">
        <v>4480.65</v>
      </c>
      <c r="M653" s="5" t="s">
        <v>33</v>
      </c>
      <c r="N653" s="5" t="s">
        <v>64</v>
      </c>
      <c r="O653" s="5">
        <v>0</v>
      </c>
      <c r="P653" s="5" t="s">
        <v>1352</v>
      </c>
      <c r="Q653" s="5" t="s">
        <v>1353</v>
      </c>
      <c r="R653" s="5">
        <v>11.38</v>
      </c>
      <c r="S653" s="4">
        <v>44927</v>
      </c>
      <c r="T653" s="4">
        <v>44934</v>
      </c>
      <c r="U653" s="5">
        <f t="shared" si="32"/>
        <v>7</v>
      </c>
      <c r="V653" s="5" t="s">
        <v>59</v>
      </c>
      <c r="X653" s="5"/>
    </row>
    <row r="654" spans="1:24">
      <c r="A654" s="4">
        <v>45290</v>
      </c>
      <c r="B654" s="5" t="str">
        <f t="shared" si="30"/>
        <v>December</v>
      </c>
      <c r="C654" s="5" t="s">
        <v>20</v>
      </c>
      <c r="D654" s="5" t="s">
        <v>101</v>
      </c>
      <c r="E654" s="5">
        <v>15</v>
      </c>
      <c r="F654" s="5">
        <v>52.37</v>
      </c>
      <c r="G654" s="6">
        <f t="shared" si="31"/>
        <v>785.55</v>
      </c>
      <c r="H654" s="5" t="s">
        <v>61</v>
      </c>
      <c r="I654" s="5" t="s">
        <v>62</v>
      </c>
      <c r="J654" s="5">
        <v>0.15</v>
      </c>
      <c r="K654" s="5" t="s">
        <v>82</v>
      </c>
      <c r="L654" s="6">
        <v>667.7175</v>
      </c>
      <c r="M654" s="5" t="s">
        <v>30</v>
      </c>
      <c r="N654" s="5" t="s">
        <v>64</v>
      </c>
      <c r="O654" s="5">
        <v>0</v>
      </c>
      <c r="P654" s="5" t="s">
        <v>1354</v>
      </c>
      <c r="Q654" s="5" t="s">
        <v>1355</v>
      </c>
      <c r="R654" s="5">
        <v>8.93</v>
      </c>
      <c r="S654" s="4">
        <v>45290</v>
      </c>
      <c r="T654" s="4">
        <v>45293</v>
      </c>
      <c r="U654" s="5">
        <f t="shared" si="32"/>
        <v>3</v>
      </c>
      <c r="V654" s="5" t="s">
        <v>94</v>
      </c>
      <c r="X654" s="5"/>
    </row>
    <row r="655" spans="1:24">
      <c r="A655" s="4">
        <v>44948</v>
      </c>
      <c r="B655" s="5" t="str">
        <f t="shared" si="30"/>
        <v>January</v>
      </c>
      <c r="C655" s="5" t="s">
        <v>19</v>
      </c>
      <c r="D655" s="5" t="s">
        <v>23</v>
      </c>
      <c r="E655" s="5">
        <v>6</v>
      </c>
      <c r="F655" s="5">
        <v>104.19</v>
      </c>
      <c r="G655" s="6">
        <f t="shared" si="31"/>
        <v>625.14</v>
      </c>
      <c r="H655" s="5" t="s">
        <v>77</v>
      </c>
      <c r="I655" s="5" t="s">
        <v>62</v>
      </c>
      <c r="J655" s="5">
        <v>0.1</v>
      </c>
      <c r="K655" s="5" t="s">
        <v>82</v>
      </c>
      <c r="L655" s="6">
        <v>562.626</v>
      </c>
      <c r="M655" s="5" t="s">
        <v>30</v>
      </c>
      <c r="N655" s="5"/>
      <c r="O655" s="5">
        <v>0</v>
      </c>
      <c r="P655" s="5" t="s">
        <v>1356</v>
      </c>
      <c r="Q655" s="5" t="s">
        <v>1357</v>
      </c>
      <c r="R655" s="5">
        <v>8.62</v>
      </c>
      <c r="S655" s="4">
        <v>44948</v>
      </c>
      <c r="T655" s="4">
        <v>44950</v>
      </c>
      <c r="U655" s="5">
        <f t="shared" si="32"/>
        <v>2</v>
      </c>
      <c r="V655" s="5" t="s">
        <v>76</v>
      </c>
      <c r="X655" s="5"/>
    </row>
    <row r="656" spans="1:24">
      <c r="A656" s="4">
        <v>45500</v>
      </c>
      <c r="B656" s="5" t="str">
        <f t="shared" si="30"/>
        <v>July</v>
      </c>
      <c r="C656" s="5" t="s">
        <v>17</v>
      </c>
      <c r="D656" s="5" t="s">
        <v>22</v>
      </c>
      <c r="E656" s="5">
        <v>8</v>
      </c>
      <c r="F656" s="5">
        <v>493.09</v>
      </c>
      <c r="G656" s="6">
        <f t="shared" si="31"/>
        <v>3944.72</v>
      </c>
      <c r="H656" s="5" t="s">
        <v>61</v>
      </c>
      <c r="I656" s="5" t="s">
        <v>62</v>
      </c>
      <c r="J656" s="5">
        <v>0.05</v>
      </c>
      <c r="K656" s="5" t="s">
        <v>82</v>
      </c>
      <c r="L656" s="6">
        <v>3747.484</v>
      </c>
      <c r="M656" s="5" t="s">
        <v>32</v>
      </c>
      <c r="N656" s="5" t="s">
        <v>56</v>
      </c>
      <c r="O656" s="5">
        <v>0</v>
      </c>
      <c r="P656" s="5" t="s">
        <v>1358</v>
      </c>
      <c r="Q656" s="5" t="s">
        <v>1359</v>
      </c>
      <c r="R656" s="5">
        <v>11.49</v>
      </c>
      <c r="S656" s="4">
        <v>45500</v>
      </c>
      <c r="T656" s="4">
        <v>45509</v>
      </c>
      <c r="U656" s="5">
        <f t="shared" si="32"/>
        <v>9</v>
      </c>
      <c r="V656" s="5" t="s">
        <v>67</v>
      </c>
      <c r="X656" s="5"/>
    </row>
    <row r="657" spans="1:24">
      <c r="A657" s="4">
        <v>45306</v>
      </c>
      <c r="B657" s="5" t="str">
        <f t="shared" si="30"/>
        <v>January</v>
      </c>
      <c r="C657" s="5" t="s">
        <v>17</v>
      </c>
      <c r="D657" s="5" t="s">
        <v>25</v>
      </c>
      <c r="E657" s="5">
        <v>6</v>
      </c>
      <c r="F657" s="5">
        <v>291.58</v>
      </c>
      <c r="G657" s="6">
        <f t="shared" si="31"/>
        <v>1749.48</v>
      </c>
      <c r="H657" s="5" t="s">
        <v>53</v>
      </c>
      <c r="I657" s="5" t="s">
        <v>54</v>
      </c>
      <c r="J657" s="5">
        <v>0</v>
      </c>
      <c r="K657" s="5" t="s">
        <v>73</v>
      </c>
      <c r="L657" s="6">
        <v>1749.48</v>
      </c>
      <c r="M657" s="5" t="s">
        <v>32</v>
      </c>
      <c r="N657" s="5" t="s">
        <v>56</v>
      </c>
      <c r="O657" s="5">
        <v>0</v>
      </c>
      <c r="P657" s="5" t="s">
        <v>1360</v>
      </c>
      <c r="Q657" s="5" t="s">
        <v>1361</v>
      </c>
      <c r="R657" s="5">
        <v>30.25</v>
      </c>
      <c r="S657" s="4">
        <v>45306</v>
      </c>
      <c r="T657" s="4">
        <v>45308</v>
      </c>
      <c r="U657" s="5">
        <f t="shared" si="32"/>
        <v>2</v>
      </c>
      <c r="V657" s="5" t="s">
        <v>67</v>
      </c>
      <c r="X657" s="5"/>
    </row>
    <row r="658" spans="1:24">
      <c r="A658" s="4">
        <v>45295</v>
      </c>
      <c r="B658" s="5" t="str">
        <f t="shared" si="30"/>
        <v>January</v>
      </c>
      <c r="C658" s="5" t="s">
        <v>20</v>
      </c>
      <c r="D658" s="5" t="s">
        <v>101</v>
      </c>
      <c r="E658" s="5">
        <v>1</v>
      </c>
      <c r="F658" s="5">
        <v>103.13</v>
      </c>
      <c r="G658" s="6">
        <f t="shared" si="31"/>
        <v>103.13</v>
      </c>
      <c r="H658" s="5" t="s">
        <v>53</v>
      </c>
      <c r="I658" s="5" t="s">
        <v>54</v>
      </c>
      <c r="J658" s="5">
        <v>0</v>
      </c>
      <c r="K658" s="5" t="s">
        <v>89</v>
      </c>
      <c r="L658" s="6">
        <v>103.13</v>
      </c>
      <c r="M658" s="5" t="s">
        <v>30</v>
      </c>
      <c r="N658" s="5" t="s">
        <v>56</v>
      </c>
      <c r="O658" s="5">
        <v>0</v>
      </c>
      <c r="P658" s="5" t="s">
        <v>1362</v>
      </c>
      <c r="Q658" s="5" t="s">
        <v>1363</v>
      </c>
      <c r="R658" s="5">
        <v>42.38</v>
      </c>
      <c r="S658" s="4">
        <v>45295</v>
      </c>
      <c r="T658" s="4">
        <v>45305</v>
      </c>
      <c r="U658" s="5">
        <f t="shared" si="32"/>
        <v>10</v>
      </c>
      <c r="V658" s="5" t="s">
        <v>94</v>
      </c>
      <c r="X658" s="5"/>
    </row>
    <row r="659" spans="1:24">
      <c r="A659" s="4">
        <v>44966</v>
      </c>
      <c r="B659" s="5" t="str">
        <f t="shared" si="30"/>
        <v>February</v>
      </c>
      <c r="C659" s="5" t="s">
        <v>16</v>
      </c>
      <c r="D659" s="5" t="s">
        <v>26</v>
      </c>
      <c r="E659" s="5">
        <v>1</v>
      </c>
      <c r="F659" s="5">
        <v>541.9</v>
      </c>
      <c r="G659" s="6">
        <f t="shared" si="31"/>
        <v>541.9</v>
      </c>
      <c r="H659" s="5" t="s">
        <v>61</v>
      </c>
      <c r="I659" s="5" t="s">
        <v>62</v>
      </c>
      <c r="J659" s="5">
        <v>0.05</v>
      </c>
      <c r="K659" s="5" t="s">
        <v>55</v>
      </c>
      <c r="L659" s="6">
        <v>514.805</v>
      </c>
      <c r="M659" s="5" t="s">
        <v>34</v>
      </c>
      <c r="N659" s="5" t="s">
        <v>69</v>
      </c>
      <c r="O659" s="5">
        <v>0</v>
      </c>
      <c r="P659" s="5" t="s">
        <v>1364</v>
      </c>
      <c r="Q659" s="5" t="s">
        <v>791</v>
      </c>
      <c r="R659" s="5">
        <v>40.35</v>
      </c>
      <c r="S659" s="4">
        <v>44966</v>
      </c>
      <c r="T659" s="4">
        <v>44976</v>
      </c>
      <c r="U659" s="5">
        <f t="shared" si="32"/>
        <v>10</v>
      </c>
      <c r="V659" s="5" t="s">
        <v>59</v>
      </c>
      <c r="X659" s="5"/>
    </row>
    <row r="660" spans="1:24">
      <c r="A660" s="4">
        <v>45463</v>
      </c>
      <c r="B660" s="5" t="str">
        <f t="shared" si="30"/>
        <v>June</v>
      </c>
      <c r="C660" s="5" t="s">
        <v>18</v>
      </c>
      <c r="D660" s="5" t="s">
        <v>23</v>
      </c>
      <c r="E660" s="5">
        <v>11</v>
      </c>
      <c r="F660" s="5">
        <v>303.09</v>
      </c>
      <c r="G660" s="6">
        <f t="shared" si="31"/>
        <v>3333.99</v>
      </c>
      <c r="H660" s="5" t="s">
        <v>81</v>
      </c>
      <c r="I660" s="5" t="s">
        <v>54</v>
      </c>
      <c r="J660" s="5">
        <v>0.1</v>
      </c>
      <c r="K660" s="5" t="s">
        <v>82</v>
      </c>
      <c r="L660" s="6">
        <v>3000.591</v>
      </c>
      <c r="M660" s="5" t="s">
        <v>30</v>
      </c>
      <c r="N660" s="5" t="s">
        <v>64</v>
      </c>
      <c r="O660" s="5">
        <v>0</v>
      </c>
      <c r="P660" s="5" t="s">
        <v>1365</v>
      </c>
      <c r="Q660" s="5" t="s">
        <v>1366</v>
      </c>
      <c r="R660" s="5">
        <v>21.88</v>
      </c>
      <c r="S660" s="4">
        <v>45463</v>
      </c>
      <c r="T660" s="4">
        <v>45467</v>
      </c>
      <c r="U660" s="5">
        <f t="shared" si="32"/>
        <v>4</v>
      </c>
      <c r="V660" s="5" t="s">
        <v>72</v>
      </c>
      <c r="X660" s="5"/>
    </row>
    <row r="661" spans="1:24">
      <c r="A661" s="4">
        <v>44978</v>
      </c>
      <c r="B661" s="5" t="str">
        <f t="shared" si="30"/>
        <v>February</v>
      </c>
      <c r="C661" s="5" t="s">
        <v>19</v>
      </c>
      <c r="D661" s="5" t="s">
        <v>24</v>
      </c>
      <c r="E661" s="5">
        <v>11</v>
      </c>
      <c r="F661" s="5">
        <v>61.81</v>
      </c>
      <c r="G661" s="6">
        <f t="shared" si="31"/>
        <v>679.91</v>
      </c>
      <c r="H661" s="5" t="s">
        <v>77</v>
      </c>
      <c r="I661" s="5" t="s">
        <v>62</v>
      </c>
      <c r="J661" s="5">
        <v>0.05</v>
      </c>
      <c r="K661" s="5" t="s">
        <v>89</v>
      </c>
      <c r="L661" s="6">
        <v>645.9145</v>
      </c>
      <c r="M661" s="5" t="s">
        <v>31</v>
      </c>
      <c r="N661" s="5" t="s">
        <v>69</v>
      </c>
      <c r="O661" s="5">
        <v>0</v>
      </c>
      <c r="P661" s="5" t="s">
        <v>1367</v>
      </c>
      <c r="Q661" s="5" t="s">
        <v>1368</v>
      </c>
      <c r="R661" s="5">
        <v>47.95</v>
      </c>
      <c r="S661" s="4">
        <v>44978</v>
      </c>
      <c r="T661" s="4">
        <v>44988</v>
      </c>
      <c r="U661" s="5">
        <f t="shared" si="32"/>
        <v>10</v>
      </c>
      <c r="V661" s="5" t="s">
        <v>76</v>
      </c>
      <c r="X661" s="5"/>
    </row>
    <row r="662" spans="1:24">
      <c r="A662" s="4">
        <v>45154</v>
      </c>
      <c r="B662" s="5" t="str">
        <f t="shared" si="30"/>
        <v>August</v>
      </c>
      <c r="C662" s="5" t="s">
        <v>19</v>
      </c>
      <c r="D662" s="5" t="s">
        <v>24</v>
      </c>
      <c r="E662" s="5">
        <v>8</v>
      </c>
      <c r="F662" s="5">
        <v>355.15</v>
      </c>
      <c r="G662" s="6">
        <f t="shared" si="31"/>
        <v>2841.2</v>
      </c>
      <c r="H662" s="5" t="s">
        <v>53</v>
      </c>
      <c r="I662" s="5" t="s">
        <v>62</v>
      </c>
      <c r="J662" s="5">
        <v>0.1</v>
      </c>
      <c r="K662" s="5" t="s">
        <v>78</v>
      </c>
      <c r="L662" s="6">
        <v>2557.08</v>
      </c>
      <c r="M662" s="5" t="s">
        <v>30</v>
      </c>
      <c r="N662" s="5"/>
      <c r="O662" s="5">
        <v>1</v>
      </c>
      <c r="P662" s="5" t="s">
        <v>1369</v>
      </c>
      <c r="Q662" s="5" t="s">
        <v>1370</v>
      </c>
      <c r="R662" s="5">
        <v>38.59</v>
      </c>
      <c r="S662" s="4">
        <v>45154</v>
      </c>
      <c r="T662" s="4">
        <v>45162</v>
      </c>
      <c r="U662" s="5">
        <f t="shared" si="32"/>
        <v>8</v>
      </c>
      <c r="V662" s="5" t="s">
        <v>76</v>
      </c>
      <c r="X662" s="5"/>
    </row>
    <row r="663" spans="1:24">
      <c r="A663" s="4">
        <v>45233</v>
      </c>
      <c r="B663" s="5" t="str">
        <f t="shared" si="30"/>
        <v>November</v>
      </c>
      <c r="C663" s="5" t="s">
        <v>20</v>
      </c>
      <c r="D663" s="5" t="s">
        <v>26</v>
      </c>
      <c r="E663" s="5">
        <v>11</v>
      </c>
      <c r="F663" s="5">
        <v>119.84</v>
      </c>
      <c r="G663" s="6">
        <f t="shared" si="31"/>
        <v>1318.24</v>
      </c>
      <c r="H663" s="5" t="s">
        <v>81</v>
      </c>
      <c r="I663" s="5" t="s">
        <v>54</v>
      </c>
      <c r="J663" s="5">
        <v>0.1</v>
      </c>
      <c r="K663" s="5" t="s">
        <v>55</v>
      </c>
      <c r="L663" s="6">
        <v>1186.416</v>
      </c>
      <c r="M663" s="5" t="s">
        <v>30</v>
      </c>
      <c r="N663" s="5" t="s">
        <v>64</v>
      </c>
      <c r="O663" s="5">
        <v>0</v>
      </c>
      <c r="P663" s="5" t="s">
        <v>1371</v>
      </c>
      <c r="Q663" s="5" t="s">
        <v>1372</v>
      </c>
      <c r="R663" s="5">
        <v>16.64</v>
      </c>
      <c r="S663" s="4">
        <v>45233</v>
      </c>
      <c r="T663" s="4">
        <v>45241</v>
      </c>
      <c r="U663" s="5">
        <f t="shared" si="32"/>
        <v>8</v>
      </c>
      <c r="V663" s="5" t="s">
        <v>94</v>
      </c>
      <c r="X663" s="5"/>
    </row>
    <row r="664" spans="1:24">
      <c r="A664" s="4">
        <v>45408</v>
      </c>
      <c r="B664" s="5" t="str">
        <f t="shared" si="30"/>
        <v>April</v>
      </c>
      <c r="C664" s="5" t="s">
        <v>17</v>
      </c>
      <c r="D664" s="5" t="s">
        <v>22</v>
      </c>
      <c r="E664" s="5">
        <v>16</v>
      </c>
      <c r="F664" s="5">
        <v>318.32</v>
      </c>
      <c r="G664" s="6">
        <f t="shared" si="31"/>
        <v>5093.12</v>
      </c>
      <c r="H664" s="5" t="s">
        <v>77</v>
      </c>
      <c r="I664" s="5" t="s">
        <v>54</v>
      </c>
      <c r="J664" s="5">
        <v>0.05</v>
      </c>
      <c r="K664" s="5" t="s">
        <v>82</v>
      </c>
      <c r="L664" s="6">
        <v>4838.464</v>
      </c>
      <c r="M664" s="5" t="s">
        <v>32</v>
      </c>
      <c r="N664" s="5" t="s">
        <v>56</v>
      </c>
      <c r="O664" s="5">
        <v>0</v>
      </c>
      <c r="P664" s="5" t="s">
        <v>1373</v>
      </c>
      <c r="Q664" s="5" t="s">
        <v>1374</v>
      </c>
      <c r="R664" s="5">
        <v>40.78</v>
      </c>
      <c r="S664" s="4">
        <v>45408</v>
      </c>
      <c r="T664" s="4">
        <v>45413</v>
      </c>
      <c r="U664" s="5">
        <f t="shared" si="32"/>
        <v>5</v>
      </c>
      <c r="V664" s="5" t="s">
        <v>67</v>
      </c>
      <c r="X664" s="5"/>
    </row>
    <row r="665" spans="1:24">
      <c r="A665" s="4">
        <v>45573</v>
      </c>
      <c r="B665" s="5" t="str">
        <f t="shared" si="30"/>
        <v>October</v>
      </c>
      <c r="C665" s="5" t="s">
        <v>17</v>
      </c>
      <c r="D665" s="5" t="s">
        <v>24</v>
      </c>
      <c r="E665" s="5">
        <v>9</v>
      </c>
      <c r="F665" s="5">
        <v>446.49</v>
      </c>
      <c r="G665" s="6">
        <f t="shared" si="31"/>
        <v>4018.41</v>
      </c>
      <c r="H665" s="5" t="s">
        <v>81</v>
      </c>
      <c r="I665" s="5" t="s">
        <v>54</v>
      </c>
      <c r="J665" s="5">
        <v>0.15</v>
      </c>
      <c r="K665" s="5" t="s">
        <v>78</v>
      </c>
      <c r="L665" s="6">
        <v>3415.6485</v>
      </c>
      <c r="M665" s="5" t="s">
        <v>34</v>
      </c>
      <c r="N665" s="5" t="s">
        <v>56</v>
      </c>
      <c r="O665" s="5">
        <v>0</v>
      </c>
      <c r="P665" s="5" t="s">
        <v>1375</v>
      </c>
      <c r="Q665" s="5" t="s">
        <v>1376</v>
      </c>
      <c r="R665" s="5">
        <v>5.77</v>
      </c>
      <c r="S665" s="4">
        <v>45573</v>
      </c>
      <c r="T665" s="4">
        <v>45582</v>
      </c>
      <c r="U665" s="5">
        <f t="shared" si="32"/>
        <v>9</v>
      </c>
      <c r="V665" s="5" t="s">
        <v>67</v>
      </c>
      <c r="X665" s="5"/>
    </row>
    <row r="666" spans="1:24">
      <c r="A666" s="4">
        <v>44935</v>
      </c>
      <c r="B666" s="5" t="str">
        <f t="shared" si="30"/>
        <v>January</v>
      </c>
      <c r="C666" s="5" t="s">
        <v>17</v>
      </c>
      <c r="D666" s="5" t="s">
        <v>24</v>
      </c>
      <c r="E666" s="5">
        <v>16</v>
      </c>
      <c r="F666" s="5">
        <v>258.82</v>
      </c>
      <c r="G666" s="6">
        <f t="shared" si="31"/>
        <v>4141.12</v>
      </c>
      <c r="H666" s="5" t="s">
        <v>81</v>
      </c>
      <c r="I666" s="5" t="s">
        <v>62</v>
      </c>
      <c r="J666" s="5">
        <v>0.1</v>
      </c>
      <c r="K666" s="5" t="s">
        <v>82</v>
      </c>
      <c r="L666" s="6">
        <v>3727.008</v>
      </c>
      <c r="M666" s="5" t="s">
        <v>30</v>
      </c>
      <c r="N666" s="5" t="s">
        <v>64</v>
      </c>
      <c r="O666" s="5">
        <v>0</v>
      </c>
      <c r="P666" s="5" t="s">
        <v>1377</v>
      </c>
      <c r="Q666" s="5" t="s">
        <v>1378</v>
      </c>
      <c r="R666" s="5">
        <v>46.93</v>
      </c>
      <c r="S666" s="4">
        <v>44935</v>
      </c>
      <c r="T666" s="4">
        <v>44943</v>
      </c>
      <c r="U666" s="5">
        <f t="shared" si="32"/>
        <v>8</v>
      </c>
      <c r="V666" s="5" t="s">
        <v>67</v>
      </c>
      <c r="X666" s="5"/>
    </row>
    <row r="667" spans="1:24">
      <c r="A667" s="4">
        <v>45285</v>
      </c>
      <c r="B667" s="5" t="str">
        <f t="shared" si="30"/>
        <v>December</v>
      </c>
      <c r="C667" s="5" t="s">
        <v>18</v>
      </c>
      <c r="D667" s="5" t="s">
        <v>27</v>
      </c>
      <c r="E667" s="5">
        <v>9</v>
      </c>
      <c r="F667" s="5">
        <v>272.68</v>
      </c>
      <c r="G667" s="6">
        <f t="shared" si="31"/>
        <v>2454.12</v>
      </c>
      <c r="H667" s="5" t="s">
        <v>81</v>
      </c>
      <c r="I667" s="5" t="s">
        <v>54</v>
      </c>
      <c r="J667" s="5">
        <v>0.05</v>
      </c>
      <c r="K667" s="5" t="s">
        <v>55</v>
      </c>
      <c r="L667" s="6">
        <v>2331.414</v>
      </c>
      <c r="M667" s="5" t="s">
        <v>30</v>
      </c>
      <c r="N667" s="5" t="s">
        <v>64</v>
      </c>
      <c r="O667" s="5">
        <v>0</v>
      </c>
      <c r="P667" s="5" t="s">
        <v>1379</v>
      </c>
      <c r="Q667" s="5" t="s">
        <v>1380</v>
      </c>
      <c r="R667" s="5">
        <v>16.43</v>
      </c>
      <c r="S667" s="4">
        <v>45285</v>
      </c>
      <c r="T667" s="4">
        <v>45293</v>
      </c>
      <c r="U667" s="5">
        <f t="shared" si="32"/>
        <v>8</v>
      </c>
      <c r="V667" s="5" t="s">
        <v>72</v>
      </c>
      <c r="X667" s="5"/>
    </row>
    <row r="668" spans="1:24">
      <c r="A668" s="4">
        <v>45423</v>
      </c>
      <c r="B668" s="5" t="str">
        <f t="shared" si="30"/>
        <v>May</v>
      </c>
      <c r="C668" s="5" t="s">
        <v>19</v>
      </c>
      <c r="D668" s="5" t="s">
        <v>26</v>
      </c>
      <c r="E668" s="5">
        <v>12</v>
      </c>
      <c r="F668" s="5">
        <v>438.77</v>
      </c>
      <c r="G668" s="6">
        <f t="shared" si="31"/>
        <v>5265.24</v>
      </c>
      <c r="H668" s="5" t="s">
        <v>77</v>
      </c>
      <c r="I668" s="5" t="s">
        <v>62</v>
      </c>
      <c r="J668" s="5">
        <v>0</v>
      </c>
      <c r="K668" s="5" t="s">
        <v>55</v>
      </c>
      <c r="L668" s="6">
        <v>5265.24</v>
      </c>
      <c r="M668" s="5" t="s">
        <v>33</v>
      </c>
      <c r="N668" s="5" t="s">
        <v>64</v>
      </c>
      <c r="O668" s="5">
        <v>0</v>
      </c>
      <c r="P668" s="5" t="s">
        <v>1381</v>
      </c>
      <c r="Q668" s="5" t="s">
        <v>1382</v>
      </c>
      <c r="R668" s="5">
        <v>9.31</v>
      </c>
      <c r="S668" s="4">
        <v>45423</v>
      </c>
      <c r="T668" s="4">
        <v>45432</v>
      </c>
      <c r="U668" s="5">
        <f t="shared" si="32"/>
        <v>9</v>
      </c>
      <c r="V668" s="5" t="s">
        <v>76</v>
      </c>
      <c r="X668" s="5"/>
    </row>
    <row r="669" spans="1:24">
      <c r="A669" s="4">
        <v>45253</v>
      </c>
      <c r="B669" s="5" t="str">
        <f t="shared" si="30"/>
        <v>November</v>
      </c>
      <c r="C669" s="5" t="s">
        <v>20</v>
      </c>
      <c r="D669" s="5" t="s">
        <v>101</v>
      </c>
      <c r="E669" s="5">
        <v>18</v>
      </c>
      <c r="F669" s="5">
        <v>267.63</v>
      </c>
      <c r="G669" s="6">
        <f t="shared" si="31"/>
        <v>4817.34</v>
      </c>
      <c r="H669" s="5" t="s">
        <v>53</v>
      </c>
      <c r="I669" s="5" t="s">
        <v>62</v>
      </c>
      <c r="J669" s="5">
        <v>0</v>
      </c>
      <c r="K669" s="5" t="s">
        <v>78</v>
      </c>
      <c r="L669" s="6">
        <v>4817.34</v>
      </c>
      <c r="M669" s="5" t="s">
        <v>31</v>
      </c>
      <c r="N669" s="5" t="s">
        <v>64</v>
      </c>
      <c r="O669" s="5">
        <v>0</v>
      </c>
      <c r="P669" s="5" t="s">
        <v>1383</v>
      </c>
      <c r="Q669" s="5" t="s">
        <v>1384</v>
      </c>
      <c r="R669" s="5">
        <v>44.48</v>
      </c>
      <c r="S669" s="4">
        <v>45253</v>
      </c>
      <c r="T669" s="4">
        <v>45256</v>
      </c>
      <c r="U669" s="5">
        <f t="shared" si="32"/>
        <v>3</v>
      </c>
      <c r="V669" s="5" t="s">
        <v>94</v>
      </c>
      <c r="X669" s="5"/>
    </row>
    <row r="670" spans="1:24">
      <c r="A670" s="4">
        <v>45270</v>
      </c>
      <c r="B670" s="5" t="str">
        <f t="shared" si="30"/>
        <v>December</v>
      </c>
      <c r="C670" s="5" t="s">
        <v>19</v>
      </c>
      <c r="D670" s="5" t="s">
        <v>27</v>
      </c>
      <c r="E670" s="5">
        <v>6</v>
      </c>
      <c r="F670" s="5">
        <v>115.94</v>
      </c>
      <c r="G670" s="6">
        <f t="shared" si="31"/>
        <v>695.64</v>
      </c>
      <c r="H670" s="5" t="s">
        <v>61</v>
      </c>
      <c r="I670" s="5" t="s">
        <v>54</v>
      </c>
      <c r="J670" s="5">
        <v>0.05</v>
      </c>
      <c r="K670" s="5" t="s">
        <v>78</v>
      </c>
      <c r="L670" s="6">
        <v>660.858</v>
      </c>
      <c r="M670" s="5" t="s">
        <v>32</v>
      </c>
      <c r="N670" s="5" t="s">
        <v>64</v>
      </c>
      <c r="O670" s="5">
        <v>0</v>
      </c>
      <c r="P670" s="5" t="s">
        <v>1385</v>
      </c>
      <c r="Q670" s="5" t="s">
        <v>1386</v>
      </c>
      <c r="R670" s="5">
        <v>23.91</v>
      </c>
      <c r="S670" s="4">
        <v>45270</v>
      </c>
      <c r="T670" s="4">
        <v>45272</v>
      </c>
      <c r="U670" s="5">
        <f t="shared" si="32"/>
        <v>2</v>
      </c>
      <c r="V670" s="5" t="s">
        <v>76</v>
      </c>
      <c r="X670" s="5"/>
    </row>
    <row r="671" spans="1:24">
      <c r="A671" s="4">
        <v>45325</v>
      </c>
      <c r="B671" s="5" t="str">
        <f t="shared" si="30"/>
        <v>February</v>
      </c>
      <c r="C671" s="5" t="s">
        <v>18</v>
      </c>
      <c r="D671" s="5" t="s">
        <v>27</v>
      </c>
      <c r="E671" s="5">
        <v>19</v>
      </c>
      <c r="F671" s="5">
        <v>275.78</v>
      </c>
      <c r="G671" s="6">
        <f t="shared" si="31"/>
        <v>5239.82</v>
      </c>
      <c r="H671" s="5" t="s">
        <v>77</v>
      </c>
      <c r="I671" s="5" t="s">
        <v>62</v>
      </c>
      <c r="J671" s="5">
        <v>0</v>
      </c>
      <c r="K671" s="5" t="s">
        <v>73</v>
      </c>
      <c r="L671" s="6">
        <v>5239.82</v>
      </c>
      <c r="M671" s="5" t="s">
        <v>34</v>
      </c>
      <c r="N671" s="5" t="s">
        <v>64</v>
      </c>
      <c r="O671" s="5">
        <v>0</v>
      </c>
      <c r="P671" s="5" t="s">
        <v>1387</v>
      </c>
      <c r="Q671" s="5" t="s">
        <v>1388</v>
      </c>
      <c r="R671" s="5">
        <v>47</v>
      </c>
      <c r="S671" s="4">
        <v>45325</v>
      </c>
      <c r="T671" s="4">
        <v>45327</v>
      </c>
      <c r="U671" s="5">
        <f t="shared" si="32"/>
        <v>2</v>
      </c>
      <c r="V671" s="5" t="s">
        <v>72</v>
      </c>
      <c r="X671" s="5"/>
    </row>
    <row r="672" spans="1:24">
      <c r="A672" s="4">
        <v>45620</v>
      </c>
      <c r="B672" s="5" t="str">
        <f t="shared" si="30"/>
        <v>November</v>
      </c>
      <c r="C672" s="5" t="s">
        <v>19</v>
      </c>
      <c r="D672" s="5" t="s">
        <v>25</v>
      </c>
      <c r="E672" s="5">
        <v>12</v>
      </c>
      <c r="F672" s="5">
        <v>255.93</v>
      </c>
      <c r="G672" s="6">
        <f t="shared" si="31"/>
        <v>3071.16</v>
      </c>
      <c r="H672" s="5" t="s">
        <v>53</v>
      </c>
      <c r="I672" s="5" t="s">
        <v>62</v>
      </c>
      <c r="J672" s="5">
        <v>0</v>
      </c>
      <c r="K672" s="5" t="s">
        <v>55</v>
      </c>
      <c r="L672" s="6">
        <v>3071.16</v>
      </c>
      <c r="M672" s="5" t="s">
        <v>34</v>
      </c>
      <c r="N672" s="5" t="s">
        <v>69</v>
      </c>
      <c r="O672" s="5">
        <v>0</v>
      </c>
      <c r="P672" s="5" t="s">
        <v>1389</v>
      </c>
      <c r="Q672" s="5" t="s">
        <v>1390</v>
      </c>
      <c r="R672" s="5">
        <v>23.74</v>
      </c>
      <c r="S672" s="4">
        <v>45620</v>
      </c>
      <c r="T672" s="4">
        <v>45630</v>
      </c>
      <c r="U672" s="5">
        <f t="shared" si="32"/>
        <v>10</v>
      </c>
      <c r="V672" s="5" t="s">
        <v>76</v>
      </c>
      <c r="X672" s="5"/>
    </row>
    <row r="673" spans="1:24">
      <c r="A673" s="4">
        <v>45357</v>
      </c>
      <c r="B673" s="5" t="str">
        <f t="shared" si="30"/>
        <v>March</v>
      </c>
      <c r="C673" s="5" t="s">
        <v>20</v>
      </c>
      <c r="D673" s="5" t="s">
        <v>23</v>
      </c>
      <c r="E673" s="5">
        <v>1</v>
      </c>
      <c r="F673" s="5">
        <v>381.21</v>
      </c>
      <c r="G673" s="6">
        <f t="shared" si="31"/>
        <v>381.21</v>
      </c>
      <c r="H673" s="5" t="s">
        <v>81</v>
      </c>
      <c r="I673" s="5" t="s">
        <v>54</v>
      </c>
      <c r="J673" s="5">
        <v>0.15</v>
      </c>
      <c r="K673" s="5" t="s">
        <v>89</v>
      </c>
      <c r="L673" s="6">
        <v>324.0285</v>
      </c>
      <c r="M673" s="5" t="s">
        <v>30</v>
      </c>
      <c r="N673" s="5"/>
      <c r="O673" s="5">
        <v>0</v>
      </c>
      <c r="P673" s="5" t="s">
        <v>1391</v>
      </c>
      <c r="Q673" s="5" t="s">
        <v>1392</v>
      </c>
      <c r="R673" s="5">
        <v>9.95</v>
      </c>
      <c r="S673" s="4">
        <v>45357</v>
      </c>
      <c r="T673" s="4">
        <v>45362</v>
      </c>
      <c r="U673" s="5">
        <f t="shared" si="32"/>
        <v>5</v>
      </c>
      <c r="V673" s="5" t="s">
        <v>94</v>
      </c>
      <c r="X673" s="5"/>
    </row>
    <row r="674" spans="1:24">
      <c r="A674" s="4">
        <v>45689</v>
      </c>
      <c r="B674" s="5" t="str">
        <f t="shared" si="30"/>
        <v>February</v>
      </c>
      <c r="C674" s="5" t="s">
        <v>17</v>
      </c>
      <c r="D674" s="5" t="s">
        <v>24</v>
      </c>
      <c r="E674" s="5">
        <v>5</v>
      </c>
      <c r="F674" s="5">
        <v>38.23</v>
      </c>
      <c r="G674" s="6">
        <f t="shared" si="31"/>
        <v>191.15</v>
      </c>
      <c r="H674" s="5" t="s">
        <v>77</v>
      </c>
      <c r="I674" s="5" t="s">
        <v>54</v>
      </c>
      <c r="J674" s="5">
        <v>0.15</v>
      </c>
      <c r="K674" s="5" t="s">
        <v>89</v>
      </c>
      <c r="L674" s="6">
        <v>162.4775</v>
      </c>
      <c r="M674" s="5" t="s">
        <v>33</v>
      </c>
      <c r="N674" s="5"/>
      <c r="O674" s="5">
        <v>0</v>
      </c>
      <c r="P674" s="5" t="s">
        <v>1393</v>
      </c>
      <c r="Q674" s="5" t="s">
        <v>1394</v>
      </c>
      <c r="R674" s="5">
        <v>21.06</v>
      </c>
      <c r="S674" s="4">
        <v>45689</v>
      </c>
      <c r="T674" s="4">
        <v>45699</v>
      </c>
      <c r="U674" s="5">
        <f t="shared" si="32"/>
        <v>10</v>
      </c>
      <c r="V674" s="5" t="s">
        <v>67</v>
      </c>
      <c r="X674" s="5"/>
    </row>
    <row r="675" spans="1:24">
      <c r="A675" s="4">
        <v>45447</v>
      </c>
      <c r="B675" s="5" t="str">
        <f t="shared" si="30"/>
        <v>June</v>
      </c>
      <c r="C675" s="5" t="s">
        <v>19</v>
      </c>
      <c r="D675" s="5" t="s">
        <v>22</v>
      </c>
      <c r="E675" s="5">
        <v>7</v>
      </c>
      <c r="F675" s="5">
        <v>225.86</v>
      </c>
      <c r="G675" s="6">
        <f t="shared" si="31"/>
        <v>1581.02</v>
      </c>
      <c r="H675" s="5" t="s">
        <v>53</v>
      </c>
      <c r="I675" s="5" t="s">
        <v>54</v>
      </c>
      <c r="J675" s="5">
        <v>0</v>
      </c>
      <c r="K675" s="5" t="s">
        <v>78</v>
      </c>
      <c r="L675" s="6">
        <v>1581.02</v>
      </c>
      <c r="M675" s="5" t="s">
        <v>33</v>
      </c>
      <c r="N675" s="5"/>
      <c r="O675" s="5">
        <v>0</v>
      </c>
      <c r="P675" s="5" t="s">
        <v>1395</v>
      </c>
      <c r="Q675" s="5" t="s">
        <v>1396</v>
      </c>
      <c r="R675" s="5">
        <v>24.48</v>
      </c>
      <c r="S675" s="4">
        <v>45447</v>
      </c>
      <c r="T675" s="4">
        <v>45452</v>
      </c>
      <c r="U675" s="5">
        <f t="shared" si="32"/>
        <v>5</v>
      </c>
      <c r="V675" s="5" t="s">
        <v>76</v>
      </c>
      <c r="X675" s="5"/>
    </row>
    <row r="676" spans="1:24">
      <c r="A676" s="4">
        <v>45144</v>
      </c>
      <c r="B676" s="5" t="str">
        <f t="shared" si="30"/>
        <v>August</v>
      </c>
      <c r="C676" s="5" t="s">
        <v>19</v>
      </c>
      <c r="D676" s="5" t="s">
        <v>24</v>
      </c>
      <c r="E676" s="5">
        <v>8</v>
      </c>
      <c r="F676" s="5">
        <v>548.02</v>
      </c>
      <c r="G676" s="6">
        <f t="shared" si="31"/>
        <v>4384.16</v>
      </c>
      <c r="H676" s="5" t="s">
        <v>81</v>
      </c>
      <c r="I676" s="5" t="s">
        <v>62</v>
      </c>
      <c r="J676" s="5">
        <v>0.05</v>
      </c>
      <c r="K676" s="5" t="s">
        <v>55</v>
      </c>
      <c r="L676" s="6">
        <v>4164.952</v>
      </c>
      <c r="M676" s="5" t="s">
        <v>30</v>
      </c>
      <c r="N676" s="5"/>
      <c r="O676" s="5">
        <v>0</v>
      </c>
      <c r="P676" s="5" t="s">
        <v>1397</v>
      </c>
      <c r="Q676" s="5" t="s">
        <v>1398</v>
      </c>
      <c r="R676" s="5">
        <v>33.4</v>
      </c>
      <c r="S676" s="4">
        <v>45144</v>
      </c>
      <c r="T676" s="4">
        <v>45151</v>
      </c>
      <c r="U676" s="5">
        <f t="shared" si="32"/>
        <v>7</v>
      </c>
      <c r="V676" s="5" t="s">
        <v>76</v>
      </c>
      <c r="X676" s="5"/>
    </row>
    <row r="677" spans="1:24">
      <c r="A677" s="4">
        <v>45107</v>
      </c>
      <c r="B677" s="5" t="str">
        <f t="shared" si="30"/>
        <v>June</v>
      </c>
      <c r="C677" s="5" t="s">
        <v>20</v>
      </c>
      <c r="D677" s="5" t="s">
        <v>27</v>
      </c>
      <c r="E677" s="5">
        <v>18</v>
      </c>
      <c r="F677" s="5">
        <v>485.3</v>
      </c>
      <c r="G677" s="6">
        <f t="shared" si="31"/>
        <v>8735.4</v>
      </c>
      <c r="H677" s="5" t="s">
        <v>81</v>
      </c>
      <c r="I677" s="5" t="s">
        <v>54</v>
      </c>
      <c r="J677" s="5">
        <v>0.05</v>
      </c>
      <c r="K677" s="5" t="s">
        <v>89</v>
      </c>
      <c r="L677" s="6">
        <v>8298.63</v>
      </c>
      <c r="M677" s="5" t="s">
        <v>33</v>
      </c>
      <c r="N677" s="5" t="s">
        <v>56</v>
      </c>
      <c r="O677" s="5">
        <v>1</v>
      </c>
      <c r="P677" s="5" t="s">
        <v>1399</v>
      </c>
      <c r="Q677" s="5" t="s">
        <v>1400</v>
      </c>
      <c r="R677" s="5">
        <v>47.77</v>
      </c>
      <c r="S677" s="4">
        <v>45107</v>
      </c>
      <c r="T677" s="4">
        <v>45112</v>
      </c>
      <c r="U677" s="5">
        <f t="shared" si="32"/>
        <v>5</v>
      </c>
      <c r="V677" s="5" t="s">
        <v>94</v>
      </c>
      <c r="X677" s="5"/>
    </row>
    <row r="678" spans="1:24">
      <c r="A678" s="4">
        <v>44972</v>
      </c>
      <c r="B678" s="5" t="str">
        <f t="shared" si="30"/>
        <v>February</v>
      </c>
      <c r="C678" s="5" t="s">
        <v>20</v>
      </c>
      <c r="D678" s="5" t="s">
        <v>27</v>
      </c>
      <c r="E678" s="5">
        <v>19</v>
      </c>
      <c r="F678" s="5">
        <v>414.31</v>
      </c>
      <c r="G678" s="6">
        <f t="shared" si="31"/>
        <v>7871.89</v>
      </c>
      <c r="H678" s="5" t="s">
        <v>61</v>
      </c>
      <c r="I678" s="5" t="s">
        <v>62</v>
      </c>
      <c r="J678" s="5">
        <v>0.1</v>
      </c>
      <c r="K678" s="5" t="s">
        <v>55</v>
      </c>
      <c r="L678" s="6">
        <v>7084.701</v>
      </c>
      <c r="M678" s="5" t="s">
        <v>32</v>
      </c>
      <c r="N678" s="5" t="s">
        <v>64</v>
      </c>
      <c r="O678" s="5">
        <v>0</v>
      </c>
      <c r="P678" s="5" t="s">
        <v>1401</v>
      </c>
      <c r="Q678" s="5" t="s">
        <v>1402</v>
      </c>
      <c r="R678" s="5">
        <v>17.43</v>
      </c>
      <c r="S678" s="4">
        <v>44972</v>
      </c>
      <c r="T678" s="4">
        <v>44976</v>
      </c>
      <c r="U678" s="5">
        <f t="shared" si="32"/>
        <v>4</v>
      </c>
      <c r="V678" s="5" t="s">
        <v>94</v>
      </c>
      <c r="X678" s="5"/>
    </row>
    <row r="679" spans="1:24">
      <c r="A679" s="4">
        <v>45314</v>
      </c>
      <c r="B679" s="5" t="str">
        <f t="shared" si="30"/>
        <v>January</v>
      </c>
      <c r="C679" s="5" t="s">
        <v>18</v>
      </c>
      <c r="D679" s="5" t="s">
        <v>27</v>
      </c>
      <c r="E679" s="5">
        <v>8</v>
      </c>
      <c r="F679" s="5">
        <v>50.72</v>
      </c>
      <c r="G679" s="6">
        <f t="shared" si="31"/>
        <v>405.76</v>
      </c>
      <c r="H679" s="5" t="s">
        <v>61</v>
      </c>
      <c r="I679" s="5" t="s">
        <v>54</v>
      </c>
      <c r="J679" s="5">
        <v>0.05</v>
      </c>
      <c r="K679" s="5" t="s">
        <v>78</v>
      </c>
      <c r="L679" s="6">
        <v>385.472</v>
      </c>
      <c r="M679" s="5" t="s">
        <v>33</v>
      </c>
      <c r="N679" s="5"/>
      <c r="O679" s="5">
        <v>0</v>
      </c>
      <c r="P679" s="5" t="s">
        <v>1403</v>
      </c>
      <c r="Q679" s="5" t="s">
        <v>1404</v>
      </c>
      <c r="R679" s="5">
        <v>12.35</v>
      </c>
      <c r="S679" s="4">
        <v>45314</v>
      </c>
      <c r="T679" s="4">
        <v>45321</v>
      </c>
      <c r="U679" s="5">
        <f t="shared" si="32"/>
        <v>7</v>
      </c>
      <c r="V679" s="5" t="s">
        <v>72</v>
      </c>
      <c r="X679" s="5"/>
    </row>
    <row r="680" spans="1:24">
      <c r="A680" s="4">
        <v>45596</v>
      </c>
      <c r="B680" s="5" t="str">
        <f t="shared" si="30"/>
        <v>October</v>
      </c>
      <c r="C680" s="5" t="s">
        <v>18</v>
      </c>
      <c r="D680" s="5" t="s">
        <v>101</v>
      </c>
      <c r="E680" s="5">
        <v>17</v>
      </c>
      <c r="F680" s="5">
        <v>83.26</v>
      </c>
      <c r="G680" s="6">
        <f t="shared" si="31"/>
        <v>1415.42</v>
      </c>
      <c r="H680" s="5" t="s">
        <v>61</v>
      </c>
      <c r="I680" s="5" t="s">
        <v>54</v>
      </c>
      <c r="J680" s="5">
        <v>0.15</v>
      </c>
      <c r="K680" s="5" t="s">
        <v>55</v>
      </c>
      <c r="L680" s="6">
        <v>1203.107</v>
      </c>
      <c r="M680" s="5" t="s">
        <v>34</v>
      </c>
      <c r="N680" s="5" t="s">
        <v>64</v>
      </c>
      <c r="O680" s="5">
        <v>0</v>
      </c>
      <c r="P680" s="5" t="s">
        <v>1405</v>
      </c>
      <c r="Q680" s="5" t="s">
        <v>1406</v>
      </c>
      <c r="R680" s="5">
        <v>42.68</v>
      </c>
      <c r="S680" s="4">
        <v>45596</v>
      </c>
      <c r="T680" s="4">
        <v>45602</v>
      </c>
      <c r="U680" s="5">
        <f t="shared" si="32"/>
        <v>6</v>
      </c>
      <c r="V680" s="5" t="s">
        <v>72</v>
      </c>
      <c r="X680" s="5"/>
    </row>
    <row r="681" spans="1:24">
      <c r="A681" s="4">
        <v>45279</v>
      </c>
      <c r="B681" s="5" t="str">
        <f t="shared" si="30"/>
        <v>December</v>
      </c>
      <c r="C681" s="5" t="s">
        <v>19</v>
      </c>
      <c r="D681" s="5" t="s">
        <v>24</v>
      </c>
      <c r="E681" s="5">
        <v>20</v>
      </c>
      <c r="F681" s="5">
        <v>51.85</v>
      </c>
      <c r="G681" s="6">
        <f t="shared" si="31"/>
        <v>1037</v>
      </c>
      <c r="H681" s="5" t="s">
        <v>77</v>
      </c>
      <c r="I681" s="5" t="s">
        <v>54</v>
      </c>
      <c r="J681" s="5">
        <v>0.15</v>
      </c>
      <c r="K681" s="5" t="s">
        <v>78</v>
      </c>
      <c r="L681" s="6">
        <v>881.45</v>
      </c>
      <c r="M681" s="5" t="s">
        <v>34</v>
      </c>
      <c r="N681" s="5"/>
      <c r="O681" s="5">
        <v>0</v>
      </c>
      <c r="P681" s="5" t="s">
        <v>1407</v>
      </c>
      <c r="Q681" s="5" t="s">
        <v>1408</v>
      </c>
      <c r="R681" s="5">
        <v>33.16</v>
      </c>
      <c r="S681" s="4">
        <v>45279</v>
      </c>
      <c r="T681" s="4">
        <v>45281</v>
      </c>
      <c r="U681" s="5">
        <f t="shared" si="32"/>
        <v>2</v>
      </c>
      <c r="V681" s="5" t="s">
        <v>76</v>
      </c>
      <c r="X681" s="5"/>
    </row>
    <row r="682" spans="1:24">
      <c r="A682" s="4">
        <v>45111</v>
      </c>
      <c r="B682" s="5" t="str">
        <f t="shared" si="30"/>
        <v>July</v>
      </c>
      <c r="C682" s="5" t="s">
        <v>17</v>
      </c>
      <c r="D682" s="5" t="s">
        <v>101</v>
      </c>
      <c r="E682" s="5">
        <v>12</v>
      </c>
      <c r="F682" s="5">
        <v>122.51</v>
      </c>
      <c r="G682" s="6">
        <f t="shared" si="31"/>
        <v>1470.12</v>
      </c>
      <c r="H682" s="5" t="s">
        <v>53</v>
      </c>
      <c r="I682" s="5" t="s">
        <v>54</v>
      </c>
      <c r="J682" s="5">
        <v>0.05</v>
      </c>
      <c r="K682" s="5" t="s">
        <v>82</v>
      </c>
      <c r="L682" s="6">
        <v>1396.614</v>
      </c>
      <c r="M682" s="5" t="s">
        <v>31</v>
      </c>
      <c r="N682" s="5" t="s">
        <v>69</v>
      </c>
      <c r="O682" s="5">
        <v>0</v>
      </c>
      <c r="P682" s="5" t="s">
        <v>1409</v>
      </c>
      <c r="Q682" s="5" t="s">
        <v>645</v>
      </c>
      <c r="R682" s="5">
        <v>43.47</v>
      </c>
      <c r="S682" s="4">
        <v>45111</v>
      </c>
      <c r="T682" s="4">
        <v>45113</v>
      </c>
      <c r="U682" s="5">
        <f t="shared" si="32"/>
        <v>2</v>
      </c>
      <c r="V682" s="5" t="s">
        <v>67</v>
      </c>
      <c r="X682" s="5"/>
    </row>
    <row r="683" spans="1:24">
      <c r="A683" s="4">
        <v>45428</v>
      </c>
      <c r="B683" s="5" t="str">
        <f t="shared" si="30"/>
        <v>May</v>
      </c>
      <c r="C683" s="5" t="s">
        <v>16</v>
      </c>
      <c r="D683" s="5" t="s">
        <v>22</v>
      </c>
      <c r="E683" s="5">
        <v>11</v>
      </c>
      <c r="F683" s="5">
        <v>222.13</v>
      </c>
      <c r="G683" s="6">
        <f t="shared" si="31"/>
        <v>2443.43</v>
      </c>
      <c r="H683" s="5" t="s">
        <v>81</v>
      </c>
      <c r="I683" s="5" t="s">
        <v>54</v>
      </c>
      <c r="J683" s="5">
        <v>0.15</v>
      </c>
      <c r="K683" s="5" t="s">
        <v>55</v>
      </c>
      <c r="L683" s="6">
        <v>2076.9155</v>
      </c>
      <c r="M683" s="5" t="s">
        <v>34</v>
      </c>
      <c r="N683" s="5" t="s">
        <v>69</v>
      </c>
      <c r="O683" s="5">
        <v>1</v>
      </c>
      <c r="P683" s="5" t="s">
        <v>1410</v>
      </c>
      <c r="Q683" s="5" t="s">
        <v>1411</v>
      </c>
      <c r="R683" s="5">
        <v>9.88</v>
      </c>
      <c r="S683" s="4">
        <v>45428</v>
      </c>
      <c r="T683" s="4">
        <v>45430</v>
      </c>
      <c r="U683" s="5">
        <f t="shared" si="32"/>
        <v>2</v>
      </c>
      <c r="V683" s="5" t="s">
        <v>59</v>
      </c>
      <c r="X683" s="5"/>
    </row>
    <row r="684" spans="1:24">
      <c r="A684" s="4">
        <v>45185</v>
      </c>
      <c r="B684" s="5" t="str">
        <f t="shared" si="30"/>
        <v>September</v>
      </c>
      <c r="C684" s="5" t="s">
        <v>18</v>
      </c>
      <c r="D684" s="5" t="s">
        <v>26</v>
      </c>
      <c r="E684" s="5">
        <v>8</v>
      </c>
      <c r="F684" s="5">
        <v>204.84</v>
      </c>
      <c r="G684" s="6">
        <f t="shared" si="31"/>
        <v>1638.72</v>
      </c>
      <c r="H684" s="5" t="s">
        <v>77</v>
      </c>
      <c r="I684" s="5" t="s">
        <v>62</v>
      </c>
      <c r="J684" s="5">
        <v>0</v>
      </c>
      <c r="K684" s="5" t="s">
        <v>89</v>
      </c>
      <c r="L684" s="6">
        <v>1638.72</v>
      </c>
      <c r="M684" s="5" t="s">
        <v>34</v>
      </c>
      <c r="N684" s="5"/>
      <c r="O684" s="5">
        <v>0</v>
      </c>
      <c r="P684" s="5" t="s">
        <v>1412</v>
      </c>
      <c r="Q684" s="5" t="s">
        <v>1413</v>
      </c>
      <c r="R684" s="5">
        <v>43.4</v>
      </c>
      <c r="S684" s="4">
        <v>45185</v>
      </c>
      <c r="T684" s="4">
        <v>45190</v>
      </c>
      <c r="U684" s="5">
        <f t="shared" si="32"/>
        <v>5</v>
      </c>
      <c r="V684" s="5" t="s">
        <v>72</v>
      </c>
      <c r="X684" s="5"/>
    </row>
    <row r="685" spans="1:24">
      <c r="A685" s="4">
        <v>45618</v>
      </c>
      <c r="B685" s="5" t="str">
        <f t="shared" si="30"/>
        <v>November</v>
      </c>
      <c r="C685" s="5" t="s">
        <v>16</v>
      </c>
      <c r="D685" s="5" t="s">
        <v>25</v>
      </c>
      <c r="E685" s="5">
        <v>3</v>
      </c>
      <c r="F685" s="5">
        <v>536.97</v>
      </c>
      <c r="G685" s="6">
        <f t="shared" si="31"/>
        <v>1610.91</v>
      </c>
      <c r="H685" s="5" t="s">
        <v>77</v>
      </c>
      <c r="I685" s="5" t="s">
        <v>54</v>
      </c>
      <c r="J685" s="5">
        <v>0</v>
      </c>
      <c r="K685" s="5" t="s">
        <v>78</v>
      </c>
      <c r="L685" s="6">
        <v>1610.91</v>
      </c>
      <c r="M685" s="5" t="s">
        <v>33</v>
      </c>
      <c r="N685" s="5"/>
      <c r="O685" s="5">
        <v>0</v>
      </c>
      <c r="P685" s="5" t="s">
        <v>1414</v>
      </c>
      <c r="Q685" s="5" t="s">
        <v>1415</v>
      </c>
      <c r="R685" s="5">
        <v>13.86</v>
      </c>
      <c r="S685" s="4">
        <v>45618</v>
      </c>
      <c r="T685" s="4">
        <v>45627</v>
      </c>
      <c r="U685" s="5">
        <f t="shared" si="32"/>
        <v>9</v>
      </c>
      <c r="V685" s="5" t="s">
        <v>59</v>
      </c>
      <c r="X685" s="5"/>
    </row>
    <row r="686" spans="1:24">
      <c r="A686" s="4">
        <v>45395</v>
      </c>
      <c r="B686" s="5" t="str">
        <f t="shared" si="30"/>
        <v>April</v>
      </c>
      <c r="C686" s="5" t="s">
        <v>20</v>
      </c>
      <c r="D686" s="5" t="s">
        <v>25</v>
      </c>
      <c r="E686" s="5">
        <v>15</v>
      </c>
      <c r="F686" s="5">
        <v>553.01</v>
      </c>
      <c r="G686" s="6">
        <f t="shared" si="31"/>
        <v>8295.15</v>
      </c>
      <c r="H686" s="5" t="s">
        <v>61</v>
      </c>
      <c r="I686" s="5" t="s">
        <v>62</v>
      </c>
      <c r="J686" s="5">
        <v>0.1</v>
      </c>
      <c r="K686" s="5" t="s">
        <v>78</v>
      </c>
      <c r="L686" s="6">
        <v>7465.635</v>
      </c>
      <c r="M686" s="5" t="s">
        <v>32</v>
      </c>
      <c r="N686" s="5" t="s">
        <v>64</v>
      </c>
      <c r="O686" s="5">
        <v>1</v>
      </c>
      <c r="P686" s="5" t="s">
        <v>1416</v>
      </c>
      <c r="Q686" s="5" t="s">
        <v>1417</v>
      </c>
      <c r="R686" s="5">
        <v>23.3</v>
      </c>
      <c r="S686" s="4">
        <v>45395</v>
      </c>
      <c r="T686" s="4">
        <v>45403</v>
      </c>
      <c r="U686" s="5">
        <f t="shared" si="32"/>
        <v>8</v>
      </c>
      <c r="V686" s="5" t="s">
        <v>94</v>
      </c>
      <c r="X686" s="5"/>
    </row>
    <row r="687" spans="1:24">
      <c r="A687" s="4">
        <v>45473</v>
      </c>
      <c r="B687" s="5" t="str">
        <f t="shared" si="30"/>
        <v>June</v>
      </c>
      <c r="C687" s="5" t="s">
        <v>17</v>
      </c>
      <c r="D687" s="5" t="s">
        <v>25</v>
      </c>
      <c r="E687" s="5">
        <v>20</v>
      </c>
      <c r="F687" s="5">
        <v>284.82</v>
      </c>
      <c r="G687" s="6">
        <f t="shared" si="31"/>
        <v>5696.4</v>
      </c>
      <c r="H687" s="5" t="s">
        <v>81</v>
      </c>
      <c r="I687" s="5" t="s">
        <v>62</v>
      </c>
      <c r="J687" s="5">
        <v>0.1</v>
      </c>
      <c r="K687" s="5" t="s">
        <v>63</v>
      </c>
      <c r="L687" s="6">
        <v>5126.76</v>
      </c>
      <c r="M687" s="5" t="s">
        <v>32</v>
      </c>
      <c r="N687" s="5" t="s">
        <v>69</v>
      </c>
      <c r="O687" s="5">
        <v>1</v>
      </c>
      <c r="P687" s="5" t="s">
        <v>1418</v>
      </c>
      <c r="Q687" s="5" t="s">
        <v>1419</v>
      </c>
      <c r="R687" s="5">
        <v>27</v>
      </c>
      <c r="S687" s="4">
        <v>45473</v>
      </c>
      <c r="T687" s="4">
        <v>45479</v>
      </c>
      <c r="U687" s="5">
        <f t="shared" si="32"/>
        <v>6</v>
      </c>
      <c r="V687" s="5" t="s">
        <v>67</v>
      </c>
      <c r="X687" s="5"/>
    </row>
    <row r="688" spans="1:24">
      <c r="A688" s="4">
        <v>45533</v>
      </c>
      <c r="B688" s="5" t="str">
        <f t="shared" si="30"/>
        <v>August</v>
      </c>
      <c r="C688" s="5" t="s">
        <v>18</v>
      </c>
      <c r="D688" s="5" t="s">
        <v>24</v>
      </c>
      <c r="E688" s="5">
        <v>18</v>
      </c>
      <c r="F688" s="5">
        <v>523.87</v>
      </c>
      <c r="G688" s="6">
        <f t="shared" si="31"/>
        <v>9429.66</v>
      </c>
      <c r="H688" s="5" t="s">
        <v>77</v>
      </c>
      <c r="I688" s="5" t="s">
        <v>62</v>
      </c>
      <c r="J688" s="5">
        <v>0.15</v>
      </c>
      <c r="K688" s="5" t="s">
        <v>82</v>
      </c>
      <c r="L688" s="6">
        <v>8015.211</v>
      </c>
      <c r="M688" s="5" t="s">
        <v>31</v>
      </c>
      <c r="N688" s="5" t="s">
        <v>69</v>
      </c>
      <c r="O688" s="5">
        <v>0</v>
      </c>
      <c r="P688" s="5" t="s">
        <v>1420</v>
      </c>
      <c r="Q688" s="5" t="s">
        <v>1421</v>
      </c>
      <c r="R688" s="5">
        <v>42.63</v>
      </c>
      <c r="S688" s="4">
        <v>45533</v>
      </c>
      <c r="T688" s="4">
        <v>45537</v>
      </c>
      <c r="U688" s="5">
        <f t="shared" si="32"/>
        <v>4</v>
      </c>
      <c r="V688" s="5" t="s">
        <v>72</v>
      </c>
      <c r="X688" s="5"/>
    </row>
    <row r="689" spans="1:24">
      <c r="A689" s="4">
        <v>45286</v>
      </c>
      <c r="B689" s="5" t="str">
        <f t="shared" si="30"/>
        <v>December</v>
      </c>
      <c r="C689" s="5" t="s">
        <v>19</v>
      </c>
      <c r="D689" s="5" t="s">
        <v>24</v>
      </c>
      <c r="E689" s="5">
        <v>3</v>
      </c>
      <c r="F689" s="5">
        <v>232.13</v>
      </c>
      <c r="G689" s="6">
        <f t="shared" si="31"/>
        <v>696.39</v>
      </c>
      <c r="H689" s="5" t="s">
        <v>53</v>
      </c>
      <c r="I689" s="5" t="s">
        <v>62</v>
      </c>
      <c r="J689" s="5">
        <v>0.1</v>
      </c>
      <c r="K689" s="5" t="s">
        <v>82</v>
      </c>
      <c r="L689" s="6">
        <v>626.751</v>
      </c>
      <c r="M689" s="5" t="s">
        <v>34</v>
      </c>
      <c r="N689" s="5"/>
      <c r="O689" s="5">
        <v>1</v>
      </c>
      <c r="P689" s="5" t="s">
        <v>1422</v>
      </c>
      <c r="Q689" s="5" t="s">
        <v>1423</v>
      </c>
      <c r="R689" s="5">
        <v>46.65</v>
      </c>
      <c r="S689" s="4">
        <v>45286</v>
      </c>
      <c r="T689" s="4">
        <v>45291</v>
      </c>
      <c r="U689" s="5">
        <f t="shared" si="32"/>
        <v>5</v>
      </c>
      <c r="V689" s="5" t="s">
        <v>76</v>
      </c>
      <c r="X689" s="5"/>
    </row>
    <row r="690" spans="1:24">
      <c r="A690" s="4">
        <v>45687</v>
      </c>
      <c r="B690" s="5" t="str">
        <f t="shared" si="30"/>
        <v>January</v>
      </c>
      <c r="C690" s="5" t="s">
        <v>18</v>
      </c>
      <c r="D690" s="5" t="s">
        <v>23</v>
      </c>
      <c r="E690" s="5">
        <v>17</v>
      </c>
      <c r="F690" s="5">
        <v>179.32</v>
      </c>
      <c r="G690" s="6">
        <f t="shared" si="31"/>
        <v>3048.44</v>
      </c>
      <c r="H690" s="5" t="s">
        <v>61</v>
      </c>
      <c r="I690" s="5" t="s">
        <v>62</v>
      </c>
      <c r="J690" s="5">
        <v>0.1</v>
      </c>
      <c r="K690" s="5" t="s">
        <v>89</v>
      </c>
      <c r="L690" s="6">
        <v>2743.596</v>
      </c>
      <c r="M690" s="5" t="s">
        <v>33</v>
      </c>
      <c r="N690" s="5" t="s">
        <v>64</v>
      </c>
      <c r="O690" s="5">
        <v>1</v>
      </c>
      <c r="P690" s="5" t="s">
        <v>1424</v>
      </c>
      <c r="Q690" s="5" t="s">
        <v>1425</v>
      </c>
      <c r="R690" s="5">
        <v>26.74</v>
      </c>
      <c r="S690" s="4">
        <v>45687</v>
      </c>
      <c r="T690" s="4">
        <v>45694</v>
      </c>
      <c r="U690" s="5">
        <f t="shared" si="32"/>
        <v>7</v>
      </c>
      <c r="V690" s="5" t="s">
        <v>72</v>
      </c>
      <c r="X690" s="5"/>
    </row>
    <row r="691" spans="1:24">
      <c r="A691" s="4">
        <v>45063</v>
      </c>
      <c r="B691" s="5" t="str">
        <f t="shared" si="30"/>
        <v>May</v>
      </c>
      <c r="C691" s="5" t="s">
        <v>17</v>
      </c>
      <c r="D691" s="5" t="s">
        <v>25</v>
      </c>
      <c r="E691" s="5">
        <v>1</v>
      </c>
      <c r="F691" s="5">
        <v>396.35</v>
      </c>
      <c r="G691" s="6">
        <f t="shared" si="31"/>
        <v>396.35</v>
      </c>
      <c r="H691" s="5" t="s">
        <v>53</v>
      </c>
      <c r="I691" s="5" t="s">
        <v>62</v>
      </c>
      <c r="J691" s="5">
        <v>0.15</v>
      </c>
      <c r="K691" s="5" t="s">
        <v>73</v>
      </c>
      <c r="L691" s="6">
        <v>336.8975</v>
      </c>
      <c r="M691" s="5" t="s">
        <v>33</v>
      </c>
      <c r="N691" s="5" t="s">
        <v>64</v>
      </c>
      <c r="O691" s="5">
        <v>1</v>
      </c>
      <c r="P691" s="5" t="s">
        <v>1426</v>
      </c>
      <c r="Q691" s="5" t="s">
        <v>1427</v>
      </c>
      <c r="R691" s="5">
        <v>19.89</v>
      </c>
      <c r="S691" s="4">
        <v>45063</v>
      </c>
      <c r="T691" s="4">
        <v>45071</v>
      </c>
      <c r="U691" s="5">
        <f t="shared" si="32"/>
        <v>8</v>
      </c>
      <c r="V691" s="5" t="s">
        <v>67</v>
      </c>
      <c r="X691" s="5"/>
    </row>
    <row r="692" spans="1:24">
      <c r="A692" s="4">
        <v>45318</v>
      </c>
      <c r="B692" s="5" t="str">
        <f t="shared" si="30"/>
        <v>January</v>
      </c>
      <c r="C692" s="5" t="s">
        <v>19</v>
      </c>
      <c r="D692" s="5" t="s">
        <v>24</v>
      </c>
      <c r="E692" s="5">
        <v>17</v>
      </c>
      <c r="F692" s="5">
        <v>108.48</v>
      </c>
      <c r="G692" s="6">
        <f t="shared" si="31"/>
        <v>1844.16</v>
      </c>
      <c r="H692" s="5" t="s">
        <v>61</v>
      </c>
      <c r="I692" s="5" t="s">
        <v>54</v>
      </c>
      <c r="J692" s="5">
        <v>0.1</v>
      </c>
      <c r="K692" s="5" t="s">
        <v>78</v>
      </c>
      <c r="L692" s="6">
        <v>1659.744</v>
      </c>
      <c r="M692" s="5" t="s">
        <v>30</v>
      </c>
      <c r="N692" s="5"/>
      <c r="O692" s="5">
        <v>1</v>
      </c>
      <c r="P692" s="5" t="s">
        <v>1428</v>
      </c>
      <c r="Q692" s="5" t="s">
        <v>1429</v>
      </c>
      <c r="R692" s="5">
        <v>48.9</v>
      </c>
      <c r="S692" s="4">
        <v>45318</v>
      </c>
      <c r="T692" s="4">
        <v>45327</v>
      </c>
      <c r="U692" s="5">
        <f t="shared" si="32"/>
        <v>9</v>
      </c>
      <c r="V692" s="5" t="s">
        <v>76</v>
      </c>
      <c r="X692" s="5"/>
    </row>
    <row r="693" spans="1:24">
      <c r="A693" s="4">
        <v>45803</v>
      </c>
      <c r="B693" s="5" t="str">
        <f t="shared" si="30"/>
        <v>May</v>
      </c>
      <c r="C693" s="5" t="s">
        <v>16</v>
      </c>
      <c r="D693" s="5" t="s">
        <v>27</v>
      </c>
      <c r="E693" s="5">
        <v>10</v>
      </c>
      <c r="F693" s="5">
        <v>149.67</v>
      </c>
      <c r="G693" s="6">
        <f t="shared" si="31"/>
        <v>1496.7</v>
      </c>
      <c r="H693" s="5" t="s">
        <v>81</v>
      </c>
      <c r="I693" s="5" t="s">
        <v>62</v>
      </c>
      <c r="J693" s="5">
        <v>0.1</v>
      </c>
      <c r="K693" s="5" t="s">
        <v>78</v>
      </c>
      <c r="L693" s="6">
        <v>1347.03</v>
      </c>
      <c r="M693" s="5" t="s">
        <v>34</v>
      </c>
      <c r="N693" s="5" t="s">
        <v>56</v>
      </c>
      <c r="O693" s="5">
        <v>1</v>
      </c>
      <c r="P693" s="5" t="s">
        <v>1430</v>
      </c>
      <c r="Q693" s="5" t="s">
        <v>1431</v>
      </c>
      <c r="R693" s="5">
        <v>49.67</v>
      </c>
      <c r="S693" s="4">
        <v>45803</v>
      </c>
      <c r="T693" s="4">
        <v>45810</v>
      </c>
      <c r="U693" s="5">
        <f t="shared" si="32"/>
        <v>7</v>
      </c>
      <c r="V693" s="5" t="s">
        <v>59</v>
      </c>
      <c r="X693" s="5"/>
    </row>
    <row r="694" spans="1:24">
      <c r="A694" s="4">
        <v>45725</v>
      </c>
      <c r="B694" s="5" t="str">
        <f t="shared" si="30"/>
        <v>March</v>
      </c>
      <c r="C694" s="5" t="s">
        <v>18</v>
      </c>
      <c r="D694" s="5" t="s">
        <v>23</v>
      </c>
      <c r="E694" s="5">
        <v>1</v>
      </c>
      <c r="F694" s="5">
        <v>506.41</v>
      </c>
      <c r="G694" s="6">
        <f t="shared" si="31"/>
        <v>506.41</v>
      </c>
      <c r="H694" s="5" t="s">
        <v>81</v>
      </c>
      <c r="I694" s="5" t="s">
        <v>54</v>
      </c>
      <c r="J694" s="5">
        <v>0</v>
      </c>
      <c r="K694" s="5" t="s">
        <v>89</v>
      </c>
      <c r="L694" s="6">
        <v>506.41</v>
      </c>
      <c r="M694" s="5" t="s">
        <v>34</v>
      </c>
      <c r="N694" s="5"/>
      <c r="O694" s="5">
        <v>0</v>
      </c>
      <c r="P694" s="5" t="s">
        <v>1432</v>
      </c>
      <c r="Q694" s="5" t="s">
        <v>1433</v>
      </c>
      <c r="R694" s="5">
        <v>17.9</v>
      </c>
      <c r="S694" s="4">
        <v>45725</v>
      </c>
      <c r="T694" s="4">
        <v>45733</v>
      </c>
      <c r="U694" s="5">
        <f t="shared" si="32"/>
        <v>8</v>
      </c>
      <c r="V694" s="5" t="s">
        <v>72</v>
      </c>
      <c r="X694" s="5"/>
    </row>
    <row r="695" spans="1:24">
      <c r="A695" s="4">
        <v>45344</v>
      </c>
      <c r="B695" s="5" t="str">
        <f t="shared" si="30"/>
        <v>February</v>
      </c>
      <c r="C695" s="5" t="s">
        <v>20</v>
      </c>
      <c r="D695" s="5" t="s">
        <v>101</v>
      </c>
      <c r="E695" s="5">
        <v>6</v>
      </c>
      <c r="F695" s="5">
        <v>345.9</v>
      </c>
      <c r="G695" s="6">
        <f t="shared" si="31"/>
        <v>2075.4</v>
      </c>
      <c r="H695" s="5" t="s">
        <v>53</v>
      </c>
      <c r="I695" s="5" t="s">
        <v>62</v>
      </c>
      <c r="J695" s="5">
        <v>0.15</v>
      </c>
      <c r="K695" s="5" t="s">
        <v>73</v>
      </c>
      <c r="L695" s="6">
        <v>1764.09</v>
      </c>
      <c r="M695" s="5" t="s">
        <v>32</v>
      </c>
      <c r="N695" s="5" t="s">
        <v>69</v>
      </c>
      <c r="O695" s="5">
        <v>0</v>
      </c>
      <c r="P695" s="5" t="s">
        <v>1434</v>
      </c>
      <c r="Q695" s="5" t="s">
        <v>1435</v>
      </c>
      <c r="R695" s="5">
        <v>30.58</v>
      </c>
      <c r="S695" s="4">
        <v>45344</v>
      </c>
      <c r="T695" s="4">
        <v>45354</v>
      </c>
      <c r="U695" s="5">
        <f t="shared" si="32"/>
        <v>10</v>
      </c>
      <c r="V695" s="5" t="s">
        <v>94</v>
      </c>
      <c r="X695" s="5"/>
    </row>
    <row r="696" spans="1:24">
      <c r="A696" s="4">
        <v>45691</v>
      </c>
      <c r="B696" s="5" t="str">
        <f t="shared" si="30"/>
        <v>February</v>
      </c>
      <c r="C696" s="5" t="s">
        <v>16</v>
      </c>
      <c r="D696" s="5" t="s">
        <v>101</v>
      </c>
      <c r="E696" s="5">
        <v>15</v>
      </c>
      <c r="F696" s="5">
        <v>342.04</v>
      </c>
      <c r="G696" s="6">
        <f t="shared" si="31"/>
        <v>5130.6</v>
      </c>
      <c r="H696" s="5" t="s">
        <v>77</v>
      </c>
      <c r="I696" s="5" t="s">
        <v>62</v>
      </c>
      <c r="J696" s="5">
        <v>0.15</v>
      </c>
      <c r="K696" s="5" t="s">
        <v>82</v>
      </c>
      <c r="L696" s="6">
        <v>4361.01</v>
      </c>
      <c r="M696" s="5" t="s">
        <v>31</v>
      </c>
      <c r="N696" s="5" t="s">
        <v>69</v>
      </c>
      <c r="O696" s="5">
        <v>0</v>
      </c>
      <c r="P696" s="5" t="s">
        <v>1436</v>
      </c>
      <c r="Q696" s="5" t="s">
        <v>1437</v>
      </c>
      <c r="R696" s="5">
        <v>44.91</v>
      </c>
      <c r="S696" s="4">
        <v>45691</v>
      </c>
      <c r="T696" s="4">
        <v>45696</v>
      </c>
      <c r="U696" s="5">
        <f t="shared" si="32"/>
        <v>5</v>
      </c>
      <c r="V696" s="5" t="s">
        <v>59</v>
      </c>
      <c r="X696" s="5"/>
    </row>
    <row r="697" spans="1:24">
      <c r="A697" s="4">
        <v>45300</v>
      </c>
      <c r="B697" s="5" t="str">
        <f t="shared" si="30"/>
        <v>January</v>
      </c>
      <c r="C697" s="5" t="s">
        <v>19</v>
      </c>
      <c r="D697" s="5" t="s">
        <v>27</v>
      </c>
      <c r="E697" s="5">
        <v>11</v>
      </c>
      <c r="F697" s="5">
        <v>404.88</v>
      </c>
      <c r="G697" s="6">
        <f t="shared" si="31"/>
        <v>4453.68</v>
      </c>
      <c r="H697" s="5" t="s">
        <v>61</v>
      </c>
      <c r="I697" s="5" t="s">
        <v>54</v>
      </c>
      <c r="J697" s="5">
        <v>0.05</v>
      </c>
      <c r="K697" s="5" t="s">
        <v>63</v>
      </c>
      <c r="L697" s="6">
        <v>4230.996</v>
      </c>
      <c r="M697" s="5" t="s">
        <v>31</v>
      </c>
      <c r="N697" s="5" t="s">
        <v>64</v>
      </c>
      <c r="O697" s="5">
        <v>0</v>
      </c>
      <c r="P697" s="5" t="s">
        <v>1438</v>
      </c>
      <c r="Q697" s="5" t="s">
        <v>1439</v>
      </c>
      <c r="R697" s="5">
        <v>18.92</v>
      </c>
      <c r="S697" s="4">
        <v>45300</v>
      </c>
      <c r="T697" s="4">
        <v>45307</v>
      </c>
      <c r="U697" s="5">
        <f t="shared" si="32"/>
        <v>7</v>
      </c>
      <c r="V697" s="5" t="s">
        <v>76</v>
      </c>
      <c r="X697" s="5"/>
    </row>
    <row r="698" spans="1:24">
      <c r="A698" s="4">
        <v>45782</v>
      </c>
      <c r="B698" s="5" t="str">
        <f t="shared" si="30"/>
        <v>May</v>
      </c>
      <c r="C698" s="5" t="s">
        <v>18</v>
      </c>
      <c r="D698" s="5" t="s">
        <v>24</v>
      </c>
      <c r="E698" s="5">
        <v>9</v>
      </c>
      <c r="F698" s="5">
        <v>292.46</v>
      </c>
      <c r="G698" s="6">
        <f t="shared" si="31"/>
        <v>2632.14</v>
      </c>
      <c r="H698" s="5" t="s">
        <v>61</v>
      </c>
      <c r="I698" s="5" t="s">
        <v>54</v>
      </c>
      <c r="J698" s="5">
        <v>0.05</v>
      </c>
      <c r="K698" s="5" t="s">
        <v>78</v>
      </c>
      <c r="L698" s="6">
        <v>2500.533</v>
      </c>
      <c r="M698" s="5" t="s">
        <v>32</v>
      </c>
      <c r="N698" s="5"/>
      <c r="O698" s="5">
        <v>0</v>
      </c>
      <c r="P698" s="5" t="s">
        <v>1440</v>
      </c>
      <c r="Q698" s="5" t="s">
        <v>1441</v>
      </c>
      <c r="R698" s="5">
        <v>34.26</v>
      </c>
      <c r="S698" s="4">
        <v>45782</v>
      </c>
      <c r="T698" s="4">
        <v>45791</v>
      </c>
      <c r="U698" s="5">
        <f t="shared" si="32"/>
        <v>9</v>
      </c>
      <c r="V698" s="5" t="s">
        <v>72</v>
      </c>
      <c r="X698" s="5"/>
    </row>
    <row r="699" spans="1:24">
      <c r="A699" s="4">
        <v>45033</v>
      </c>
      <c r="B699" s="5" t="str">
        <f t="shared" si="30"/>
        <v>April</v>
      </c>
      <c r="C699" s="5" t="s">
        <v>19</v>
      </c>
      <c r="D699" s="5" t="s">
        <v>24</v>
      </c>
      <c r="E699" s="5">
        <v>5</v>
      </c>
      <c r="F699" s="5">
        <v>547.53</v>
      </c>
      <c r="G699" s="6">
        <f t="shared" si="31"/>
        <v>2737.65</v>
      </c>
      <c r="H699" s="5" t="s">
        <v>61</v>
      </c>
      <c r="I699" s="5" t="s">
        <v>62</v>
      </c>
      <c r="J699" s="5">
        <v>0.1</v>
      </c>
      <c r="K699" s="5" t="s">
        <v>55</v>
      </c>
      <c r="L699" s="6">
        <v>2463.885</v>
      </c>
      <c r="M699" s="5" t="s">
        <v>33</v>
      </c>
      <c r="N699" s="5"/>
      <c r="O699" s="5">
        <v>0</v>
      </c>
      <c r="P699" s="5" t="s">
        <v>1442</v>
      </c>
      <c r="Q699" s="5" t="s">
        <v>1443</v>
      </c>
      <c r="R699" s="5">
        <v>24.68</v>
      </c>
      <c r="S699" s="4">
        <v>45033</v>
      </c>
      <c r="T699" s="4">
        <v>45037</v>
      </c>
      <c r="U699" s="5">
        <f t="shared" si="32"/>
        <v>4</v>
      </c>
      <c r="V699" s="5" t="s">
        <v>76</v>
      </c>
      <c r="X699" s="5"/>
    </row>
    <row r="700" spans="1:24">
      <c r="A700" s="4">
        <v>45459</v>
      </c>
      <c r="B700" s="5" t="str">
        <f t="shared" si="30"/>
        <v>June</v>
      </c>
      <c r="C700" s="5" t="s">
        <v>17</v>
      </c>
      <c r="D700" s="5" t="s">
        <v>24</v>
      </c>
      <c r="E700" s="5">
        <v>12</v>
      </c>
      <c r="F700" s="5">
        <v>348.88</v>
      </c>
      <c r="G700" s="6">
        <f t="shared" si="31"/>
        <v>4186.56</v>
      </c>
      <c r="H700" s="5" t="s">
        <v>77</v>
      </c>
      <c r="I700" s="5" t="s">
        <v>54</v>
      </c>
      <c r="J700" s="5">
        <v>0</v>
      </c>
      <c r="K700" s="5" t="s">
        <v>63</v>
      </c>
      <c r="L700" s="6">
        <v>4186.56</v>
      </c>
      <c r="M700" s="5" t="s">
        <v>32</v>
      </c>
      <c r="N700" s="5" t="s">
        <v>64</v>
      </c>
      <c r="O700" s="5">
        <v>0</v>
      </c>
      <c r="P700" s="5" t="s">
        <v>1444</v>
      </c>
      <c r="Q700" s="5" t="s">
        <v>1445</v>
      </c>
      <c r="R700" s="5">
        <v>31.28</v>
      </c>
      <c r="S700" s="4">
        <v>45459</v>
      </c>
      <c r="T700" s="4">
        <v>45464</v>
      </c>
      <c r="U700" s="5">
        <f t="shared" si="32"/>
        <v>5</v>
      </c>
      <c r="V700" s="5" t="s">
        <v>67</v>
      </c>
      <c r="X700" s="5"/>
    </row>
    <row r="701" spans="1:24">
      <c r="A701" s="4">
        <v>45597</v>
      </c>
      <c r="B701" s="5" t="str">
        <f t="shared" si="30"/>
        <v>November</v>
      </c>
      <c r="C701" s="5" t="s">
        <v>17</v>
      </c>
      <c r="D701" s="5" t="s">
        <v>23</v>
      </c>
      <c r="E701" s="5">
        <v>15</v>
      </c>
      <c r="F701" s="5">
        <v>486.03</v>
      </c>
      <c r="G701" s="6">
        <f t="shared" si="31"/>
        <v>7290.45</v>
      </c>
      <c r="H701" s="5" t="s">
        <v>77</v>
      </c>
      <c r="I701" s="5" t="s">
        <v>54</v>
      </c>
      <c r="J701" s="5">
        <v>0</v>
      </c>
      <c r="K701" s="5" t="s">
        <v>63</v>
      </c>
      <c r="L701" s="6">
        <v>7290.45</v>
      </c>
      <c r="M701" s="5" t="s">
        <v>33</v>
      </c>
      <c r="N701" s="5" t="s">
        <v>69</v>
      </c>
      <c r="O701" s="5">
        <v>0</v>
      </c>
      <c r="P701" s="5" t="s">
        <v>1446</v>
      </c>
      <c r="Q701" s="5" t="s">
        <v>1447</v>
      </c>
      <c r="R701" s="5">
        <v>14.9</v>
      </c>
      <c r="S701" s="4">
        <v>45597</v>
      </c>
      <c r="T701" s="4">
        <v>45600</v>
      </c>
      <c r="U701" s="5">
        <f t="shared" si="32"/>
        <v>3</v>
      </c>
      <c r="V701" s="5" t="s">
        <v>67</v>
      </c>
      <c r="X701" s="5"/>
    </row>
    <row r="702" spans="1:24">
      <c r="A702" s="4">
        <v>45695</v>
      </c>
      <c r="B702" s="5" t="str">
        <f t="shared" si="30"/>
        <v>February</v>
      </c>
      <c r="C702" s="5" t="s">
        <v>16</v>
      </c>
      <c r="D702" s="5" t="s">
        <v>101</v>
      </c>
      <c r="E702" s="5">
        <v>14</v>
      </c>
      <c r="F702" s="5">
        <v>159.09</v>
      </c>
      <c r="G702" s="6">
        <f t="shared" si="31"/>
        <v>2227.26</v>
      </c>
      <c r="H702" s="5" t="s">
        <v>77</v>
      </c>
      <c r="I702" s="5" t="s">
        <v>62</v>
      </c>
      <c r="J702" s="5">
        <v>0.15</v>
      </c>
      <c r="K702" s="5" t="s">
        <v>89</v>
      </c>
      <c r="L702" s="6">
        <v>1893.171</v>
      </c>
      <c r="M702" s="5" t="s">
        <v>33</v>
      </c>
      <c r="N702" s="5" t="s">
        <v>56</v>
      </c>
      <c r="O702" s="5">
        <v>0</v>
      </c>
      <c r="P702" s="5" t="s">
        <v>1448</v>
      </c>
      <c r="Q702" s="5" t="s">
        <v>1449</v>
      </c>
      <c r="R702" s="5">
        <v>27.05</v>
      </c>
      <c r="S702" s="4">
        <v>45695</v>
      </c>
      <c r="T702" s="4">
        <v>45698</v>
      </c>
      <c r="U702" s="5">
        <f t="shared" si="32"/>
        <v>3</v>
      </c>
      <c r="V702" s="5" t="s">
        <v>59</v>
      </c>
      <c r="X702" s="5"/>
    </row>
    <row r="703" spans="1:24">
      <c r="A703" s="4">
        <v>45620</v>
      </c>
      <c r="B703" s="5" t="str">
        <f t="shared" si="30"/>
        <v>November</v>
      </c>
      <c r="C703" s="5" t="s">
        <v>17</v>
      </c>
      <c r="D703" s="5" t="s">
        <v>26</v>
      </c>
      <c r="E703" s="5">
        <v>12</v>
      </c>
      <c r="F703" s="5">
        <v>173.79</v>
      </c>
      <c r="G703" s="6">
        <f t="shared" si="31"/>
        <v>2085.48</v>
      </c>
      <c r="H703" s="5" t="s">
        <v>81</v>
      </c>
      <c r="I703" s="5" t="s">
        <v>62</v>
      </c>
      <c r="J703" s="5">
        <v>0.15</v>
      </c>
      <c r="K703" s="5" t="s">
        <v>55</v>
      </c>
      <c r="L703" s="6">
        <v>1772.658</v>
      </c>
      <c r="M703" s="5" t="s">
        <v>32</v>
      </c>
      <c r="N703" s="5"/>
      <c r="O703" s="5">
        <v>0</v>
      </c>
      <c r="P703" s="5" t="s">
        <v>1450</v>
      </c>
      <c r="Q703" s="5" t="s">
        <v>1451</v>
      </c>
      <c r="R703" s="5">
        <v>21.23</v>
      </c>
      <c r="S703" s="4">
        <v>45620</v>
      </c>
      <c r="T703" s="4">
        <v>45630</v>
      </c>
      <c r="U703" s="5">
        <f t="shared" si="32"/>
        <v>10</v>
      </c>
      <c r="V703" s="5" t="s">
        <v>67</v>
      </c>
      <c r="X703" s="5"/>
    </row>
    <row r="704" spans="1:24">
      <c r="A704" s="4">
        <v>45405</v>
      </c>
      <c r="B704" s="5" t="str">
        <f t="shared" si="30"/>
        <v>April</v>
      </c>
      <c r="C704" s="5" t="s">
        <v>19</v>
      </c>
      <c r="D704" s="5" t="s">
        <v>26</v>
      </c>
      <c r="E704" s="5">
        <v>13</v>
      </c>
      <c r="F704" s="5">
        <v>439.75</v>
      </c>
      <c r="G704" s="6">
        <f t="shared" si="31"/>
        <v>5716.75</v>
      </c>
      <c r="H704" s="5" t="s">
        <v>61</v>
      </c>
      <c r="I704" s="5" t="s">
        <v>54</v>
      </c>
      <c r="J704" s="5">
        <v>0</v>
      </c>
      <c r="K704" s="5" t="s">
        <v>73</v>
      </c>
      <c r="L704" s="6">
        <v>5716.75</v>
      </c>
      <c r="M704" s="5" t="s">
        <v>30</v>
      </c>
      <c r="N704" s="5"/>
      <c r="O704" s="5">
        <v>1</v>
      </c>
      <c r="P704" s="5" t="s">
        <v>1452</v>
      </c>
      <c r="Q704" s="5" t="s">
        <v>677</v>
      </c>
      <c r="R704" s="5">
        <v>12.23</v>
      </c>
      <c r="S704" s="4">
        <v>45405</v>
      </c>
      <c r="T704" s="4">
        <v>45414</v>
      </c>
      <c r="U704" s="5">
        <f t="shared" si="32"/>
        <v>9</v>
      </c>
      <c r="V704" s="5" t="s">
        <v>76</v>
      </c>
      <c r="X704" s="5"/>
    </row>
    <row r="705" spans="1:24">
      <c r="A705" s="4">
        <v>45467</v>
      </c>
      <c r="B705" s="5" t="str">
        <f t="shared" si="30"/>
        <v>June</v>
      </c>
      <c r="C705" s="5" t="s">
        <v>16</v>
      </c>
      <c r="D705" s="5" t="s">
        <v>22</v>
      </c>
      <c r="E705" s="5">
        <v>9</v>
      </c>
      <c r="F705" s="5">
        <v>265.43</v>
      </c>
      <c r="G705" s="6">
        <f t="shared" si="31"/>
        <v>2388.87</v>
      </c>
      <c r="H705" s="5" t="s">
        <v>81</v>
      </c>
      <c r="I705" s="5" t="s">
        <v>54</v>
      </c>
      <c r="J705" s="5">
        <v>0.05</v>
      </c>
      <c r="K705" s="5" t="s">
        <v>55</v>
      </c>
      <c r="L705" s="6">
        <v>2269.4265</v>
      </c>
      <c r="M705" s="5" t="s">
        <v>32</v>
      </c>
      <c r="N705" s="5" t="s">
        <v>56</v>
      </c>
      <c r="O705" s="5">
        <v>0</v>
      </c>
      <c r="P705" s="5" t="s">
        <v>1453</v>
      </c>
      <c r="Q705" s="5" t="s">
        <v>1454</v>
      </c>
      <c r="R705" s="5">
        <v>40.18</v>
      </c>
      <c r="S705" s="4">
        <v>45467</v>
      </c>
      <c r="T705" s="4">
        <v>45470</v>
      </c>
      <c r="U705" s="5">
        <f t="shared" si="32"/>
        <v>3</v>
      </c>
      <c r="V705" s="5" t="s">
        <v>59</v>
      </c>
      <c r="X705" s="5"/>
    </row>
    <row r="706" spans="1:24">
      <c r="A706" s="4">
        <v>45809</v>
      </c>
      <c r="B706" s="5" t="str">
        <f t="shared" si="30"/>
        <v>June</v>
      </c>
      <c r="C706" s="5" t="s">
        <v>20</v>
      </c>
      <c r="D706" s="5" t="s">
        <v>26</v>
      </c>
      <c r="E706" s="5">
        <v>12</v>
      </c>
      <c r="F706" s="5">
        <v>290.28</v>
      </c>
      <c r="G706" s="6">
        <f t="shared" si="31"/>
        <v>3483.36</v>
      </c>
      <c r="H706" s="5" t="s">
        <v>53</v>
      </c>
      <c r="I706" s="5" t="s">
        <v>62</v>
      </c>
      <c r="J706" s="5">
        <v>0.1</v>
      </c>
      <c r="K706" s="5" t="s">
        <v>78</v>
      </c>
      <c r="L706" s="6">
        <v>3135.024</v>
      </c>
      <c r="M706" s="5" t="s">
        <v>34</v>
      </c>
      <c r="N706" s="5" t="s">
        <v>56</v>
      </c>
      <c r="O706" s="5">
        <v>1</v>
      </c>
      <c r="P706" s="5" t="s">
        <v>1455</v>
      </c>
      <c r="Q706" s="5" t="s">
        <v>1456</v>
      </c>
      <c r="R706" s="5">
        <v>5.55</v>
      </c>
      <c r="S706" s="4">
        <v>45809</v>
      </c>
      <c r="T706" s="4">
        <v>45815</v>
      </c>
      <c r="U706" s="5">
        <f t="shared" si="32"/>
        <v>6</v>
      </c>
      <c r="V706" s="5" t="s">
        <v>94</v>
      </c>
      <c r="X706" s="5"/>
    </row>
    <row r="707" spans="1:24">
      <c r="A707" s="4">
        <v>44997</v>
      </c>
      <c r="B707" s="5" t="str">
        <f t="shared" ref="B707:B770" si="33">TEXT(A707,"mmmm")</f>
        <v>March</v>
      </c>
      <c r="C707" s="5" t="s">
        <v>20</v>
      </c>
      <c r="D707" s="5" t="s">
        <v>101</v>
      </c>
      <c r="E707" s="5">
        <v>6</v>
      </c>
      <c r="F707" s="5">
        <v>88.7</v>
      </c>
      <c r="G707" s="6">
        <f t="shared" ref="G707:G770" si="34">F707*E707</f>
        <v>532.2</v>
      </c>
      <c r="H707" s="5" t="s">
        <v>53</v>
      </c>
      <c r="I707" s="5" t="s">
        <v>54</v>
      </c>
      <c r="J707" s="5">
        <v>0</v>
      </c>
      <c r="K707" s="5" t="s">
        <v>78</v>
      </c>
      <c r="L707" s="6">
        <v>532.2</v>
      </c>
      <c r="M707" s="5" t="s">
        <v>31</v>
      </c>
      <c r="N707" s="5"/>
      <c r="O707" s="5">
        <v>0</v>
      </c>
      <c r="P707" s="5" t="s">
        <v>1457</v>
      </c>
      <c r="Q707" s="5" t="s">
        <v>1458</v>
      </c>
      <c r="R707" s="5">
        <v>16.98</v>
      </c>
      <c r="S707" s="4">
        <v>44997</v>
      </c>
      <c r="T707" s="4">
        <v>44999</v>
      </c>
      <c r="U707" s="5">
        <f t="shared" ref="U707:U770" si="35">T707-S707</f>
        <v>2</v>
      </c>
      <c r="V707" s="5" t="s">
        <v>94</v>
      </c>
      <c r="X707" s="5"/>
    </row>
    <row r="708" spans="1:24">
      <c r="A708" s="4">
        <v>45607</v>
      </c>
      <c r="B708" s="5" t="str">
        <f t="shared" si="33"/>
        <v>November</v>
      </c>
      <c r="C708" s="5" t="s">
        <v>19</v>
      </c>
      <c r="D708" s="5" t="s">
        <v>24</v>
      </c>
      <c r="E708" s="5">
        <v>2</v>
      </c>
      <c r="F708" s="5">
        <v>239.69</v>
      </c>
      <c r="G708" s="6">
        <f t="shared" si="34"/>
        <v>479.38</v>
      </c>
      <c r="H708" s="5" t="s">
        <v>77</v>
      </c>
      <c r="I708" s="5" t="s">
        <v>62</v>
      </c>
      <c r="J708" s="5">
        <v>0</v>
      </c>
      <c r="K708" s="5" t="s">
        <v>82</v>
      </c>
      <c r="L708" s="6">
        <v>479.38</v>
      </c>
      <c r="M708" s="5" t="s">
        <v>32</v>
      </c>
      <c r="N708" s="5" t="s">
        <v>69</v>
      </c>
      <c r="O708" s="5">
        <v>0</v>
      </c>
      <c r="P708" s="5" t="s">
        <v>1459</v>
      </c>
      <c r="Q708" s="5" t="s">
        <v>1460</v>
      </c>
      <c r="R708" s="5">
        <v>28.96</v>
      </c>
      <c r="S708" s="4">
        <v>45607</v>
      </c>
      <c r="T708" s="4">
        <v>45615</v>
      </c>
      <c r="U708" s="5">
        <f t="shared" si="35"/>
        <v>8</v>
      </c>
      <c r="V708" s="5" t="s">
        <v>76</v>
      </c>
      <c r="X708" s="5"/>
    </row>
    <row r="709" spans="1:24">
      <c r="A709" s="4">
        <v>45582</v>
      </c>
      <c r="B709" s="5" t="str">
        <f t="shared" si="33"/>
        <v>October</v>
      </c>
      <c r="C709" s="5" t="s">
        <v>19</v>
      </c>
      <c r="D709" s="5" t="s">
        <v>101</v>
      </c>
      <c r="E709" s="5">
        <v>8</v>
      </c>
      <c r="F709" s="5">
        <v>39.79</v>
      </c>
      <c r="G709" s="6">
        <f t="shared" si="34"/>
        <v>318.32</v>
      </c>
      <c r="H709" s="5" t="s">
        <v>77</v>
      </c>
      <c r="I709" s="5" t="s">
        <v>62</v>
      </c>
      <c r="J709" s="5">
        <v>0.1</v>
      </c>
      <c r="K709" s="5" t="s">
        <v>89</v>
      </c>
      <c r="L709" s="6">
        <v>286.488</v>
      </c>
      <c r="M709" s="5" t="s">
        <v>32</v>
      </c>
      <c r="N709" s="5" t="s">
        <v>64</v>
      </c>
      <c r="O709" s="5">
        <v>0</v>
      </c>
      <c r="P709" s="5" t="s">
        <v>1461</v>
      </c>
      <c r="Q709" s="5" t="s">
        <v>1462</v>
      </c>
      <c r="R709" s="5">
        <v>46.16</v>
      </c>
      <c r="S709" s="4">
        <v>45582</v>
      </c>
      <c r="T709" s="4">
        <v>45591</v>
      </c>
      <c r="U709" s="5">
        <f t="shared" si="35"/>
        <v>9</v>
      </c>
      <c r="V709" s="5" t="s">
        <v>76</v>
      </c>
      <c r="X709" s="5"/>
    </row>
    <row r="710" spans="1:24">
      <c r="A710" s="4">
        <v>45056</v>
      </c>
      <c r="B710" s="5" t="str">
        <f t="shared" si="33"/>
        <v>May</v>
      </c>
      <c r="C710" s="5" t="s">
        <v>16</v>
      </c>
      <c r="D710" s="5" t="s">
        <v>27</v>
      </c>
      <c r="E710" s="5">
        <v>18</v>
      </c>
      <c r="F710" s="5">
        <v>206.8</v>
      </c>
      <c r="G710" s="6">
        <f t="shared" si="34"/>
        <v>3722.4</v>
      </c>
      <c r="H710" s="5" t="s">
        <v>61</v>
      </c>
      <c r="I710" s="5" t="s">
        <v>62</v>
      </c>
      <c r="J710" s="5">
        <v>0.05</v>
      </c>
      <c r="K710" s="5" t="s">
        <v>73</v>
      </c>
      <c r="L710" s="6">
        <v>3536.28</v>
      </c>
      <c r="M710" s="5" t="s">
        <v>33</v>
      </c>
      <c r="N710" s="5" t="s">
        <v>56</v>
      </c>
      <c r="O710" s="5">
        <v>1</v>
      </c>
      <c r="P710" s="5" t="s">
        <v>1463</v>
      </c>
      <c r="Q710" s="5" t="s">
        <v>1464</v>
      </c>
      <c r="R710" s="5">
        <v>39.25</v>
      </c>
      <c r="S710" s="4">
        <v>45056</v>
      </c>
      <c r="T710" s="4">
        <v>45059</v>
      </c>
      <c r="U710" s="5">
        <f t="shared" si="35"/>
        <v>3</v>
      </c>
      <c r="V710" s="5" t="s">
        <v>59</v>
      </c>
      <c r="X710" s="5"/>
    </row>
    <row r="711" spans="1:24">
      <c r="A711" s="4">
        <v>45136</v>
      </c>
      <c r="B711" s="5" t="str">
        <f t="shared" si="33"/>
        <v>July</v>
      </c>
      <c r="C711" s="5" t="s">
        <v>16</v>
      </c>
      <c r="D711" s="5" t="s">
        <v>22</v>
      </c>
      <c r="E711" s="5">
        <v>18</v>
      </c>
      <c r="F711" s="5">
        <v>175.81</v>
      </c>
      <c r="G711" s="6">
        <f t="shared" si="34"/>
        <v>3164.58</v>
      </c>
      <c r="H711" s="5" t="s">
        <v>77</v>
      </c>
      <c r="I711" s="5" t="s">
        <v>62</v>
      </c>
      <c r="J711" s="5">
        <v>0</v>
      </c>
      <c r="K711" s="5" t="s">
        <v>55</v>
      </c>
      <c r="L711" s="6">
        <v>3164.58</v>
      </c>
      <c r="M711" s="5" t="s">
        <v>31</v>
      </c>
      <c r="N711" s="5" t="s">
        <v>69</v>
      </c>
      <c r="O711" s="5">
        <v>1</v>
      </c>
      <c r="P711" s="5" t="s">
        <v>1465</v>
      </c>
      <c r="Q711" s="5" t="s">
        <v>1466</v>
      </c>
      <c r="R711" s="5">
        <v>26.97</v>
      </c>
      <c r="S711" s="4">
        <v>45136</v>
      </c>
      <c r="T711" s="4">
        <v>45145</v>
      </c>
      <c r="U711" s="5">
        <f t="shared" si="35"/>
        <v>9</v>
      </c>
      <c r="V711" s="5" t="s">
        <v>59</v>
      </c>
      <c r="X711" s="5"/>
    </row>
    <row r="712" spans="1:24">
      <c r="A712" s="4">
        <v>45164</v>
      </c>
      <c r="B712" s="5" t="str">
        <f t="shared" si="33"/>
        <v>August</v>
      </c>
      <c r="C712" s="5" t="s">
        <v>19</v>
      </c>
      <c r="D712" s="5" t="s">
        <v>23</v>
      </c>
      <c r="E712" s="5">
        <v>14</v>
      </c>
      <c r="F712" s="5">
        <v>547.36</v>
      </c>
      <c r="G712" s="6">
        <f t="shared" si="34"/>
        <v>7663.04</v>
      </c>
      <c r="H712" s="5" t="s">
        <v>77</v>
      </c>
      <c r="I712" s="5" t="s">
        <v>62</v>
      </c>
      <c r="J712" s="5">
        <v>0.15</v>
      </c>
      <c r="K712" s="5" t="s">
        <v>82</v>
      </c>
      <c r="L712" s="6">
        <v>6513.584</v>
      </c>
      <c r="M712" s="5" t="s">
        <v>30</v>
      </c>
      <c r="N712" s="5" t="s">
        <v>56</v>
      </c>
      <c r="O712" s="5">
        <v>0</v>
      </c>
      <c r="P712" s="5" t="s">
        <v>1467</v>
      </c>
      <c r="Q712" s="5" t="s">
        <v>1468</v>
      </c>
      <c r="R712" s="5">
        <v>25.24</v>
      </c>
      <c r="S712" s="4">
        <v>45164</v>
      </c>
      <c r="T712" s="4">
        <v>45167</v>
      </c>
      <c r="U712" s="5">
        <f t="shared" si="35"/>
        <v>3</v>
      </c>
      <c r="V712" s="5" t="s">
        <v>76</v>
      </c>
      <c r="X712" s="5"/>
    </row>
    <row r="713" spans="1:24">
      <c r="A713" s="4">
        <v>45288</v>
      </c>
      <c r="B713" s="5" t="str">
        <f t="shared" si="33"/>
        <v>December</v>
      </c>
      <c r="C713" s="5" t="s">
        <v>16</v>
      </c>
      <c r="D713" s="5" t="s">
        <v>22</v>
      </c>
      <c r="E713" s="5">
        <v>19</v>
      </c>
      <c r="F713" s="5">
        <v>374.8</v>
      </c>
      <c r="G713" s="6">
        <f t="shared" si="34"/>
        <v>7121.2</v>
      </c>
      <c r="H713" s="5" t="s">
        <v>61</v>
      </c>
      <c r="I713" s="5" t="s">
        <v>62</v>
      </c>
      <c r="J713" s="5">
        <v>0.05</v>
      </c>
      <c r="K713" s="5" t="s">
        <v>78</v>
      </c>
      <c r="L713" s="6">
        <v>6765.14</v>
      </c>
      <c r="M713" s="5" t="s">
        <v>30</v>
      </c>
      <c r="N713" s="5" t="s">
        <v>69</v>
      </c>
      <c r="O713" s="5">
        <v>0</v>
      </c>
      <c r="P713" s="5" t="s">
        <v>1469</v>
      </c>
      <c r="Q713" s="5" t="s">
        <v>1470</v>
      </c>
      <c r="R713" s="5">
        <v>41.67</v>
      </c>
      <c r="S713" s="4">
        <v>45288</v>
      </c>
      <c r="T713" s="4">
        <v>45294</v>
      </c>
      <c r="U713" s="5">
        <f t="shared" si="35"/>
        <v>6</v>
      </c>
      <c r="V713" s="5" t="s">
        <v>59</v>
      </c>
      <c r="X713" s="5"/>
    </row>
    <row r="714" spans="1:24">
      <c r="A714" s="4">
        <v>45726</v>
      </c>
      <c r="B714" s="5" t="str">
        <f t="shared" si="33"/>
        <v>March</v>
      </c>
      <c r="C714" s="5" t="s">
        <v>18</v>
      </c>
      <c r="D714" s="5" t="s">
        <v>101</v>
      </c>
      <c r="E714" s="5">
        <v>9</v>
      </c>
      <c r="F714" s="5">
        <v>507.74</v>
      </c>
      <c r="G714" s="6">
        <f t="shared" si="34"/>
        <v>4569.66</v>
      </c>
      <c r="H714" s="5" t="s">
        <v>81</v>
      </c>
      <c r="I714" s="5" t="s">
        <v>62</v>
      </c>
      <c r="J714" s="5">
        <v>0.15</v>
      </c>
      <c r="K714" s="5" t="s">
        <v>89</v>
      </c>
      <c r="L714" s="6">
        <v>3884.211</v>
      </c>
      <c r="M714" s="5" t="s">
        <v>34</v>
      </c>
      <c r="N714" s="5" t="s">
        <v>56</v>
      </c>
      <c r="O714" s="5">
        <v>1</v>
      </c>
      <c r="P714" s="5" t="s">
        <v>1471</v>
      </c>
      <c r="Q714" s="5" t="s">
        <v>1472</v>
      </c>
      <c r="R714" s="5">
        <v>22.08</v>
      </c>
      <c r="S714" s="4">
        <v>45726</v>
      </c>
      <c r="T714" s="4">
        <v>45733</v>
      </c>
      <c r="U714" s="5">
        <f t="shared" si="35"/>
        <v>7</v>
      </c>
      <c r="V714" s="5" t="s">
        <v>72</v>
      </c>
      <c r="X714" s="5"/>
    </row>
    <row r="715" spans="1:24">
      <c r="A715" s="4">
        <v>45178</v>
      </c>
      <c r="B715" s="5" t="str">
        <f t="shared" si="33"/>
        <v>September</v>
      </c>
      <c r="C715" s="5" t="s">
        <v>19</v>
      </c>
      <c r="D715" s="5" t="s">
        <v>24</v>
      </c>
      <c r="E715" s="5">
        <v>1</v>
      </c>
      <c r="F715" s="5">
        <v>223.56</v>
      </c>
      <c r="G715" s="6">
        <f t="shared" si="34"/>
        <v>223.56</v>
      </c>
      <c r="H715" s="5" t="s">
        <v>53</v>
      </c>
      <c r="I715" s="5" t="s">
        <v>54</v>
      </c>
      <c r="J715" s="5">
        <v>0.15</v>
      </c>
      <c r="K715" s="5" t="s">
        <v>89</v>
      </c>
      <c r="L715" s="6">
        <v>190.026</v>
      </c>
      <c r="M715" s="5" t="s">
        <v>32</v>
      </c>
      <c r="N715" s="5" t="s">
        <v>69</v>
      </c>
      <c r="O715" s="5">
        <v>0</v>
      </c>
      <c r="P715" s="5" t="s">
        <v>1473</v>
      </c>
      <c r="Q715" s="5" t="s">
        <v>1474</v>
      </c>
      <c r="R715" s="5">
        <v>37.84</v>
      </c>
      <c r="S715" s="4">
        <v>45178</v>
      </c>
      <c r="T715" s="4">
        <v>45183</v>
      </c>
      <c r="U715" s="5">
        <f t="shared" si="35"/>
        <v>5</v>
      </c>
      <c r="V715" s="5" t="s">
        <v>76</v>
      </c>
      <c r="X715" s="5"/>
    </row>
    <row r="716" spans="1:24">
      <c r="A716" s="4">
        <v>45074</v>
      </c>
      <c r="B716" s="5" t="str">
        <f t="shared" si="33"/>
        <v>May</v>
      </c>
      <c r="C716" s="5" t="s">
        <v>18</v>
      </c>
      <c r="D716" s="5" t="s">
        <v>101</v>
      </c>
      <c r="E716" s="5">
        <v>2</v>
      </c>
      <c r="F716" s="5">
        <v>294.27</v>
      </c>
      <c r="G716" s="6">
        <f t="shared" si="34"/>
        <v>588.54</v>
      </c>
      <c r="H716" s="5" t="s">
        <v>77</v>
      </c>
      <c r="I716" s="5" t="s">
        <v>62</v>
      </c>
      <c r="J716" s="5">
        <v>0.1</v>
      </c>
      <c r="K716" s="5" t="s">
        <v>82</v>
      </c>
      <c r="L716" s="6">
        <v>529.686</v>
      </c>
      <c r="M716" s="5" t="s">
        <v>31</v>
      </c>
      <c r="N716" s="5"/>
      <c r="O716" s="5">
        <v>0</v>
      </c>
      <c r="P716" s="5" t="s">
        <v>1475</v>
      </c>
      <c r="Q716" s="5" t="s">
        <v>1476</v>
      </c>
      <c r="R716" s="5">
        <v>9.05</v>
      </c>
      <c r="S716" s="4">
        <v>45074</v>
      </c>
      <c r="T716" s="4">
        <v>45078</v>
      </c>
      <c r="U716" s="5">
        <f t="shared" si="35"/>
        <v>4</v>
      </c>
      <c r="V716" s="5" t="s">
        <v>72</v>
      </c>
      <c r="X716" s="5"/>
    </row>
    <row r="717" spans="1:24">
      <c r="A717" s="4">
        <v>45798</v>
      </c>
      <c r="B717" s="5" t="str">
        <f t="shared" si="33"/>
        <v>May</v>
      </c>
      <c r="C717" s="5" t="s">
        <v>20</v>
      </c>
      <c r="D717" s="5" t="s">
        <v>26</v>
      </c>
      <c r="E717" s="5">
        <v>1</v>
      </c>
      <c r="F717" s="5">
        <v>319.49</v>
      </c>
      <c r="G717" s="6">
        <f t="shared" si="34"/>
        <v>319.49</v>
      </c>
      <c r="H717" s="5" t="s">
        <v>77</v>
      </c>
      <c r="I717" s="5" t="s">
        <v>54</v>
      </c>
      <c r="J717" s="5">
        <v>0.15</v>
      </c>
      <c r="K717" s="5" t="s">
        <v>82</v>
      </c>
      <c r="L717" s="6">
        <v>271.5665</v>
      </c>
      <c r="M717" s="5" t="s">
        <v>30</v>
      </c>
      <c r="N717" s="5" t="s">
        <v>56</v>
      </c>
      <c r="O717" s="5">
        <v>1</v>
      </c>
      <c r="P717" s="5" t="s">
        <v>1477</v>
      </c>
      <c r="Q717" s="5" t="s">
        <v>1478</v>
      </c>
      <c r="R717" s="5">
        <v>18.1</v>
      </c>
      <c r="S717" s="4">
        <v>45798</v>
      </c>
      <c r="T717" s="4">
        <v>45808</v>
      </c>
      <c r="U717" s="5">
        <f t="shared" si="35"/>
        <v>10</v>
      </c>
      <c r="V717" s="5" t="s">
        <v>94</v>
      </c>
      <c r="X717" s="5"/>
    </row>
    <row r="718" spans="1:24">
      <c r="A718" s="4">
        <v>45199</v>
      </c>
      <c r="B718" s="5" t="str">
        <f t="shared" si="33"/>
        <v>September</v>
      </c>
      <c r="C718" s="5" t="s">
        <v>16</v>
      </c>
      <c r="D718" s="5" t="s">
        <v>22</v>
      </c>
      <c r="E718" s="5">
        <v>14</v>
      </c>
      <c r="F718" s="5">
        <v>243.96</v>
      </c>
      <c r="G718" s="6">
        <f t="shared" si="34"/>
        <v>3415.44</v>
      </c>
      <c r="H718" s="5" t="s">
        <v>81</v>
      </c>
      <c r="I718" s="5" t="s">
        <v>54</v>
      </c>
      <c r="J718" s="5">
        <v>0.05</v>
      </c>
      <c r="K718" s="5" t="s">
        <v>82</v>
      </c>
      <c r="L718" s="6">
        <v>3244.668</v>
      </c>
      <c r="M718" s="5" t="s">
        <v>30</v>
      </c>
      <c r="N718" s="5"/>
      <c r="O718" s="5">
        <v>1</v>
      </c>
      <c r="P718" s="5" t="s">
        <v>1479</v>
      </c>
      <c r="Q718" s="5" t="s">
        <v>1480</v>
      </c>
      <c r="R718" s="5">
        <v>13.24</v>
      </c>
      <c r="S718" s="4">
        <v>45199</v>
      </c>
      <c r="T718" s="4">
        <v>45203</v>
      </c>
      <c r="U718" s="5">
        <f t="shared" si="35"/>
        <v>4</v>
      </c>
      <c r="V718" s="5" t="s">
        <v>59</v>
      </c>
      <c r="X718" s="5"/>
    </row>
    <row r="719" spans="1:24">
      <c r="A719" s="4">
        <v>45573</v>
      </c>
      <c r="B719" s="5" t="str">
        <f t="shared" si="33"/>
        <v>October</v>
      </c>
      <c r="C719" s="5" t="s">
        <v>17</v>
      </c>
      <c r="D719" s="5" t="s">
        <v>22</v>
      </c>
      <c r="E719" s="5">
        <v>6</v>
      </c>
      <c r="F719" s="5">
        <v>48.48</v>
      </c>
      <c r="G719" s="6">
        <f t="shared" si="34"/>
        <v>290.88</v>
      </c>
      <c r="H719" s="5" t="s">
        <v>81</v>
      </c>
      <c r="I719" s="5" t="s">
        <v>62</v>
      </c>
      <c r="J719" s="5">
        <v>0.1</v>
      </c>
      <c r="K719" s="5" t="s">
        <v>82</v>
      </c>
      <c r="L719" s="6">
        <v>261.792</v>
      </c>
      <c r="M719" s="5" t="s">
        <v>30</v>
      </c>
      <c r="N719" s="5"/>
      <c r="O719" s="5">
        <v>0</v>
      </c>
      <c r="P719" s="5" t="s">
        <v>1481</v>
      </c>
      <c r="Q719" s="5" t="s">
        <v>1482</v>
      </c>
      <c r="R719" s="5">
        <v>6.11</v>
      </c>
      <c r="S719" s="4">
        <v>45573</v>
      </c>
      <c r="T719" s="4">
        <v>45578</v>
      </c>
      <c r="U719" s="5">
        <f t="shared" si="35"/>
        <v>5</v>
      </c>
      <c r="V719" s="5" t="s">
        <v>67</v>
      </c>
      <c r="X719" s="5"/>
    </row>
    <row r="720" spans="1:24">
      <c r="A720" s="4">
        <v>45030</v>
      </c>
      <c r="B720" s="5" t="str">
        <f t="shared" si="33"/>
        <v>April</v>
      </c>
      <c r="C720" s="5" t="s">
        <v>16</v>
      </c>
      <c r="D720" s="5" t="s">
        <v>22</v>
      </c>
      <c r="E720" s="5">
        <v>20</v>
      </c>
      <c r="F720" s="5">
        <v>87.47</v>
      </c>
      <c r="G720" s="6">
        <f t="shared" si="34"/>
        <v>1749.4</v>
      </c>
      <c r="H720" s="5" t="s">
        <v>53</v>
      </c>
      <c r="I720" s="5" t="s">
        <v>62</v>
      </c>
      <c r="J720" s="5">
        <v>0</v>
      </c>
      <c r="K720" s="5" t="s">
        <v>78</v>
      </c>
      <c r="L720" s="6">
        <v>1749.4</v>
      </c>
      <c r="M720" s="5" t="s">
        <v>30</v>
      </c>
      <c r="N720" s="5" t="s">
        <v>69</v>
      </c>
      <c r="O720" s="5">
        <v>0</v>
      </c>
      <c r="P720" s="5" t="s">
        <v>1483</v>
      </c>
      <c r="Q720" s="5" t="s">
        <v>1484</v>
      </c>
      <c r="R720" s="5">
        <v>48.48</v>
      </c>
      <c r="S720" s="4">
        <v>45030</v>
      </c>
      <c r="T720" s="4">
        <v>45039</v>
      </c>
      <c r="U720" s="5">
        <f t="shared" si="35"/>
        <v>9</v>
      </c>
      <c r="V720" s="5" t="s">
        <v>59</v>
      </c>
      <c r="X720" s="5"/>
    </row>
    <row r="721" spans="1:24">
      <c r="A721" s="4">
        <v>44990</v>
      </c>
      <c r="B721" s="5" t="str">
        <f t="shared" si="33"/>
        <v>March</v>
      </c>
      <c r="C721" s="5" t="s">
        <v>17</v>
      </c>
      <c r="D721" s="5" t="s">
        <v>26</v>
      </c>
      <c r="E721" s="5">
        <v>17</v>
      </c>
      <c r="F721" s="5">
        <v>465.6</v>
      </c>
      <c r="G721" s="6">
        <f t="shared" si="34"/>
        <v>7915.2</v>
      </c>
      <c r="H721" s="5" t="s">
        <v>77</v>
      </c>
      <c r="I721" s="5" t="s">
        <v>62</v>
      </c>
      <c r="J721" s="5">
        <v>0.1</v>
      </c>
      <c r="K721" s="5" t="s">
        <v>89</v>
      </c>
      <c r="L721" s="6">
        <v>7123.68</v>
      </c>
      <c r="M721" s="5" t="s">
        <v>33</v>
      </c>
      <c r="N721" s="5" t="s">
        <v>64</v>
      </c>
      <c r="O721" s="5">
        <v>0</v>
      </c>
      <c r="P721" s="5" t="s">
        <v>1485</v>
      </c>
      <c r="Q721" s="5" t="s">
        <v>1486</v>
      </c>
      <c r="R721" s="5">
        <v>7.76</v>
      </c>
      <c r="S721" s="4">
        <v>44990</v>
      </c>
      <c r="T721" s="4">
        <v>44995</v>
      </c>
      <c r="U721" s="5">
        <f t="shared" si="35"/>
        <v>5</v>
      </c>
      <c r="V721" s="5" t="s">
        <v>67</v>
      </c>
      <c r="X721" s="5"/>
    </row>
    <row r="722" spans="1:24">
      <c r="A722" s="4">
        <v>45490</v>
      </c>
      <c r="B722" s="5" t="str">
        <f t="shared" si="33"/>
        <v>July</v>
      </c>
      <c r="C722" s="5" t="s">
        <v>18</v>
      </c>
      <c r="D722" s="5" t="s">
        <v>24</v>
      </c>
      <c r="E722" s="5">
        <v>17</v>
      </c>
      <c r="F722" s="5">
        <v>279.38</v>
      </c>
      <c r="G722" s="6">
        <f t="shared" si="34"/>
        <v>4749.46</v>
      </c>
      <c r="H722" s="5" t="s">
        <v>53</v>
      </c>
      <c r="I722" s="5" t="s">
        <v>54</v>
      </c>
      <c r="J722" s="5">
        <v>0.05</v>
      </c>
      <c r="K722" s="5" t="s">
        <v>73</v>
      </c>
      <c r="L722" s="6">
        <v>4511.987</v>
      </c>
      <c r="M722" s="5" t="s">
        <v>32</v>
      </c>
      <c r="N722" s="5" t="s">
        <v>69</v>
      </c>
      <c r="O722" s="5">
        <v>0</v>
      </c>
      <c r="P722" s="5" t="s">
        <v>1487</v>
      </c>
      <c r="Q722" s="5" t="s">
        <v>1488</v>
      </c>
      <c r="R722" s="5">
        <v>30.3</v>
      </c>
      <c r="S722" s="4">
        <v>45490</v>
      </c>
      <c r="T722" s="4">
        <v>45493</v>
      </c>
      <c r="U722" s="5">
        <f t="shared" si="35"/>
        <v>3</v>
      </c>
      <c r="V722" s="5" t="s">
        <v>72</v>
      </c>
      <c r="X722" s="5"/>
    </row>
    <row r="723" spans="1:24">
      <c r="A723" s="4">
        <v>45432</v>
      </c>
      <c r="B723" s="5" t="str">
        <f t="shared" si="33"/>
        <v>May</v>
      </c>
      <c r="C723" s="5" t="s">
        <v>18</v>
      </c>
      <c r="D723" s="5" t="s">
        <v>101</v>
      </c>
      <c r="E723" s="5">
        <v>16</v>
      </c>
      <c r="F723" s="5">
        <v>427.68</v>
      </c>
      <c r="G723" s="6">
        <f t="shared" si="34"/>
        <v>6842.88</v>
      </c>
      <c r="H723" s="5" t="s">
        <v>61</v>
      </c>
      <c r="I723" s="5" t="s">
        <v>62</v>
      </c>
      <c r="J723" s="5">
        <v>0.1</v>
      </c>
      <c r="K723" s="5" t="s">
        <v>78</v>
      </c>
      <c r="L723" s="6">
        <v>6158.592</v>
      </c>
      <c r="M723" s="5" t="s">
        <v>33</v>
      </c>
      <c r="N723" s="5"/>
      <c r="O723" s="5">
        <v>0</v>
      </c>
      <c r="P723" s="5" t="s">
        <v>1489</v>
      </c>
      <c r="Q723" s="5" t="s">
        <v>1490</v>
      </c>
      <c r="R723" s="5">
        <v>18.72</v>
      </c>
      <c r="S723" s="4">
        <v>45432</v>
      </c>
      <c r="T723" s="4">
        <v>45441</v>
      </c>
      <c r="U723" s="5">
        <f t="shared" si="35"/>
        <v>9</v>
      </c>
      <c r="V723" s="5" t="s">
        <v>72</v>
      </c>
      <c r="X723" s="5"/>
    </row>
    <row r="724" spans="1:24">
      <c r="A724" s="4">
        <v>45783</v>
      </c>
      <c r="B724" s="5" t="str">
        <f t="shared" si="33"/>
        <v>May</v>
      </c>
      <c r="C724" s="5" t="s">
        <v>18</v>
      </c>
      <c r="D724" s="5" t="s">
        <v>22</v>
      </c>
      <c r="E724" s="5">
        <v>15</v>
      </c>
      <c r="F724" s="5">
        <v>281.73</v>
      </c>
      <c r="G724" s="6">
        <f t="shared" si="34"/>
        <v>4225.95</v>
      </c>
      <c r="H724" s="5" t="s">
        <v>53</v>
      </c>
      <c r="I724" s="5" t="s">
        <v>54</v>
      </c>
      <c r="J724" s="5">
        <v>0.1</v>
      </c>
      <c r="K724" s="5" t="s">
        <v>89</v>
      </c>
      <c r="L724" s="6">
        <v>3803.355</v>
      </c>
      <c r="M724" s="5" t="s">
        <v>32</v>
      </c>
      <c r="N724" s="5" t="s">
        <v>69</v>
      </c>
      <c r="O724" s="5">
        <v>0</v>
      </c>
      <c r="P724" s="5" t="s">
        <v>1491</v>
      </c>
      <c r="Q724" s="5" t="s">
        <v>1492</v>
      </c>
      <c r="R724" s="5">
        <v>36.87</v>
      </c>
      <c r="S724" s="4">
        <v>45783</v>
      </c>
      <c r="T724" s="4">
        <v>45787</v>
      </c>
      <c r="U724" s="5">
        <f t="shared" si="35"/>
        <v>4</v>
      </c>
      <c r="V724" s="5" t="s">
        <v>72</v>
      </c>
      <c r="X724" s="5"/>
    </row>
    <row r="725" spans="1:24">
      <c r="A725" s="4">
        <v>44941</v>
      </c>
      <c r="B725" s="5" t="str">
        <f t="shared" si="33"/>
        <v>January</v>
      </c>
      <c r="C725" s="5" t="s">
        <v>18</v>
      </c>
      <c r="D725" s="5" t="s">
        <v>24</v>
      </c>
      <c r="E725" s="5">
        <v>15</v>
      </c>
      <c r="F725" s="5">
        <v>185</v>
      </c>
      <c r="G725" s="6">
        <f t="shared" si="34"/>
        <v>2775</v>
      </c>
      <c r="H725" s="5" t="s">
        <v>53</v>
      </c>
      <c r="I725" s="5" t="s">
        <v>54</v>
      </c>
      <c r="J725" s="5">
        <v>0</v>
      </c>
      <c r="K725" s="5" t="s">
        <v>63</v>
      </c>
      <c r="L725" s="6">
        <v>2775</v>
      </c>
      <c r="M725" s="5" t="s">
        <v>34</v>
      </c>
      <c r="N725" s="5" t="s">
        <v>56</v>
      </c>
      <c r="O725" s="5">
        <v>0</v>
      </c>
      <c r="P725" s="5" t="s">
        <v>1493</v>
      </c>
      <c r="Q725" s="5" t="s">
        <v>1494</v>
      </c>
      <c r="R725" s="5">
        <v>29.31</v>
      </c>
      <c r="S725" s="4">
        <v>44941</v>
      </c>
      <c r="T725" s="4">
        <v>44943</v>
      </c>
      <c r="U725" s="5">
        <f t="shared" si="35"/>
        <v>2</v>
      </c>
      <c r="V725" s="5" t="s">
        <v>72</v>
      </c>
      <c r="X725" s="5"/>
    </row>
    <row r="726" spans="1:24">
      <c r="A726" s="4">
        <v>45300</v>
      </c>
      <c r="B726" s="5" t="str">
        <f t="shared" si="33"/>
        <v>January</v>
      </c>
      <c r="C726" s="5" t="s">
        <v>19</v>
      </c>
      <c r="D726" s="5" t="s">
        <v>26</v>
      </c>
      <c r="E726" s="5">
        <v>19</v>
      </c>
      <c r="F726" s="5">
        <v>380.82</v>
      </c>
      <c r="G726" s="6">
        <f t="shared" si="34"/>
        <v>7235.58</v>
      </c>
      <c r="H726" s="5" t="s">
        <v>81</v>
      </c>
      <c r="I726" s="5" t="s">
        <v>54</v>
      </c>
      <c r="J726" s="5">
        <v>0.1</v>
      </c>
      <c r="K726" s="5" t="s">
        <v>82</v>
      </c>
      <c r="L726" s="6">
        <v>6512.022</v>
      </c>
      <c r="M726" s="5" t="s">
        <v>32</v>
      </c>
      <c r="N726" s="5" t="s">
        <v>64</v>
      </c>
      <c r="O726" s="5">
        <v>0</v>
      </c>
      <c r="P726" s="5" t="s">
        <v>1495</v>
      </c>
      <c r="Q726" s="5" t="s">
        <v>1496</v>
      </c>
      <c r="R726" s="5">
        <v>48.73</v>
      </c>
      <c r="S726" s="4">
        <v>45300</v>
      </c>
      <c r="T726" s="4">
        <v>45303</v>
      </c>
      <c r="U726" s="5">
        <f t="shared" si="35"/>
        <v>3</v>
      </c>
      <c r="V726" s="5" t="s">
        <v>76</v>
      </c>
      <c r="X726" s="5"/>
    </row>
    <row r="727" spans="1:24">
      <c r="A727" s="4">
        <v>45119</v>
      </c>
      <c r="B727" s="5" t="str">
        <f t="shared" si="33"/>
        <v>July</v>
      </c>
      <c r="C727" s="5" t="s">
        <v>17</v>
      </c>
      <c r="D727" s="5" t="s">
        <v>25</v>
      </c>
      <c r="E727" s="5">
        <v>4</v>
      </c>
      <c r="F727" s="5">
        <v>444.87</v>
      </c>
      <c r="G727" s="6">
        <f t="shared" si="34"/>
        <v>1779.48</v>
      </c>
      <c r="H727" s="5" t="s">
        <v>53</v>
      </c>
      <c r="I727" s="5" t="s">
        <v>62</v>
      </c>
      <c r="J727" s="5">
        <v>0.15</v>
      </c>
      <c r="K727" s="5" t="s">
        <v>78</v>
      </c>
      <c r="L727" s="6">
        <v>1512.558</v>
      </c>
      <c r="M727" s="5" t="s">
        <v>30</v>
      </c>
      <c r="N727" s="5" t="s">
        <v>56</v>
      </c>
      <c r="O727" s="5">
        <v>0</v>
      </c>
      <c r="P727" s="5" t="s">
        <v>1497</v>
      </c>
      <c r="Q727" s="5" t="s">
        <v>1498</v>
      </c>
      <c r="R727" s="5">
        <v>47.14</v>
      </c>
      <c r="S727" s="4">
        <v>45119</v>
      </c>
      <c r="T727" s="4">
        <v>45128</v>
      </c>
      <c r="U727" s="5">
        <f t="shared" si="35"/>
        <v>9</v>
      </c>
      <c r="V727" s="5" t="s">
        <v>67</v>
      </c>
      <c r="X727" s="5"/>
    </row>
    <row r="728" spans="1:24">
      <c r="A728" s="4">
        <v>45829</v>
      </c>
      <c r="B728" s="5" t="str">
        <f t="shared" si="33"/>
        <v>June</v>
      </c>
      <c r="C728" s="5" t="s">
        <v>16</v>
      </c>
      <c r="D728" s="5" t="s">
        <v>25</v>
      </c>
      <c r="E728" s="5">
        <v>7</v>
      </c>
      <c r="F728" s="5">
        <v>590.79</v>
      </c>
      <c r="G728" s="6">
        <f t="shared" si="34"/>
        <v>4135.53</v>
      </c>
      <c r="H728" s="5" t="s">
        <v>53</v>
      </c>
      <c r="I728" s="5" t="s">
        <v>62</v>
      </c>
      <c r="J728" s="5">
        <v>0.05</v>
      </c>
      <c r="K728" s="5" t="s">
        <v>55</v>
      </c>
      <c r="L728" s="6">
        <v>3928.7535</v>
      </c>
      <c r="M728" s="5" t="s">
        <v>34</v>
      </c>
      <c r="N728" s="5" t="s">
        <v>56</v>
      </c>
      <c r="O728" s="5">
        <v>1</v>
      </c>
      <c r="P728" s="5" t="s">
        <v>1499</v>
      </c>
      <c r="Q728" s="5" t="s">
        <v>1500</v>
      </c>
      <c r="R728" s="5">
        <v>41.39</v>
      </c>
      <c r="S728" s="4">
        <v>45829</v>
      </c>
      <c r="T728" s="4">
        <v>45834</v>
      </c>
      <c r="U728" s="5">
        <f t="shared" si="35"/>
        <v>5</v>
      </c>
      <c r="V728" s="5" t="s">
        <v>59</v>
      </c>
      <c r="X728" s="5"/>
    </row>
    <row r="729" spans="1:24">
      <c r="A729" s="4">
        <v>45655</v>
      </c>
      <c r="B729" s="5" t="str">
        <f t="shared" si="33"/>
        <v>December</v>
      </c>
      <c r="C729" s="5" t="s">
        <v>18</v>
      </c>
      <c r="D729" s="5" t="s">
        <v>27</v>
      </c>
      <c r="E729" s="5">
        <v>5</v>
      </c>
      <c r="F729" s="5">
        <v>34.58</v>
      </c>
      <c r="G729" s="6">
        <f t="shared" si="34"/>
        <v>172.9</v>
      </c>
      <c r="H729" s="5" t="s">
        <v>61</v>
      </c>
      <c r="I729" s="5" t="s">
        <v>62</v>
      </c>
      <c r="J729" s="5">
        <v>0.1</v>
      </c>
      <c r="K729" s="5" t="s">
        <v>73</v>
      </c>
      <c r="L729" s="6">
        <v>155.61</v>
      </c>
      <c r="M729" s="5" t="s">
        <v>31</v>
      </c>
      <c r="N729" s="5" t="s">
        <v>69</v>
      </c>
      <c r="O729" s="5">
        <v>0</v>
      </c>
      <c r="P729" s="5" t="s">
        <v>1501</v>
      </c>
      <c r="Q729" s="5" t="s">
        <v>1502</v>
      </c>
      <c r="R729" s="5">
        <v>27.1</v>
      </c>
      <c r="S729" s="4">
        <v>45655</v>
      </c>
      <c r="T729" s="4">
        <v>45659</v>
      </c>
      <c r="U729" s="5">
        <f t="shared" si="35"/>
        <v>4</v>
      </c>
      <c r="V729" s="5" t="s">
        <v>72</v>
      </c>
      <c r="X729" s="5"/>
    </row>
    <row r="730" spans="1:24">
      <c r="A730" s="4">
        <v>45069</v>
      </c>
      <c r="B730" s="5" t="str">
        <f t="shared" si="33"/>
        <v>May</v>
      </c>
      <c r="C730" s="5" t="s">
        <v>20</v>
      </c>
      <c r="D730" s="5" t="s">
        <v>101</v>
      </c>
      <c r="E730" s="5">
        <v>9</v>
      </c>
      <c r="F730" s="5">
        <v>438.22</v>
      </c>
      <c r="G730" s="6">
        <f t="shared" si="34"/>
        <v>3943.98</v>
      </c>
      <c r="H730" s="5" t="s">
        <v>81</v>
      </c>
      <c r="I730" s="5" t="s">
        <v>62</v>
      </c>
      <c r="J730" s="5">
        <v>0.05</v>
      </c>
      <c r="K730" s="5" t="s">
        <v>89</v>
      </c>
      <c r="L730" s="6">
        <v>3746.781</v>
      </c>
      <c r="M730" s="5" t="s">
        <v>34</v>
      </c>
      <c r="N730" s="5"/>
      <c r="O730" s="5">
        <v>0</v>
      </c>
      <c r="P730" s="5" t="s">
        <v>1503</v>
      </c>
      <c r="Q730" s="5" t="s">
        <v>1504</v>
      </c>
      <c r="R730" s="5">
        <v>22.73</v>
      </c>
      <c r="S730" s="4">
        <v>45069</v>
      </c>
      <c r="T730" s="4">
        <v>45075</v>
      </c>
      <c r="U730" s="5">
        <f t="shared" si="35"/>
        <v>6</v>
      </c>
      <c r="V730" s="5" t="s">
        <v>94</v>
      </c>
      <c r="X730" s="5"/>
    </row>
    <row r="731" spans="1:24">
      <c r="A731" s="4">
        <v>45385</v>
      </c>
      <c r="B731" s="5" t="str">
        <f t="shared" si="33"/>
        <v>April</v>
      </c>
      <c r="C731" s="5" t="s">
        <v>19</v>
      </c>
      <c r="D731" s="5" t="s">
        <v>24</v>
      </c>
      <c r="E731" s="5">
        <v>5</v>
      </c>
      <c r="F731" s="5">
        <v>84.91</v>
      </c>
      <c r="G731" s="6">
        <f t="shared" si="34"/>
        <v>424.55</v>
      </c>
      <c r="H731" s="5" t="s">
        <v>61</v>
      </c>
      <c r="I731" s="5" t="s">
        <v>62</v>
      </c>
      <c r="J731" s="5">
        <v>0.1</v>
      </c>
      <c r="K731" s="5" t="s">
        <v>78</v>
      </c>
      <c r="L731" s="6">
        <v>382.095</v>
      </c>
      <c r="M731" s="5" t="s">
        <v>34</v>
      </c>
      <c r="N731" s="5" t="s">
        <v>56</v>
      </c>
      <c r="O731" s="5">
        <v>1</v>
      </c>
      <c r="P731" s="5" t="s">
        <v>1505</v>
      </c>
      <c r="Q731" s="5" t="s">
        <v>1506</v>
      </c>
      <c r="R731" s="5">
        <v>29.06</v>
      </c>
      <c r="S731" s="4">
        <v>45385</v>
      </c>
      <c r="T731" s="4">
        <v>45391</v>
      </c>
      <c r="U731" s="5">
        <f t="shared" si="35"/>
        <v>6</v>
      </c>
      <c r="V731" s="5" t="s">
        <v>76</v>
      </c>
      <c r="X731" s="5"/>
    </row>
    <row r="732" spans="1:24">
      <c r="A732" s="4">
        <v>45308</v>
      </c>
      <c r="B732" s="5" t="str">
        <f t="shared" si="33"/>
        <v>January</v>
      </c>
      <c r="C732" s="5" t="s">
        <v>16</v>
      </c>
      <c r="D732" s="5" t="s">
        <v>22</v>
      </c>
      <c r="E732" s="5">
        <v>7</v>
      </c>
      <c r="F732" s="5">
        <v>322.11</v>
      </c>
      <c r="G732" s="6">
        <f t="shared" si="34"/>
        <v>2254.77</v>
      </c>
      <c r="H732" s="5" t="s">
        <v>77</v>
      </c>
      <c r="I732" s="5" t="s">
        <v>54</v>
      </c>
      <c r="J732" s="5">
        <v>0.1</v>
      </c>
      <c r="K732" s="5" t="s">
        <v>82</v>
      </c>
      <c r="L732" s="6">
        <v>2029.293</v>
      </c>
      <c r="M732" s="5" t="s">
        <v>33</v>
      </c>
      <c r="N732" s="5" t="s">
        <v>64</v>
      </c>
      <c r="O732" s="5">
        <v>0</v>
      </c>
      <c r="P732" s="5" t="s">
        <v>1507</v>
      </c>
      <c r="Q732" s="5" t="s">
        <v>1508</v>
      </c>
      <c r="R732" s="5">
        <v>19.91</v>
      </c>
      <c r="S732" s="4">
        <v>45308</v>
      </c>
      <c r="T732" s="4">
        <v>45318</v>
      </c>
      <c r="U732" s="5">
        <f t="shared" si="35"/>
        <v>10</v>
      </c>
      <c r="V732" s="5" t="s">
        <v>59</v>
      </c>
      <c r="X732" s="5"/>
    </row>
    <row r="733" spans="1:24">
      <c r="A733" s="4">
        <v>45752</v>
      </c>
      <c r="B733" s="5" t="str">
        <f t="shared" si="33"/>
        <v>April</v>
      </c>
      <c r="C733" s="5" t="s">
        <v>19</v>
      </c>
      <c r="D733" s="5" t="s">
        <v>26</v>
      </c>
      <c r="E733" s="5">
        <v>2</v>
      </c>
      <c r="F733" s="5">
        <v>231.96</v>
      </c>
      <c r="G733" s="6">
        <f t="shared" si="34"/>
        <v>463.92</v>
      </c>
      <c r="H733" s="5" t="s">
        <v>53</v>
      </c>
      <c r="I733" s="5" t="s">
        <v>62</v>
      </c>
      <c r="J733" s="5">
        <v>0.1</v>
      </c>
      <c r="K733" s="5" t="s">
        <v>63</v>
      </c>
      <c r="L733" s="6">
        <v>417.528</v>
      </c>
      <c r="M733" s="5" t="s">
        <v>33</v>
      </c>
      <c r="N733" s="5"/>
      <c r="O733" s="5">
        <v>1</v>
      </c>
      <c r="P733" s="5" t="s">
        <v>1509</v>
      </c>
      <c r="Q733" s="5" t="s">
        <v>1510</v>
      </c>
      <c r="R733" s="5">
        <v>32.66</v>
      </c>
      <c r="S733" s="4">
        <v>45752</v>
      </c>
      <c r="T733" s="4">
        <v>45761</v>
      </c>
      <c r="U733" s="5">
        <f t="shared" si="35"/>
        <v>9</v>
      </c>
      <c r="V733" s="5" t="s">
        <v>76</v>
      </c>
      <c r="X733" s="5"/>
    </row>
    <row r="734" spans="1:24">
      <c r="A734" s="4">
        <v>45764</v>
      </c>
      <c r="B734" s="5" t="str">
        <f t="shared" si="33"/>
        <v>April</v>
      </c>
      <c r="C734" s="5" t="s">
        <v>19</v>
      </c>
      <c r="D734" s="5" t="s">
        <v>25</v>
      </c>
      <c r="E734" s="5">
        <v>15</v>
      </c>
      <c r="F734" s="5">
        <v>242.07</v>
      </c>
      <c r="G734" s="6">
        <f t="shared" si="34"/>
        <v>3631.05</v>
      </c>
      <c r="H734" s="5" t="s">
        <v>61</v>
      </c>
      <c r="I734" s="5" t="s">
        <v>54</v>
      </c>
      <c r="J734" s="5">
        <v>0.15</v>
      </c>
      <c r="K734" s="5" t="s">
        <v>89</v>
      </c>
      <c r="L734" s="6">
        <v>3086.3925</v>
      </c>
      <c r="M734" s="5" t="s">
        <v>32</v>
      </c>
      <c r="N734" s="5"/>
      <c r="O734" s="5">
        <v>0</v>
      </c>
      <c r="P734" s="5" t="s">
        <v>1511</v>
      </c>
      <c r="Q734" s="5" t="s">
        <v>1512</v>
      </c>
      <c r="R734" s="5">
        <v>19.18</v>
      </c>
      <c r="S734" s="4">
        <v>45764</v>
      </c>
      <c r="T734" s="4">
        <v>45770</v>
      </c>
      <c r="U734" s="5">
        <f t="shared" si="35"/>
        <v>6</v>
      </c>
      <c r="V734" s="5" t="s">
        <v>76</v>
      </c>
      <c r="X734" s="5"/>
    </row>
    <row r="735" spans="1:24">
      <c r="A735" s="4">
        <v>45577</v>
      </c>
      <c r="B735" s="5" t="str">
        <f t="shared" si="33"/>
        <v>October</v>
      </c>
      <c r="C735" s="5" t="s">
        <v>19</v>
      </c>
      <c r="D735" s="5" t="s">
        <v>22</v>
      </c>
      <c r="E735" s="5">
        <v>2</v>
      </c>
      <c r="F735" s="5">
        <v>48.02</v>
      </c>
      <c r="G735" s="6">
        <f t="shared" si="34"/>
        <v>96.04</v>
      </c>
      <c r="H735" s="5" t="s">
        <v>77</v>
      </c>
      <c r="I735" s="5" t="s">
        <v>62</v>
      </c>
      <c r="J735" s="5">
        <v>0.05</v>
      </c>
      <c r="K735" s="5" t="s">
        <v>78</v>
      </c>
      <c r="L735" s="6">
        <v>91.238</v>
      </c>
      <c r="M735" s="5" t="s">
        <v>33</v>
      </c>
      <c r="N735" s="5" t="s">
        <v>56</v>
      </c>
      <c r="O735" s="5">
        <v>1</v>
      </c>
      <c r="P735" s="5" t="s">
        <v>1513</v>
      </c>
      <c r="Q735" s="5" t="s">
        <v>1514</v>
      </c>
      <c r="R735" s="5">
        <v>25.81</v>
      </c>
      <c r="S735" s="4">
        <v>45577</v>
      </c>
      <c r="T735" s="4">
        <v>45580</v>
      </c>
      <c r="U735" s="5">
        <f t="shared" si="35"/>
        <v>3</v>
      </c>
      <c r="V735" s="5" t="s">
        <v>76</v>
      </c>
      <c r="X735" s="5"/>
    </row>
    <row r="736" spans="1:24">
      <c r="A736" s="4">
        <v>45500</v>
      </c>
      <c r="B736" s="5" t="str">
        <f t="shared" si="33"/>
        <v>July</v>
      </c>
      <c r="C736" s="5" t="s">
        <v>19</v>
      </c>
      <c r="D736" s="5" t="s">
        <v>25</v>
      </c>
      <c r="E736" s="5">
        <v>1</v>
      </c>
      <c r="F736" s="5">
        <v>534.28</v>
      </c>
      <c r="G736" s="6">
        <f t="shared" si="34"/>
        <v>534.28</v>
      </c>
      <c r="H736" s="5" t="s">
        <v>81</v>
      </c>
      <c r="I736" s="5" t="s">
        <v>54</v>
      </c>
      <c r="J736" s="5">
        <v>0.1</v>
      </c>
      <c r="K736" s="5" t="s">
        <v>55</v>
      </c>
      <c r="L736" s="6">
        <v>480.852</v>
      </c>
      <c r="M736" s="5" t="s">
        <v>30</v>
      </c>
      <c r="N736" s="5" t="s">
        <v>56</v>
      </c>
      <c r="O736" s="5">
        <v>0</v>
      </c>
      <c r="P736" s="5" t="s">
        <v>1515</v>
      </c>
      <c r="Q736" s="5" t="s">
        <v>1516</v>
      </c>
      <c r="R736" s="5">
        <v>31.3</v>
      </c>
      <c r="S736" s="4">
        <v>45500</v>
      </c>
      <c r="T736" s="4">
        <v>45505</v>
      </c>
      <c r="U736" s="5">
        <f t="shared" si="35"/>
        <v>5</v>
      </c>
      <c r="V736" s="5" t="s">
        <v>76</v>
      </c>
      <c r="X736" s="5"/>
    </row>
    <row r="737" spans="1:24">
      <c r="A737" s="4">
        <v>45667</v>
      </c>
      <c r="B737" s="5" t="str">
        <f t="shared" si="33"/>
        <v>January</v>
      </c>
      <c r="C737" s="5" t="s">
        <v>20</v>
      </c>
      <c r="D737" s="5" t="s">
        <v>101</v>
      </c>
      <c r="E737" s="5">
        <v>3</v>
      </c>
      <c r="F737" s="5">
        <v>98.15</v>
      </c>
      <c r="G737" s="6">
        <f t="shared" si="34"/>
        <v>294.45</v>
      </c>
      <c r="H737" s="5" t="s">
        <v>81</v>
      </c>
      <c r="I737" s="5" t="s">
        <v>54</v>
      </c>
      <c r="J737" s="5">
        <v>0.15</v>
      </c>
      <c r="K737" s="5" t="s">
        <v>82</v>
      </c>
      <c r="L737" s="6">
        <v>250.2825</v>
      </c>
      <c r="M737" s="5" t="s">
        <v>33</v>
      </c>
      <c r="N737" s="5" t="s">
        <v>64</v>
      </c>
      <c r="O737" s="5">
        <v>0</v>
      </c>
      <c r="P737" s="5" t="s">
        <v>1517</v>
      </c>
      <c r="Q737" s="5" t="s">
        <v>1518</v>
      </c>
      <c r="R737" s="5">
        <v>46.37</v>
      </c>
      <c r="S737" s="4">
        <v>45667</v>
      </c>
      <c r="T737" s="4">
        <v>45675</v>
      </c>
      <c r="U737" s="5">
        <f t="shared" si="35"/>
        <v>8</v>
      </c>
      <c r="V737" s="5" t="s">
        <v>94</v>
      </c>
      <c r="X737" s="5"/>
    </row>
    <row r="738" spans="1:24">
      <c r="A738" s="4">
        <v>45498</v>
      </c>
      <c r="B738" s="5" t="str">
        <f t="shared" si="33"/>
        <v>July</v>
      </c>
      <c r="C738" s="5" t="s">
        <v>17</v>
      </c>
      <c r="D738" s="5" t="s">
        <v>25</v>
      </c>
      <c r="E738" s="5">
        <v>12</v>
      </c>
      <c r="F738" s="5">
        <v>61.85</v>
      </c>
      <c r="G738" s="6">
        <f t="shared" si="34"/>
        <v>742.2</v>
      </c>
      <c r="H738" s="5" t="s">
        <v>81</v>
      </c>
      <c r="I738" s="5" t="s">
        <v>54</v>
      </c>
      <c r="J738" s="5">
        <v>0.05</v>
      </c>
      <c r="K738" s="5" t="s">
        <v>63</v>
      </c>
      <c r="L738" s="6">
        <v>705.09</v>
      </c>
      <c r="M738" s="5" t="s">
        <v>32</v>
      </c>
      <c r="N738" s="5"/>
      <c r="O738" s="5">
        <v>1</v>
      </c>
      <c r="P738" s="5" t="s">
        <v>1519</v>
      </c>
      <c r="Q738" s="5" t="s">
        <v>1520</v>
      </c>
      <c r="R738" s="5">
        <v>24.34</v>
      </c>
      <c r="S738" s="4">
        <v>45498</v>
      </c>
      <c r="T738" s="4">
        <v>45504</v>
      </c>
      <c r="U738" s="5">
        <f t="shared" si="35"/>
        <v>6</v>
      </c>
      <c r="V738" s="5" t="s">
        <v>67</v>
      </c>
      <c r="X738" s="5"/>
    </row>
    <row r="739" spans="1:24">
      <c r="A739" s="4">
        <v>45434</v>
      </c>
      <c r="B739" s="5" t="str">
        <f t="shared" si="33"/>
        <v>May</v>
      </c>
      <c r="C739" s="5" t="s">
        <v>20</v>
      </c>
      <c r="D739" s="5" t="s">
        <v>101</v>
      </c>
      <c r="E739" s="5">
        <v>6</v>
      </c>
      <c r="F739" s="5">
        <v>268.34</v>
      </c>
      <c r="G739" s="6">
        <f t="shared" si="34"/>
        <v>1610.04</v>
      </c>
      <c r="H739" s="5" t="s">
        <v>61</v>
      </c>
      <c r="I739" s="5" t="s">
        <v>54</v>
      </c>
      <c r="J739" s="5">
        <v>0.1</v>
      </c>
      <c r="K739" s="5" t="s">
        <v>82</v>
      </c>
      <c r="L739" s="6">
        <v>1449.036</v>
      </c>
      <c r="M739" s="5" t="s">
        <v>33</v>
      </c>
      <c r="N739" s="5" t="s">
        <v>69</v>
      </c>
      <c r="O739" s="5">
        <v>1</v>
      </c>
      <c r="P739" s="5" t="s">
        <v>1521</v>
      </c>
      <c r="Q739" s="5" t="s">
        <v>1522</v>
      </c>
      <c r="R739" s="5">
        <v>35.69</v>
      </c>
      <c r="S739" s="4">
        <v>45434</v>
      </c>
      <c r="T739" s="4">
        <v>45437</v>
      </c>
      <c r="U739" s="5">
        <f t="shared" si="35"/>
        <v>3</v>
      </c>
      <c r="V739" s="5" t="s">
        <v>94</v>
      </c>
      <c r="X739" s="5"/>
    </row>
    <row r="740" spans="1:24">
      <c r="A740" s="4">
        <v>45514</v>
      </c>
      <c r="B740" s="5" t="str">
        <f t="shared" si="33"/>
        <v>August</v>
      </c>
      <c r="C740" s="5" t="s">
        <v>19</v>
      </c>
      <c r="D740" s="5" t="s">
        <v>24</v>
      </c>
      <c r="E740" s="5">
        <v>4</v>
      </c>
      <c r="F740" s="5">
        <v>529.03</v>
      </c>
      <c r="G740" s="6">
        <f t="shared" si="34"/>
        <v>2116.12</v>
      </c>
      <c r="H740" s="5" t="s">
        <v>53</v>
      </c>
      <c r="I740" s="5" t="s">
        <v>54</v>
      </c>
      <c r="J740" s="5">
        <v>0.05</v>
      </c>
      <c r="K740" s="5" t="s">
        <v>78</v>
      </c>
      <c r="L740" s="6">
        <v>2010.314</v>
      </c>
      <c r="M740" s="5" t="s">
        <v>30</v>
      </c>
      <c r="N740" s="5" t="s">
        <v>64</v>
      </c>
      <c r="O740" s="5">
        <v>0</v>
      </c>
      <c r="P740" s="5" t="s">
        <v>1523</v>
      </c>
      <c r="Q740" s="5" t="s">
        <v>1524</v>
      </c>
      <c r="R740" s="5">
        <v>25.96</v>
      </c>
      <c r="S740" s="4">
        <v>45514</v>
      </c>
      <c r="T740" s="4">
        <v>45524</v>
      </c>
      <c r="U740" s="5">
        <f t="shared" si="35"/>
        <v>10</v>
      </c>
      <c r="V740" s="5" t="s">
        <v>76</v>
      </c>
      <c r="X740" s="5"/>
    </row>
    <row r="741" spans="1:24">
      <c r="A741" s="4">
        <v>45043</v>
      </c>
      <c r="B741" s="5" t="str">
        <f t="shared" si="33"/>
        <v>April</v>
      </c>
      <c r="C741" s="5" t="s">
        <v>20</v>
      </c>
      <c r="D741" s="5" t="s">
        <v>101</v>
      </c>
      <c r="E741" s="5">
        <v>2</v>
      </c>
      <c r="F741" s="5">
        <v>107.32</v>
      </c>
      <c r="G741" s="6">
        <f t="shared" si="34"/>
        <v>214.64</v>
      </c>
      <c r="H741" s="5" t="s">
        <v>53</v>
      </c>
      <c r="I741" s="5" t="s">
        <v>62</v>
      </c>
      <c r="J741" s="5">
        <v>0.05</v>
      </c>
      <c r="K741" s="5" t="s">
        <v>63</v>
      </c>
      <c r="L741" s="6">
        <v>203.908</v>
      </c>
      <c r="M741" s="5" t="s">
        <v>32</v>
      </c>
      <c r="N741" s="5"/>
      <c r="O741" s="5">
        <v>0</v>
      </c>
      <c r="P741" s="5" t="s">
        <v>1525</v>
      </c>
      <c r="Q741" s="5" t="s">
        <v>1526</v>
      </c>
      <c r="R741" s="5">
        <v>47.33</v>
      </c>
      <c r="S741" s="4">
        <v>45043</v>
      </c>
      <c r="T741" s="4">
        <v>45045</v>
      </c>
      <c r="U741" s="5">
        <f t="shared" si="35"/>
        <v>2</v>
      </c>
      <c r="V741" s="5" t="s">
        <v>94</v>
      </c>
      <c r="X741" s="5"/>
    </row>
    <row r="742" spans="1:24">
      <c r="A742" s="4">
        <v>45098</v>
      </c>
      <c r="B742" s="5" t="str">
        <f t="shared" si="33"/>
        <v>June</v>
      </c>
      <c r="C742" s="5" t="s">
        <v>17</v>
      </c>
      <c r="D742" s="5" t="s">
        <v>101</v>
      </c>
      <c r="E742" s="5">
        <v>1</v>
      </c>
      <c r="F742" s="5">
        <v>500.96</v>
      </c>
      <c r="G742" s="6">
        <f t="shared" si="34"/>
        <v>500.96</v>
      </c>
      <c r="H742" s="5" t="s">
        <v>77</v>
      </c>
      <c r="I742" s="5" t="s">
        <v>54</v>
      </c>
      <c r="J742" s="5">
        <v>0.05</v>
      </c>
      <c r="K742" s="5" t="s">
        <v>73</v>
      </c>
      <c r="L742" s="6">
        <v>475.912</v>
      </c>
      <c r="M742" s="5" t="s">
        <v>30</v>
      </c>
      <c r="N742" s="5" t="s">
        <v>69</v>
      </c>
      <c r="O742" s="5">
        <v>0</v>
      </c>
      <c r="P742" s="5" t="s">
        <v>1527</v>
      </c>
      <c r="Q742" s="5" t="s">
        <v>764</v>
      </c>
      <c r="R742" s="5">
        <v>42.1</v>
      </c>
      <c r="S742" s="4">
        <v>45098</v>
      </c>
      <c r="T742" s="4">
        <v>45102</v>
      </c>
      <c r="U742" s="5">
        <f t="shared" si="35"/>
        <v>4</v>
      </c>
      <c r="V742" s="5" t="s">
        <v>67</v>
      </c>
      <c r="X742" s="5"/>
    </row>
    <row r="743" spans="1:24">
      <c r="A743" s="4">
        <v>45576</v>
      </c>
      <c r="B743" s="5" t="str">
        <f t="shared" si="33"/>
        <v>October</v>
      </c>
      <c r="C743" s="5" t="s">
        <v>20</v>
      </c>
      <c r="D743" s="5" t="s">
        <v>27</v>
      </c>
      <c r="E743" s="5">
        <v>17</v>
      </c>
      <c r="F743" s="5">
        <v>549.78</v>
      </c>
      <c r="G743" s="6">
        <f t="shared" si="34"/>
        <v>9346.26</v>
      </c>
      <c r="H743" s="5" t="s">
        <v>53</v>
      </c>
      <c r="I743" s="5" t="s">
        <v>54</v>
      </c>
      <c r="J743" s="5">
        <v>0.05</v>
      </c>
      <c r="K743" s="5" t="s">
        <v>63</v>
      </c>
      <c r="L743" s="6">
        <v>8878.947</v>
      </c>
      <c r="M743" s="5" t="s">
        <v>32</v>
      </c>
      <c r="N743" s="5"/>
      <c r="O743" s="5">
        <v>1</v>
      </c>
      <c r="P743" s="5" t="s">
        <v>1528</v>
      </c>
      <c r="Q743" s="5" t="s">
        <v>1529</v>
      </c>
      <c r="R743" s="5">
        <v>44.42</v>
      </c>
      <c r="S743" s="4">
        <v>45576</v>
      </c>
      <c r="T743" s="4">
        <v>45579</v>
      </c>
      <c r="U743" s="5">
        <f t="shared" si="35"/>
        <v>3</v>
      </c>
      <c r="V743" s="5" t="s">
        <v>94</v>
      </c>
      <c r="X743" s="5"/>
    </row>
    <row r="744" spans="1:24">
      <c r="A744" s="4">
        <v>45683</v>
      </c>
      <c r="B744" s="5" t="str">
        <f t="shared" si="33"/>
        <v>January</v>
      </c>
      <c r="C744" s="5" t="s">
        <v>18</v>
      </c>
      <c r="D744" s="5" t="s">
        <v>22</v>
      </c>
      <c r="E744" s="5">
        <v>3</v>
      </c>
      <c r="F744" s="5">
        <v>58.51</v>
      </c>
      <c r="G744" s="6">
        <f t="shared" si="34"/>
        <v>175.53</v>
      </c>
      <c r="H744" s="5" t="s">
        <v>61</v>
      </c>
      <c r="I744" s="5" t="s">
        <v>62</v>
      </c>
      <c r="J744" s="5">
        <v>0.05</v>
      </c>
      <c r="K744" s="5" t="s">
        <v>78</v>
      </c>
      <c r="L744" s="6">
        <v>166.7535</v>
      </c>
      <c r="M744" s="5" t="s">
        <v>34</v>
      </c>
      <c r="N744" s="5" t="s">
        <v>69</v>
      </c>
      <c r="O744" s="5">
        <v>0</v>
      </c>
      <c r="P744" s="5" t="s">
        <v>1530</v>
      </c>
      <c r="Q744" s="5" t="s">
        <v>1531</v>
      </c>
      <c r="R744" s="5">
        <v>23.57</v>
      </c>
      <c r="S744" s="4">
        <v>45683</v>
      </c>
      <c r="T744" s="4">
        <v>45687</v>
      </c>
      <c r="U744" s="5">
        <f t="shared" si="35"/>
        <v>4</v>
      </c>
      <c r="V744" s="5" t="s">
        <v>72</v>
      </c>
      <c r="X744" s="5"/>
    </row>
    <row r="745" spans="1:24">
      <c r="A745" s="4">
        <v>45461</v>
      </c>
      <c r="B745" s="5" t="str">
        <f t="shared" si="33"/>
        <v>June</v>
      </c>
      <c r="C745" s="5" t="s">
        <v>17</v>
      </c>
      <c r="D745" s="5" t="s">
        <v>25</v>
      </c>
      <c r="E745" s="5">
        <v>17</v>
      </c>
      <c r="F745" s="5">
        <v>504.08</v>
      </c>
      <c r="G745" s="6">
        <f t="shared" si="34"/>
        <v>8569.36</v>
      </c>
      <c r="H745" s="5" t="s">
        <v>61</v>
      </c>
      <c r="I745" s="5" t="s">
        <v>54</v>
      </c>
      <c r="J745" s="5">
        <v>0.1</v>
      </c>
      <c r="K745" s="5" t="s">
        <v>82</v>
      </c>
      <c r="L745" s="6">
        <v>7712.424</v>
      </c>
      <c r="M745" s="5" t="s">
        <v>30</v>
      </c>
      <c r="N745" s="5" t="s">
        <v>64</v>
      </c>
      <c r="O745" s="5">
        <v>0</v>
      </c>
      <c r="P745" s="5" t="s">
        <v>1532</v>
      </c>
      <c r="Q745" s="5" t="s">
        <v>1533</v>
      </c>
      <c r="R745" s="5">
        <v>26.47</v>
      </c>
      <c r="S745" s="4">
        <v>45461</v>
      </c>
      <c r="T745" s="4">
        <v>45469</v>
      </c>
      <c r="U745" s="5">
        <f t="shared" si="35"/>
        <v>8</v>
      </c>
      <c r="V745" s="5" t="s">
        <v>67</v>
      </c>
      <c r="X745" s="5"/>
    </row>
    <row r="746" spans="1:24">
      <c r="A746" s="4">
        <v>45826</v>
      </c>
      <c r="B746" s="5" t="str">
        <f t="shared" si="33"/>
        <v>June</v>
      </c>
      <c r="C746" s="5" t="s">
        <v>16</v>
      </c>
      <c r="D746" s="5" t="s">
        <v>26</v>
      </c>
      <c r="E746" s="5">
        <v>17</v>
      </c>
      <c r="F746" s="5">
        <v>419.63</v>
      </c>
      <c r="G746" s="6">
        <f t="shared" si="34"/>
        <v>7133.71</v>
      </c>
      <c r="H746" s="5" t="s">
        <v>81</v>
      </c>
      <c r="I746" s="5" t="s">
        <v>54</v>
      </c>
      <c r="J746" s="5">
        <v>0</v>
      </c>
      <c r="K746" s="5" t="s">
        <v>63</v>
      </c>
      <c r="L746" s="6">
        <v>7133.71</v>
      </c>
      <c r="M746" s="5" t="s">
        <v>34</v>
      </c>
      <c r="N746" s="5" t="s">
        <v>64</v>
      </c>
      <c r="O746" s="5">
        <v>0</v>
      </c>
      <c r="P746" s="5" t="s">
        <v>1534</v>
      </c>
      <c r="Q746" s="5" t="s">
        <v>1535</v>
      </c>
      <c r="R746" s="5">
        <v>17.4</v>
      </c>
      <c r="S746" s="4">
        <v>45826</v>
      </c>
      <c r="T746" s="4">
        <v>45832</v>
      </c>
      <c r="U746" s="5">
        <f t="shared" si="35"/>
        <v>6</v>
      </c>
      <c r="V746" s="5" t="s">
        <v>59</v>
      </c>
      <c r="X746" s="5"/>
    </row>
    <row r="747" spans="1:24">
      <c r="A747" s="4">
        <v>45594</v>
      </c>
      <c r="B747" s="5" t="str">
        <f t="shared" si="33"/>
        <v>October</v>
      </c>
      <c r="C747" s="5" t="s">
        <v>17</v>
      </c>
      <c r="D747" s="5" t="s">
        <v>22</v>
      </c>
      <c r="E747" s="5">
        <v>2</v>
      </c>
      <c r="F747" s="5">
        <v>267.36</v>
      </c>
      <c r="G747" s="6">
        <f t="shared" si="34"/>
        <v>534.72</v>
      </c>
      <c r="H747" s="5" t="s">
        <v>53</v>
      </c>
      <c r="I747" s="5" t="s">
        <v>54</v>
      </c>
      <c r="J747" s="5">
        <v>0.05</v>
      </c>
      <c r="K747" s="5" t="s">
        <v>73</v>
      </c>
      <c r="L747" s="6">
        <v>507.984</v>
      </c>
      <c r="M747" s="5" t="s">
        <v>30</v>
      </c>
      <c r="N747" s="5"/>
      <c r="O747" s="5">
        <v>0</v>
      </c>
      <c r="P747" s="5" t="s">
        <v>1536</v>
      </c>
      <c r="Q747" s="5" t="s">
        <v>1537</v>
      </c>
      <c r="R747" s="5">
        <v>21.36</v>
      </c>
      <c r="S747" s="4">
        <v>45594</v>
      </c>
      <c r="T747" s="4">
        <v>45603</v>
      </c>
      <c r="U747" s="5">
        <f t="shared" si="35"/>
        <v>9</v>
      </c>
      <c r="V747" s="5" t="s">
        <v>67</v>
      </c>
      <c r="X747" s="5"/>
    </row>
    <row r="748" spans="1:24">
      <c r="A748" s="4">
        <v>45755</v>
      </c>
      <c r="B748" s="5" t="str">
        <f t="shared" si="33"/>
        <v>April</v>
      </c>
      <c r="C748" s="5" t="s">
        <v>19</v>
      </c>
      <c r="D748" s="5" t="s">
        <v>23</v>
      </c>
      <c r="E748" s="5">
        <v>2</v>
      </c>
      <c r="F748" s="5">
        <v>298.06</v>
      </c>
      <c r="G748" s="6">
        <f t="shared" si="34"/>
        <v>596.12</v>
      </c>
      <c r="H748" s="5" t="s">
        <v>53</v>
      </c>
      <c r="I748" s="5" t="s">
        <v>54</v>
      </c>
      <c r="J748" s="5">
        <v>0</v>
      </c>
      <c r="K748" s="5" t="s">
        <v>63</v>
      </c>
      <c r="L748" s="6">
        <v>596.12</v>
      </c>
      <c r="M748" s="5" t="s">
        <v>33</v>
      </c>
      <c r="N748" s="5" t="s">
        <v>64</v>
      </c>
      <c r="O748" s="5">
        <v>1</v>
      </c>
      <c r="P748" s="5" t="s">
        <v>1538</v>
      </c>
      <c r="Q748" s="5" t="s">
        <v>1539</v>
      </c>
      <c r="R748" s="5">
        <v>35.37</v>
      </c>
      <c r="S748" s="4">
        <v>45755</v>
      </c>
      <c r="T748" s="4">
        <v>45761</v>
      </c>
      <c r="U748" s="5">
        <f t="shared" si="35"/>
        <v>6</v>
      </c>
      <c r="V748" s="5" t="s">
        <v>76</v>
      </c>
      <c r="X748" s="5"/>
    </row>
    <row r="749" spans="1:24">
      <c r="A749" s="4">
        <v>44957</v>
      </c>
      <c r="B749" s="5" t="str">
        <f t="shared" si="33"/>
        <v>January</v>
      </c>
      <c r="C749" s="5" t="s">
        <v>19</v>
      </c>
      <c r="D749" s="5" t="s">
        <v>101</v>
      </c>
      <c r="E749" s="5">
        <v>13</v>
      </c>
      <c r="F749" s="5">
        <v>132.97</v>
      </c>
      <c r="G749" s="6">
        <f t="shared" si="34"/>
        <v>1728.61</v>
      </c>
      <c r="H749" s="5" t="s">
        <v>53</v>
      </c>
      <c r="I749" s="5" t="s">
        <v>54</v>
      </c>
      <c r="J749" s="5">
        <v>0.05</v>
      </c>
      <c r="K749" s="5" t="s">
        <v>73</v>
      </c>
      <c r="L749" s="6">
        <v>1642.1795</v>
      </c>
      <c r="M749" s="5" t="s">
        <v>33</v>
      </c>
      <c r="N749" s="5" t="s">
        <v>69</v>
      </c>
      <c r="O749" s="5">
        <v>0</v>
      </c>
      <c r="P749" s="5" t="s">
        <v>1540</v>
      </c>
      <c r="Q749" s="5" t="s">
        <v>1541</v>
      </c>
      <c r="R749" s="5">
        <v>42.87</v>
      </c>
      <c r="S749" s="4">
        <v>44957</v>
      </c>
      <c r="T749" s="4">
        <v>44962</v>
      </c>
      <c r="U749" s="5">
        <f t="shared" si="35"/>
        <v>5</v>
      </c>
      <c r="V749" s="5" t="s">
        <v>76</v>
      </c>
      <c r="X749" s="5"/>
    </row>
    <row r="750" spans="1:24">
      <c r="A750" s="4">
        <v>45366</v>
      </c>
      <c r="B750" s="5" t="str">
        <f t="shared" si="33"/>
        <v>March</v>
      </c>
      <c r="C750" s="5" t="s">
        <v>20</v>
      </c>
      <c r="D750" s="5" t="s">
        <v>25</v>
      </c>
      <c r="E750" s="5">
        <v>14</v>
      </c>
      <c r="F750" s="5">
        <v>476.28</v>
      </c>
      <c r="G750" s="6">
        <f t="shared" si="34"/>
        <v>6667.92</v>
      </c>
      <c r="H750" s="5" t="s">
        <v>61</v>
      </c>
      <c r="I750" s="5" t="s">
        <v>54</v>
      </c>
      <c r="J750" s="5">
        <v>0.1</v>
      </c>
      <c r="K750" s="5" t="s">
        <v>55</v>
      </c>
      <c r="L750" s="6">
        <v>6001.128</v>
      </c>
      <c r="M750" s="5" t="s">
        <v>32</v>
      </c>
      <c r="N750" s="5" t="s">
        <v>56</v>
      </c>
      <c r="O750" s="5">
        <v>0</v>
      </c>
      <c r="P750" s="5" t="s">
        <v>1542</v>
      </c>
      <c r="Q750" s="5" t="s">
        <v>1543</v>
      </c>
      <c r="R750" s="5">
        <v>22.11</v>
      </c>
      <c r="S750" s="4">
        <v>45366</v>
      </c>
      <c r="T750" s="4">
        <v>45371</v>
      </c>
      <c r="U750" s="5">
        <f t="shared" si="35"/>
        <v>5</v>
      </c>
      <c r="V750" s="5" t="s">
        <v>94</v>
      </c>
      <c r="X750" s="5"/>
    </row>
    <row r="751" spans="1:24">
      <c r="A751" s="4">
        <v>45100</v>
      </c>
      <c r="B751" s="5" t="str">
        <f t="shared" si="33"/>
        <v>June</v>
      </c>
      <c r="C751" s="5" t="s">
        <v>18</v>
      </c>
      <c r="D751" s="5" t="s">
        <v>101</v>
      </c>
      <c r="E751" s="5">
        <v>16</v>
      </c>
      <c r="F751" s="5">
        <v>294.88</v>
      </c>
      <c r="G751" s="6">
        <f t="shared" si="34"/>
        <v>4718.08</v>
      </c>
      <c r="H751" s="5" t="s">
        <v>53</v>
      </c>
      <c r="I751" s="5" t="s">
        <v>62</v>
      </c>
      <c r="J751" s="5">
        <v>0.05</v>
      </c>
      <c r="K751" s="5" t="s">
        <v>73</v>
      </c>
      <c r="L751" s="6">
        <v>4482.176</v>
      </c>
      <c r="M751" s="5" t="s">
        <v>34</v>
      </c>
      <c r="N751" s="5"/>
      <c r="O751" s="5">
        <v>1</v>
      </c>
      <c r="P751" s="5" t="s">
        <v>1544</v>
      </c>
      <c r="Q751" s="5" t="s">
        <v>1175</v>
      </c>
      <c r="R751" s="5">
        <v>17.19</v>
      </c>
      <c r="S751" s="4">
        <v>45100</v>
      </c>
      <c r="T751" s="4">
        <v>45104</v>
      </c>
      <c r="U751" s="5">
        <f t="shared" si="35"/>
        <v>4</v>
      </c>
      <c r="V751" s="5" t="s">
        <v>72</v>
      </c>
      <c r="X751" s="5"/>
    </row>
    <row r="752" spans="1:24">
      <c r="A752" s="4">
        <v>45457</v>
      </c>
      <c r="B752" s="5" t="str">
        <f t="shared" si="33"/>
        <v>June</v>
      </c>
      <c r="C752" s="5" t="s">
        <v>18</v>
      </c>
      <c r="D752" s="5" t="s">
        <v>26</v>
      </c>
      <c r="E752" s="5">
        <v>19</v>
      </c>
      <c r="F752" s="5">
        <v>596.03</v>
      </c>
      <c r="G752" s="6">
        <f t="shared" si="34"/>
        <v>11324.57</v>
      </c>
      <c r="H752" s="5" t="s">
        <v>77</v>
      </c>
      <c r="I752" s="5" t="s">
        <v>62</v>
      </c>
      <c r="J752" s="5">
        <v>0.15</v>
      </c>
      <c r="K752" s="5" t="s">
        <v>55</v>
      </c>
      <c r="L752" s="6">
        <v>9625.8845</v>
      </c>
      <c r="M752" s="5" t="s">
        <v>33</v>
      </c>
      <c r="N752" s="5"/>
      <c r="O752" s="5">
        <v>0</v>
      </c>
      <c r="P752" s="5" t="s">
        <v>1545</v>
      </c>
      <c r="Q752" s="5" t="s">
        <v>1546</v>
      </c>
      <c r="R752" s="5">
        <v>31.95</v>
      </c>
      <c r="S752" s="4">
        <v>45457</v>
      </c>
      <c r="T752" s="4">
        <v>45466</v>
      </c>
      <c r="U752" s="5">
        <f t="shared" si="35"/>
        <v>9</v>
      </c>
      <c r="V752" s="5" t="s">
        <v>72</v>
      </c>
      <c r="X752" s="5"/>
    </row>
    <row r="753" spans="1:24">
      <c r="A753" s="4">
        <v>45260</v>
      </c>
      <c r="B753" s="5" t="str">
        <f t="shared" si="33"/>
        <v>November</v>
      </c>
      <c r="C753" s="5" t="s">
        <v>20</v>
      </c>
      <c r="D753" s="5" t="s">
        <v>24</v>
      </c>
      <c r="E753" s="5">
        <v>6</v>
      </c>
      <c r="F753" s="5">
        <v>182.4</v>
      </c>
      <c r="G753" s="6">
        <f t="shared" si="34"/>
        <v>1094.4</v>
      </c>
      <c r="H753" s="5" t="s">
        <v>53</v>
      </c>
      <c r="I753" s="5" t="s">
        <v>54</v>
      </c>
      <c r="J753" s="5">
        <v>0</v>
      </c>
      <c r="K753" s="5" t="s">
        <v>63</v>
      </c>
      <c r="L753" s="6">
        <v>1094.4</v>
      </c>
      <c r="M753" s="5" t="s">
        <v>30</v>
      </c>
      <c r="N753" s="5" t="s">
        <v>56</v>
      </c>
      <c r="O753" s="5">
        <v>1</v>
      </c>
      <c r="P753" s="5" t="s">
        <v>1547</v>
      </c>
      <c r="Q753" s="5" t="s">
        <v>1548</v>
      </c>
      <c r="R753" s="5">
        <v>49.49</v>
      </c>
      <c r="S753" s="4">
        <v>45260</v>
      </c>
      <c r="T753" s="4">
        <v>45269</v>
      </c>
      <c r="U753" s="5">
        <f t="shared" si="35"/>
        <v>9</v>
      </c>
      <c r="V753" s="5" t="s">
        <v>94</v>
      </c>
      <c r="X753" s="5"/>
    </row>
    <row r="754" spans="1:24">
      <c r="A754" s="4">
        <v>45403</v>
      </c>
      <c r="B754" s="5" t="str">
        <f t="shared" si="33"/>
        <v>April</v>
      </c>
      <c r="C754" s="5" t="s">
        <v>18</v>
      </c>
      <c r="D754" s="5" t="s">
        <v>22</v>
      </c>
      <c r="E754" s="5">
        <v>10</v>
      </c>
      <c r="F754" s="5">
        <v>400.95</v>
      </c>
      <c r="G754" s="6">
        <f t="shared" si="34"/>
        <v>4009.5</v>
      </c>
      <c r="H754" s="5" t="s">
        <v>77</v>
      </c>
      <c r="I754" s="5" t="s">
        <v>62</v>
      </c>
      <c r="J754" s="5">
        <v>0.05</v>
      </c>
      <c r="K754" s="5" t="s">
        <v>78</v>
      </c>
      <c r="L754" s="6">
        <v>3809.025</v>
      </c>
      <c r="M754" s="5" t="s">
        <v>30</v>
      </c>
      <c r="N754" s="5"/>
      <c r="O754" s="5">
        <v>0</v>
      </c>
      <c r="P754" s="5" t="s">
        <v>1549</v>
      </c>
      <c r="Q754" s="5" t="s">
        <v>1550</v>
      </c>
      <c r="R754" s="5">
        <v>17.46</v>
      </c>
      <c r="S754" s="4">
        <v>45403</v>
      </c>
      <c r="T754" s="4">
        <v>45412</v>
      </c>
      <c r="U754" s="5">
        <f t="shared" si="35"/>
        <v>9</v>
      </c>
      <c r="V754" s="5" t="s">
        <v>72</v>
      </c>
      <c r="X754" s="5"/>
    </row>
    <row r="755" spans="1:24">
      <c r="A755" s="4">
        <v>45144</v>
      </c>
      <c r="B755" s="5" t="str">
        <f t="shared" si="33"/>
        <v>August</v>
      </c>
      <c r="C755" s="5" t="s">
        <v>16</v>
      </c>
      <c r="D755" s="5" t="s">
        <v>24</v>
      </c>
      <c r="E755" s="5">
        <v>7</v>
      </c>
      <c r="F755" s="5">
        <v>373.66</v>
      </c>
      <c r="G755" s="6">
        <f t="shared" si="34"/>
        <v>2615.62</v>
      </c>
      <c r="H755" s="5" t="s">
        <v>53</v>
      </c>
      <c r="I755" s="5" t="s">
        <v>62</v>
      </c>
      <c r="J755" s="5">
        <v>0.05</v>
      </c>
      <c r="K755" s="5" t="s">
        <v>63</v>
      </c>
      <c r="L755" s="6">
        <v>2484.839</v>
      </c>
      <c r="M755" s="5" t="s">
        <v>31</v>
      </c>
      <c r="N755" s="5" t="s">
        <v>64</v>
      </c>
      <c r="O755" s="5">
        <v>0</v>
      </c>
      <c r="P755" s="5" t="s">
        <v>1551</v>
      </c>
      <c r="Q755" s="5" t="s">
        <v>1552</v>
      </c>
      <c r="R755" s="5">
        <v>46.33</v>
      </c>
      <c r="S755" s="4">
        <v>45144</v>
      </c>
      <c r="T755" s="4">
        <v>45150</v>
      </c>
      <c r="U755" s="5">
        <f t="shared" si="35"/>
        <v>6</v>
      </c>
      <c r="V755" s="5" t="s">
        <v>59</v>
      </c>
      <c r="X755" s="5"/>
    </row>
    <row r="756" spans="1:24">
      <c r="A756" s="4">
        <v>45464</v>
      </c>
      <c r="B756" s="5" t="str">
        <f t="shared" si="33"/>
        <v>June</v>
      </c>
      <c r="C756" s="5" t="s">
        <v>20</v>
      </c>
      <c r="D756" s="5" t="s">
        <v>24</v>
      </c>
      <c r="E756" s="5">
        <v>7</v>
      </c>
      <c r="F756" s="5">
        <v>355.66</v>
      </c>
      <c r="G756" s="6">
        <f t="shared" si="34"/>
        <v>2489.62</v>
      </c>
      <c r="H756" s="5" t="s">
        <v>77</v>
      </c>
      <c r="I756" s="5" t="s">
        <v>62</v>
      </c>
      <c r="J756" s="5">
        <v>0.15</v>
      </c>
      <c r="K756" s="5" t="s">
        <v>78</v>
      </c>
      <c r="L756" s="6">
        <v>2116.177</v>
      </c>
      <c r="M756" s="5" t="s">
        <v>31</v>
      </c>
      <c r="N756" s="5" t="s">
        <v>56</v>
      </c>
      <c r="O756" s="5">
        <v>1</v>
      </c>
      <c r="P756" s="5" t="s">
        <v>1553</v>
      </c>
      <c r="Q756" s="5" t="s">
        <v>1554</v>
      </c>
      <c r="R756" s="5">
        <v>28.77</v>
      </c>
      <c r="S756" s="4">
        <v>45464</v>
      </c>
      <c r="T756" s="4">
        <v>45470</v>
      </c>
      <c r="U756" s="5">
        <f t="shared" si="35"/>
        <v>6</v>
      </c>
      <c r="V756" s="5" t="s">
        <v>94</v>
      </c>
      <c r="X756" s="5"/>
    </row>
    <row r="757" spans="1:24">
      <c r="A757" s="4">
        <v>45732</v>
      </c>
      <c r="B757" s="5" t="str">
        <f t="shared" si="33"/>
        <v>March</v>
      </c>
      <c r="C757" s="5" t="s">
        <v>18</v>
      </c>
      <c r="D757" s="5" t="s">
        <v>101</v>
      </c>
      <c r="E757" s="5">
        <v>12</v>
      </c>
      <c r="F757" s="5">
        <v>260.31</v>
      </c>
      <c r="G757" s="6">
        <f t="shared" si="34"/>
        <v>3123.72</v>
      </c>
      <c r="H757" s="5" t="s">
        <v>77</v>
      </c>
      <c r="I757" s="5" t="s">
        <v>62</v>
      </c>
      <c r="J757" s="5">
        <v>0.1</v>
      </c>
      <c r="K757" s="5" t="s">
        <v>89</v>
      </c>
      <c r="L757" s="6">
        <v>2811.348</v>
      </c>
      <c r="M757" s="5" t="s">
        <v>34</v>
      </c>
      <c r="N757" s="5" t="s">
        <v>64</v>
      </c>
      <c r="O757" s="5">
        <v>0</v>
      </c>
      <c r="P757" s="5" t="s">
        <v>1555</v>
      </c>
      <c r="Q757" s="5" t="s">
        <v>1556</v>
      </c>
      <c r="R757" s="5">
        <v>14.58</v>
      </c>
      <c r="S757" s="4">
        <v>45732</v>
      </c>
      <c r="T757" s="4">
        <v>45740</v>
      </c>
      <c r="U757" s="5">
        <f t="shared" si="35"/>
        <v>8</v>
      </c>
      <c r="V757" s="5" t="s">
        <v>72</v>
      </c>
      <c r="X757" s="5"/>
    </row>
    <row r="758" spans="1:24">
      <c r="A758" s="4">
        <v>45402</v>
      </c>
      <c r="B758" s="5" t="str">
        <f t="shared" si="33"/>
        <v>April</v>
      </c>
      <c r="C758" s="5" t="s">
        <v>20</v>
      </c>
      <c r="D758" s="5" t="s">
        <v>101</v>
      </c>
      <c r="E758" s="5">
        <v>10</v>
      </c>
      <c r="F758" s="5">
        <v>370.99</v>
      </c>
      <c r="G758" s="6">
        <f t="shared" si="34"/>
        <v>3709.9</v>
      </c>
      <c r="H758" s="5" t="s">
        <v>53</v>
      </c>
      <c r="I758" s="5" t="s">
        <v>62</v>
      </c>
      <c r="J758" s="5">
        <v>0.15</v>
      </c>
      <c r="K758" s="5" t="s">
        <v>73</v>
      </c>
      <c r="L758" s="6">
        <v>3153.415</v>
      </c>
      <c r="M758" s="5" t="s">
        <v>30</v>
      </c>
      <c r="N758" s="5" t="s">
        <v>64</v>
      </c>
      <c r="O758" s="5">
        <v>1</v>
      </c>
      <c r="P758" s="5" t="s">
        <v>1557</v>
      </c>
      <c r="Q758" s="5" t="s">
        <v>1558</v>
      </c>
      <c r="R758" s="5">
        <v>11.16</v>
      </c>
      <c r="S758" s="4">
        <v>45402</v>
      </c>
      <c r="T758" s="4">
        <v>45407</v>
      </c>
      <c r="U758" s="5">
        <f t="shared" si="35"/>
        <v>5</v>
      </c>
      <c r="V758" s="5" t="s">
        <v>94</v>
      </c>
      <c r="X758" s="5"/>
    </row>
    <row r="759" spans="1:24">
      <c r="A759" s="4">
        <v>45646</v>
      </c>
      <c r="B759" s="5" t="str">
        <f t="shared" si="33"/>
        <v>December</v>
      </c>
      <c r="C759" s="5" t="s">
        <v>16</v>
      </c>
      <c r="D759" s="5" t="s">
        <v>22</v>
      </c>
      <c r="E759" s="5">
        <v>2</v>
      </c>
      <c r="F759" s="5">
        <v>548.72</v>
      </c>
      <c r="G759" s="6">
        <f t="shared" si="34"/>
        <v>1097.44</v>
      </c>
      <c r="H759" s="5" t="s">
        <v>61</v>
      </c>
      <c r="I759" s="5" t="s">
        <v>54</v>
      </c>
      <c r="J759" s="5">
        <v>0.1</v>
      </c>
      <c r="K759" s="5" t="s">
        <v>73</v>
      </c>
      <c r="L759" s="6">
        <v>987.696</v>
      </c>
      <c r="M759" s="5" t="s">
        <v>32</v>
      </c>
      <c r="N759" s="5" t="s">
        <v>56</v>
      </c>
      <c r="O759" s="5">
        <v>1</v>
      </c>
      <c r="P759" s="5" t="s">
        <v>1559</v>
      </c>
      <c r="Q759" s="5" t="s">
        <v>1560</v>
      </c>
      <c r="R759" s="5">
        <v>26.35</v>
      </c>
      <c r="S759" s="4">
        <v>45646</v>
      </c>
      <c r="T759" s="4">
        <v>45655</v>
      </c>
      <c r="U759" s="5">
        <f t="shared" si="35"/>
        <v>9</v>
      </c>
      <c r="V759" s="5" t="s">
        <v>59</v>
      </c>
      <c r="X759" s="5"/>
    </row>
    <row r="760" spans="1:24">
      <c r="A760" s="4">
        <v>45160</v>
      </c>
      <c r="B760" s="5" t="str">
        <f t="shared" si="33"/>
        <v>August</v>
      </c>
      <c r="C760" s="5" t="s">
        <v>18</v>
      </c>
      <c r="D760" s="5" t="s">
        <v>27</v>
      </c>
      <c r="E760" s="5">
        <v>8</v>
      </c>
      <c r="F760" s="5">
        <v>343.53</v>
      </c>
      <c r="G760" s="6">
        <f t="shared" si="34"/>
        <v>2748.24</v>
      </c>
      <c r="H760" s="5" t="s">
        <v>61</v>
      </c>
      <c r="I760" s="5" t="s">
        <v>54</v>
      </c>
      <c r="J760" s="5">
        <v>0</v>
      </c>
      <c r="K760" s="5" t="s">
        <v>73</v>
      </c>
      <c r="L760" s="6">
        <v>2748.24</v>
      </c>
      <c r="M760" s="5" t="s">
        <v>34</v>
      </c>
      <c r="N760" s="5"/>
      <c r="O760" s="5">
        <v>0</v>
      </c>
      <c r="P760" s="5" t="s">
        <v>1561</v>
      </c>
      <c r="Q760" s="5" t="s">
        <v>1562</v>
      </c>
      <c r="R760" s="5">
        <v>16.1</v>
      </c>
      <c r="S760" s="4">
        <v>45160</v>
      </c>
      <c r="T760" s="4">
        <v>45170</v>
      </c>
      <c r="U760" s="5">
        <f t="shared" si="35"/>
        <v>10</v>
      </c>
      <c r="V760" s="5" t="s">
        <v>72</v>
      </c>
      <c r="X760" s="5"/>
    </row>
    <row r="761" spans="1:24">
      <c r="A761" s="4">
        <v>44989</v>
      </c>
      <c r="B761" s="5" t="str">
        <f t="shared" si="33"/>
        <v>March</v>
      </c>
      <c r="C761" s="5" t="s">
        <v>18</v>
      </c>
      <c r="D761" s="5" t="s">
        <v>101</v>
      </c>
      <c r="E761" s="5">
        <v>13</v>
      </c>
      <c r="F761" s="5">
        <v>494.78</v>
      </c>
      <c r="G761" s="6">
        <f t="shared" si="34"/>
        <v>6432.14</v>
      </c>
      <c r="H761" s="5" t="s">
        <v>61</v>
      </c>
      <c r="I761" s="5" t="s">
        <v>54</v>
      </c>
      <c r="J761" s="5">
        <v>0.15</v>
      </c>
      <c r="K761" s="5" t="s">
        <v>82</v>
      </c>
      <c r="L761" s="6">
        <v>5467.319</v>
      </c>
      <c r="M761" s="5" t="s">
        <v>34</v>
      </c>
      <c r="N761" s="5" t="s">
        <v>56</v>
      </c>
      <c r="O761" s="5">
        <v>0</v>
      </c>
      <c r="P761" s="5" t="s">
        <v>1563</v>
      </c>
      <c r="Q761" s="5" t="s">
        <v>1564</v>
      </c>
      <c r="R761" s="5">
        <v>5.85</v>
      </c>
      <c r="S761" s="4">
        <v>44989</v>
      </c>
      <c r="T761" s="4">
        <v>44998</v>
      </c>
      <c r="U761" s="5">
        <f t="shared" si="35"/>
        <v>9</v>
      </c>
      <c r="V761" s="5" t="s">
        <v>72</v>
      </c>
      <c r="X761" s="5"/>
    </row>
    <row r="762" spans="1:24">
      <c r="A762" s="4">
        <v>45467</v>
      </c>
      <c r="B762" s="5" t="str">
        <f t="shared" si="33"/>
        <v>June</v>
      </c>
      <c r="C762" s="5" t="s">
        <v>18</v>
      </c>
      <c r="D762" s="5" t="s">
        <v>22</v>
      </c>
      <c r="E762" s="5">
        <v>9</v>
      </c>
      <c r="F762" s="5">
        <v>36.62</v>
      </c>
      <c r="G762" s="6">
        <f t="shared" si="34"/>
        <v>329.58</v>
      </c>
      <c r="H762" s="5" t="s">
        <v>53</v>
      </c>
      <c r="I762" s="5" t="s">
        <v>54</v>
      </c>
      <c r="J762" s="5">
        <v>0.1</v>
      </c>
      <c r="K762" s="5" t="s">
        <v>55</v>
      </c>
      <c r="L762" s="6">
        <v>296.622</v>
      </c>
      <c r="M762" s="5" t="s">
        <v>33</v>
      </c>
      <c r="N762" s="5" t="s">
        <v>56</v>
      </c>
      <c r="O762" s="5">
        <v>1</v>
      </c>
      <c r="P762" s="5" t="s">
        <v>1565</v>
      </c>
      <c r="Q762" s="5" t="s">
        <v>1566</v>
      </c>
      <c r="R762" s="5">
        <v>29.9</v>
      </c>
      <c r="S762" s="4">
        <v>45467</v>
      </c>
      <c r="T762" s="4">
        <v>45474</v>
      </c>
      <c r="U762" s="5">
        <f t="shared" si="35"/>
        <v>7</v>
      </c>
      <c r="V762" s="5" t="s">
        <v>72</v>
      </c>
      <c r="X762" s="5"/>
    </row>
    <row r="763" spans="1:24">
      <c r="A763" s="4">
        <v>45635</v>
      </c>
      <c r="B763" s="5" t="str">
        <f t="shared" si="33"/>
        <v>December</v>
      </c>
      <c r="C763" s="5" t="s">
        <v>16</v>
      </c>
      <c r="D763" s="5" t="s">
        <v>101</v>
      </c>
      <c r="E763" s="5">
        <v>14</v>
      </c>
      <c r="F763" s="5">
        <v>216.2</v>
      </c>
      <c r="G763" s="6">
        <f t="shared" si="34"/>
        <v>3026.8</v>
      </c>
      <c r="H763" s="5" t="s">
        <v>77</v>
      </c>
      <c r="I763" s="5" t="s">
        <v>54</v>
      </c>
      <c r="J763" s="5">
        <v>0</v>
      </c>
      <c r="K763" s="5" t="s">
        <v>82</v>
      </c>
      <c r="L763" s="6">
        <v>3026.8</v>
      </c>
      <c r="M763" s="5" t="s">
        <v>30</v>
      </c>
      <c r="N763" s="5" t="s">
        <v>69</v>
      </c>
      <c r="O763" s="5">
        <v>0</v>
      </c>
      <c r="P763" s="5" t="s">
        <v>1567</v>
      </c>
      <c r="Q763" s="5" t="s">
        <v>1568</v>
      </c>
      <c r="R763" s="5">
        <v>14.39</v>
      </c>
      <c r="S763" s="4">
        <v>45635</v>
      </c>
      <c r="T763" s="4">
        <v>45639</v>
      </c>
      <c r="U763" s="5">
        <f t="shared" si="35"/>
        <v>4</v>
      </c>
      <c r="V763" s="5" t="s">
        <v>59</v>
      </c>
      <c r="X763" s="5"/>
    </row>
    <row r="764" spans="1:24">
      <c r="A764" s="4">
        <v>45477</v>
      </c>
      <c r="B764" s="5" t="str">
        <f t="shared" si="33"/>
        <v>July</v>
      </c>
      <c r="C764" s="5" t="s">
        <v>20</v>
      </c>
      <c r="D764" s="5" t="s">
        <v>22</v>
      </c>
      <c r="E764" s="5">
        <v>11</v>
      </c>
      <c r="F764" s="5">
        <v>128.99</v>
      </c>
      <c r="G764" s="6">
        <f t="shared" si="34"/>
        <v>1418.89</v>
      </c>
      <c r="H764" s="5" t="s">
        <v>61</v>
      </c>
      <c r="I764" s="5" t="s">
        <v>62</v>
      </c>
      <c r="J764" s="5">
        <v>0.05</v>
      </c>
      <c r="K764" s="5" t="s">
        <v>82</v>
      </c>
      <c r="L764" s="6">
        <v>1347.9455</v>
      </c>
      <c r="M764" s="5" t="s">
        <v>33</v>
      </c>
      <c r="N764" s="5" t="s">
        <v>64</v>
      </c>
      <c r="O764" s="5">
        <v>0</v>
      </c>
      <c r="P764" s="5" t="s">
        <v>1569</v>
      </c>
      <c r="Q764" s="5" t="s">
        <v>785</v>
      </c>
      <c r="R764" s="5">
        <v>38.58</v>
      </c>
      <c r="S764" s="4">
        <v>45477</v>
      </c>
      <c r="T764" s="4">
        <v>45480</v>
      </c>
      <c r="U764" s="5">
        <f t="shared" si="35"/>
        <v>3</v>
      </c>
      <c r="V764" s="5" t="s">
        <v>94</v>
      </c>
      <c r="X764" s="5"/>
    </row>
    <row r="765" spans="1:24">
      <c r="A765" s="4">
        <v>45720</v>
      </c>
      <c r="B765" s="5" t="str">
        <f t="shared" si="33"/>
        <v>March</v>
      </c>
      <c r="C765" s="5" t="s">
        <v>16</v>
      </c>
      <c r="D765" s="5" t="s">
        <v>23</v>
      </c>
      <c r="E765" s="5">
        <v>11</v>
      </c>
      <c r="F765" s="5">
        <v>183.11</v>
      </c>
      <c r="G765" s="6">
        <f t="shared" si="34"/>
        <v>2014.21</v>
      </c>
      <c r="H765" s="5" t="s">
        <v>53</v>
      </c>
      <c r="I765" s="5" t="s">
        <v>62</v>
      </c>
      <c r="J765" s="5">
        <v>0.15</v>
      </c>
      <c r="K765" s="5" t="s">
        <v>73</v>
      </c>
      <c r="L765" s="6">
        <v>1712.0785</v>
      </c>
      <c r="M765" s="5" t="s">
        <v>31</v>
      </c>
      <c r="N765" s="5" t="s">
        <v>56</v>
      </c>
      <c r="O765" s="5">
        <v>0</v>
      </c>
      <c r="P765" s="5" t="s">
        <v>1570</v>
      </c>
      <c r="Q765" s="5" t="s">
        <v>1571</v>
      </c>
      <c r="R765" s="5">
        <v>41.83</v>
      </c>
      <c r="S765" s="4">
        <v>45720</v>
      </c>
      <c r="T765" s="4">
        <v>45722</v>
      </c>
      <c r="U765" s="5">
        <f t="shared" si="35"/>
        <v>2</v>
      </c>
      <c r="V765" s="5" t="s">
        <v>59</v>
      </c>
      <c r="X765" s="5"/>
    </row>
    <row r="766" spans="1:24">
      <c r="A766" s="4">
        <v>45313</v>
      </c>
      <c r="B766" s="5" t="str">
        <f t="shared" si="33"/>
        <v>January</v>
      </c>
      <c r="C766" s="5" t="s">
        <v>16</v>
      </c>
      <c r="D766" s="5" t="s">
        <v>27</v>
      </c>
      <c r="E766" s="5">
        <v>11</v>
      </c>
      <c r="F766" s="5">
        <v>277.95</v>
      </c>
      <c r="G766" s="6">
        <f t="shared" si="34"/>
        <v>3057.45</v>
      </c>
      <c r="H766" s="5" t="s">
        <v>61</v>
      </c>
      <c r="I766" s="5" t="s">
        <v>62</v>
      </c>
      <c r="J766" s="5">
        <v>0.05</v>
      </c>
      <c r="K766" s="5" t="s">
        <v>73</v>
      </c>
      <c r="L766" s="6">
        <v>2904.5775</v>
      </c>
      <c r="M766" s="5" t="s">
        <v>31</v>
      </c>
      <c r="N766" s="5" t="s">
        <v>69</v>
      </c>
      <c r="O766" s="5">
        <v>0</v>
      </c>
      <c r="P766" s="5" t="s">
        <v>1572</v>
      </c>
      <c r="Q766" s="5" t="s">
        <v>1573</v>
      </c>
      <c r="R766" s="5">
        <v>44.04</v>
      </c>
      <c r="S766" s="4">
        <v>45313</v>
      </c>
      <c r="T766" s="4">
        <v>45320</v>
      </c>
      <c r="U766" s="5">
        <f t="shared" si="35"/>
        <v>7</v>
      </c>
      <c r="V766" s="5" t="s">
        <v>59</v>
      </c>
      <c r="X766" s="5"/>
    </row>
    <row r="767" spans="1:24">
      <c r="A767" s="4">
        <v>45728</v>
      </c>
      <c r="B767" s="5" t="str">
        <f t="shared" si="33"/>
        <v>March</v>
      </c>
      <c r="C767" s="5" t="s">
        <v>16</v>
      </c>
      <c r="D767" s="5" t="s">
        <v>24</v>
      </c>
      <c r="E767" s="5">
        <v>14</v>
      </c>
      <c r="F767" s="5">
        <v>554.08</v>
      </c>
      <c r="G767" s="6">
        <f t="shared" si="34"/>
        <v>7757.12</v>
      </c>
      <c r="H767" s="5" t="s">
        <v>61</v>
      </c>
      <c r="I767" s="5" t="s">
        <v>62</v>
      </c>
      <c r="J767" s="5">
        <v>0.05</v>
      </c>
      <c r="K767" s="5" t="s">
        <v>82</v>
      </c>
      <c r="L767" s="6">
        <v>7369.264</v>
      </c>
      <c r="M767" s="5" t="s">
        <v>34</v>
      </c>
      <c r="N767" s="5"/>
      <c r="O767" s="5">
        <v>0</v>
      </c>
      <c r="P767" s="5" t="s">
        <v>1574</v>
      </c>
      <c r="Q767" s="5" t="s">
        <v>1575</v>
      </c>
      <c r="R767" s="5">
        <v>36.72</v>
      </c>
      <c r="S767" s="4">
        <v>45728</v>
      </c>
      <c r="T767" s="4">
        <v>45737</v>
      </c>
      <c r="U767" s="5">
        <f t="shared" si="35"/>
        <v>9</v>
      </c>
      <c r="V767" s="5" t="s">
        <v>59</v>
      </c>
      <c r="X767" s="5"/>
    </row>
    <row r="768" spans="1:24">
      <c r="A768" s="4">
        <v>45716</v>
      </c>
      <c r="B768" s="5" t="str">
        <f t="shared" si="33"/>
        <v>February</v>
      </c>
      <c r="C768" s="5" t="s">
        <v>19</v>
      </c>
      <c r="D768" s="5" t="s">
        <v>23</v>
      </c>
      <c r="E768" s="5">
        <v>15</v>
      </c>
      <c r="F768" s="5">
        <v>23.32</v>
      </c>
      <c r="G768" s="6">
        <f t="shared" si="34"/>
        <v>349.8</v>
      </c>
      <c r="H768" s="5" t="s">
        <v>61</v>
      </c>
      <c r="I768" s="5" t="s">
        <v>62</v>
      </c>
      <c r="J768" s="5">
        <v>0.05</v>
      </c>
      <c r="K768" s="5" t="s">
        <v>78</v>
      </c>
      <c r="L768" s="6">
        <v>332.31</v>
      </c>
      <c r="M768" s="5" t="s">
        <v>33</v>
      </c>
      <c r="N768" s="5"/>
      <c r="O768" s="5">
        <v>0</v>
      </c>
      <c r="P768" s="5" t="s">
        <v>1576</v>
      </c>
      <c r="Q768" s="5" t="s">
        <v>1577</v>
      </c>
      <c r="R768" s="5">
        <v>25.27</v>
      </c>
      <c r="S768" s="4">
        <v>45716</v>
      </c>
      <c r="T768" s="4">
        <v>45719</v>
      </c>
      <c r="U768" s="5">
        <f t="shared" si="35"/>
        <v>3</v>
      </c>
      <c r="V768" s="5" t="s">
        <v>76</v>
      </c>
      <c r="X768" s="5"/>
    </row>
    <row r="769" spans="1:24">
      <c r="A769" s="4">
        <v>45435</v>
      </c>
      <c r="B769" s="5" t="str">
        <f t="shared" si="33"/>
        <v>May</v>
      </c>
      <c r="C769" s="5" t="s">
        <v>16</v>
      </c>
      <c r="D769" s="5" t="s">
        <v>24</v>
      </c>
      <c r="E769" s="5">
        <v>4</v>
      </c>
      <c r="F769" s="5">
        <v>20.96</v>
      </c>
      <c r="G769" s="6">
        <f t="shared" si="34"/>
        <v>83.84</v>
      </c>
      <c r="H769" s="5" t="s">
        <v>81</v>
      </c>
      <c r="I769" s="5" t="s">
        <v>54</v>
      </c>
      <c r="J769" s="5">
        <v>0.05</v>
      </c>
      <c r="K769" s="5" t="s">
        <v>89</v>
      </c>
      <c r="L769" s="6">
        <v>79.648</v>
      </c>
      <c r="M769" s="5" t="s">
        <v>30</v>
      </c>
      <c r="N769" s="5" t="s">
        <v>56</v>
      </c>
      <c r="O769" s="5">
        <v>1</v>
      </c>
      <c r="P769" s="5" t="s">
        <v>1578</v>
      </c>
      <c r="Q769" s="5" t="s">
        <v>1579</v>
      </c>
      <c r="R769" s="5">
        <v>33.67</v>
      </c>
      <c r="S769" s="4">
        <v>45435</v>
      </c>
      <c r="T769" s="4">
        <v>45443</v>
      </c>
      <c r="U769" s="5">
        <f t="shared" si="35"/>
        <v>8</v>
      </c>
      <c r="V769" s="5" t="s">
        <v>59</v>
      </c>
      <c r="X769" s="5"/>
    </row>
    <row r="770" spans="1:24">
      <c r="A770" s="4">
        <v>45186</v>
      </c>
      <c r="B770" s="5" t="str">
        <f t="shared" si="33"/>
        <v>September</v>
      </c>
      <c r="C770" s="5" t="s">
        <v>18</v>
      </c>
      <c r="D770" s="5" t="s">
        <v>24</v>
      </c>
      <c r="E770" s="5">
        <v>18</v>
      </c>
      <c r="F770" s="5">
        <v>132.29</v>
      </c>
      <c r="G770" s="6">
        <f t="shared" si="34"/>
        <v>2381.22</v>
      </c>
      <c r="H770" s="5" t="s">
        <v>61</v>
      </c>
      <c r="I770" s="5" t="s">
        <v>54</v>
      </c>
      <c r="J770" s="5">
        <v>0.05</v>
      </c>
      <c r="K770" s="5" t="s">
        <v>82</v>
      </c>
      <c r="L770" s="6">
        <v>2262.159</v>
      </c>
      <c r="M770" s="5" t="s">
        <v>32</v>
      </c>
      <c r="N770" s="5"/>
      <c r="O770" s="5">
        <v>1</v>
      </c>
      <c r="P770" s="5" t="s">
        <v>1580</v>
      </c>
      <c r="Q770" s="5" t="s">
        <v>1581</v>
      </c>
      <c r="R770" s="5">
        <v>24.3</v>
      </c>
      <c r="S770" s="4">
        <v>45186</v>
      </c>
      <c r="T770" s="4">
        <v>45189</v>
      </c>
      <c r="U770" s="5">
        <f t="shared" si="35"/>
        <v>3</v>
      </c>
      <c r="V770" s="5" t="s">
        <v>72</v>
      </c>
      <c r="X770" s="5"/>
    </row>
    <row r="771" spans="1:24">
      <c r="A771" s="4">
        <v>45090</v>
      </c>
      <c r="B771" s="5" t="str">
        <f t="shared" ref="B771:B834" si="36">TEXT(A771,"mmmm")</f>
        <v>June</v>
      </c>
      <c r="C771" s="5" t="s">
        <v>16</v>
      </c>
      <c r="D771" s="5" t="s">
        <v>23</v>
      </c>
      <c r="E771" s="5">
        <v>19</v>
      </c>
      <c r="F771" s="5">
        <v>199.65</v>
      </c>
      <c r="G771" s="6">
        <f t="shared" ref="G771:G834" si="37">F771*E771</f>
        <v>3793.35</v>
      </c>
      <c r="H771" s="5" t="s">
        <v>61</v>
      </c>
      <c r="I771" s="5" t="s">
        <v>62</v>
      </c>
      <c r="J771" s="5">
        <v>0.1</v>
      </c>
      <c r="K771" s="5" t="s">
        <v>78</v>
      </c>
      <c r="L771" s="6">
        <v>3414.015</v>
      </c>
      <c r="M771" s="5" t="s">
        <v>34</v>
      </c>
      <c r="N771" s="5" t="s">
        <v>64</v>
      </c>
      <c r="O771" s="5">
        <v>1</v>
      </c>
      <c r="P771" s="5" t="s">
        <v>1582</v>
      </c>
      <c r="Q771" s="5" t="s">
        <v>1583</v>
      </c>
      <c r="R771" s="5">
        <v>35.12</v>
      </c>
      <c r="S771" s="4">
        <v>45090</v>
      </c>
      <c r="T771" s="4">
        <v>45095</v>
      </c>
      <c r="U771" s="5">
        <f t="shared" ref="U771:U834" si="38">T771-S771</f>
        <v>5</v>
      </c>
      <c r="V771" s="5" t="s">
        <v>59</v>
      </c>
      <c r="X771" s="5"/>
    </row>
    <row r="772" spans="1:24">
      <c r="A772" s="4">
        <v>45808</v>
      </c>
      <c r="B772" s="5" t="str">
        <f t="shared" si="36"/>
        <v>May</v>
      </c>
      <c r="C772" s="5" t="s">
        <v>20</v>
      </c>
      <c r="D772" s="5" t="s">
        <v>23</v>
      </c>
      <c r="E772" s="5">
        <v>16</v>
      </c>
      <c r="F772" s="5">
        <v>307</v>
      </c>
      <c r="G772" s="6">
        <f t="shared" si="37"/>
        <v>4912</v>
      </c>
      <c r="H772" s="5" t="s">
        <v>61</v>
      </c>
      <c r="I772" s="5" t="s">
        <v>54</v>
      </c>
      <c r="J772" s="5">
        <v>0</v>
      </c>
      <c r="K772" s="5" t="s">
        <v>89</v>
      </c>
      <c r="L772" s="6">
        <v>4912</v>
      </c>
      <c r="M772" s="5" t="s">
        <v>33</v>
      </c>
      <c r="N772" s="5" t="s">
        <v>56</v>
      </c>
      <c r="O772" s="5">
        <v>0</v>
      </c>
      <c r="P772" s="5" t="s">
        <v>1584</v>
      </c>
      <c r="Q772" s="5" t="s">
        <v>1585</v>
      </c>
      <c r="R772" s="5">
        <v>11.99</v>
      </c>
      <c r="S772" s="4">
        <v>45808</v>
      </c>
      <c r="T772" s="4">
        <v>45810</v>
      </c>
      <c r="U772" s="5">
        <f t="shared" si="38"/>
        <v>2</v>
      </c>
      <c r="V772" s="5" t="s">
        <v>94</v>
      </c>
      <c r="X772" s="5"/>
    </row>
    <row r="773" spans="1:24">
      <c r="A773" s="4">
        <v>45210</v>
      </c>
      <c r="B773" s="5" t="str">
        <f t="shared" si="36"/>
        <v>October</v>
      </c>
      <c r="C773" s="5" t="s">
        <v>16</v>
      </c>
      <c r="D773" s="5" t="s">
        <v>101</v>
      </c>
      <c r="E773" s="5">
        <v>1</v>
      </c>
      <c r="F773" s="5">
        <v>315.93</v>
      </c>
      <c r="G773" s="6">
        <f t="shared" si="37"/>
        <v>315.93</v>
      </c>
      <c r="H773" s="5" t="s">
        <v>77</v>
      </c>
      <c r="I773" s="5" t="s">
        <v>62</v>
      </c>
      <c r="J773" s="5">
        <v>0.15</v>
      </c>
      <c r="K773" s="5" t="s">
        <v>63</v>
      </c>
      <c r="L773" s="6">
        <v>268.5405</v>
      </c>
      <c r="M773" s="5" t="s">
        <v>32</v>
      </c>
      <c r="N773" s="5" t="s">
        <v>64</v>
      </c>
      <c r="O773" s="5">
        <v>0</v>
      </c>
      <c r="P773" s="5" t="s">
        <v>1586</v>
      </c>
      <c r="Q773" s="5" t="s">
        <v>1587</v>
      </c>
      <c r="R773" s="5">
        <v>43.2</v>
      </c>
      <c r="S773" s="4">
        <v>45210</v>
      </c>
      <c r="T773" s="4">
        <v>45213</v>
      </c>
      <c r="U773" s="5">
        <f t="shared" si="38"/>
        <v>3</v>
      </c>
      <c r="V773" s="5" t="s">
        <v>59</v>
      </c>
      <c r="X773" s="5"/>
    </row>
    <row r="774" spans="1:24">
      <c r="A774" s="4">
        <v>45145</v>
      </c>
      <c r="B774" s="5" t="str">
        <f t="shared" si="36"/>
        <v>August</v>
      </c>
      <c r="C774" s="5" t="s">
        <v>20</v>
      </c>
      <c r="D774" s="5" t="s">
        <v>27</v>
      </c>
      <c r="E774" s="5">
        <v>5</v>
      </c>
      <c r="F774" s="5">
        <v>596.97</v>
      </c>
      <c r="G774" s="6">
        <f t="shared" si="37"/>
        <v>2984.85</v>
      </c>
      <c r="H774" s="5" t="s">
        <v>61</v>
      </c>
      <c r="I774" s="5" t="s">
        <v>62</v>
      </c>
      <c r="J774" s="5">
        <v>0</v>
      </c>
      <c r="K774" s="5" t="s">
        <v>55</v>
      </c>
      <c r="L774" s="6">
        <v>2984.85</v>
      </c>
      <c r="M774" s="5" t="s">
        <v>34</v>
      </c>
      <c r="N774" s="5" t="s">
        <v>64</v>
      </c>
      <c r="O774" s="5">
        <v>0</v>
      </c>
      <c r="P774" s="5" t="s">
        <v>1588</v>
      </c>
      <c r="Q774" s="5" t="s">
        <v>1589</v>
      </c>
      <c r="R774" s="5">
        <v>14.43</v>
      </c>
      <c r="S774" s="4">
        <v>45145</v>
      </c>
      <c r="T774" s="4">
        <v>45152</v>
      </c>
      <c r="U774" s="5">
        <f t="shared" si="38"/>
        <v>7</v>
      </c>
      <c r="V774" s="5" t="s">
        <v>94</v>
      </c>
      <c r="X774" s="5"/>
    </row>
    <row r="775" spans="1:24">
      <c r="A775" s="4">
        <v>45263</v>
      </c>
      <c r="B775" s="5" t="str">
        <f t="shared" si="36"/>
        <v>December</v>
      </c>
      <c r="C775" s="5" t="s">
        <v>18</v>
      </c>
      <c r="D775" s="5" t="s">
        <v>22</v>
      </c>
      <c r="E775" s="5">
        <v>17</v>
      </c>
      <c r="F775" s="5">
        <v>376.98</v>
      </c>
      <c r="G775" s="6">
        <f t="shared" si="37"/>
        <v>6408.66</v>
      </c>
      <c r="H775" s="5" t="s">
        <v>61</v>
      </c>
      <c r="I775" s="5" t="s">
        <v>62</v>
      </c>
      <c r="J775" s="5">
        <v>0.05</v>
      </c>
      <c r="K775" s="5" t="s">
        <v>78</v>
      </c>
      <c r="L775" s="6">
        <v>6088.227</v>
      </c>
      <c r="M775" s="5" t="s">
        <v>33</v>
      </c>
      <c r="N775" s="5"/>
      <c r="O775" s="5">
        <v>1</v>
      </c>
      <c r="P775" s="5" t="s">
        <v>1590</v>
      </c>
      <c r="Q775" s="5" t="s">
        <v>1591</v>
      </c>
      <c r="R775" s="5">
        <v>38.48</v>
      </c>
      <c r="S775" s="4">
        <v>45263</v>
      </c>
      <c r="T775" s="4">
        <v>45265</v>
      </c>
      <c r="U775" s="5">
        <f t="shared" si="38"/>
        <v>2</v>
      </c>
      <c r="V775" s="5" t="s">
        <v>72</v>
      </c>
      <c r="X775" s="5"/>
    </row>
    <row r="776" spans="1:24">
      <c r="A776" s="4">
        <v>45505</v>
      </c>
      <c r="B776" s="5" t="str">
        <f t="shared" si="36"/>
        <v>August</v>
      </c>
      <c r="C776" s="5" t="s">
        <v>19</v>
      </c>
      <c r="D776" s="5" t="s">
        <v>27</v>
      </c>
      <c r="E776" s="5">
        <v>6</v>
      </c>
      <c r="F776" s="5">
        <v>208.64</v>
      </c>
      <c r="G776" s="6">
        <f t="shared" si="37"/>
        <v>1251.84</v>
      </c>
      <c r="H776" s="5" t="s">
        <v>81</v>
      </c>
      <c r="I776" s="5" t="s">
        <v>62</v>
      </c>
      <c r="J776" s="5">
        <v>0.1</v>
      </c>
      <c r="K776" s="5" t="s">
        <v>73</v>
      </c>
      <c r="L776" s="6">
        <v>1126.656</v>
      </c>
      <c r="M776" s="5" t="s">
        <v>32</v>
      </c>
      <c r="N776" s="5" t="s">
        <v>56</v>
      </c>
      <c r="O776" s="5">
        <v>0</v>
      </c>
      <c r="P776" s="5" t="s">
        <v>1592</v>
      </c>
      <c r="Q776" s="5" t="s">
        <v>1593</v>
      </c>
      <c r="R776" s="5">
        <v>49.93</v>
      </c>
      <c r="S776" s="4">
        <v>45505</v>
      </c>
      <c r="T776" s="4">
        <v>45508</v>
      </c>
      <c r="U776" s="5">
        <f t="shared" si="38"/>
        <v>3</v>
      </c>
      <c r="V776" s="5" t="s">
        <v>76</v>
      </c>
      <c r="X776" s="5"/>
    </row>
    <row r="777" spans="1:24">
      <c r="A777" s="4">
        <v>45005</v>
      </c>
      <c r="B777" s="5" t="str">
        <f t="shared" si="36"/>
        <v>March</v>
      </c>
      <c r="C777" s="5" t="s">
        <v>16</v>
      </c>
      <c r="D777" s="5" t="s">
        <v>25</v>
      </c>
      <c r="E777" s="5">
        <v>7</v>
      </c>
      <c r="F777" s="5">
        <v>307.82</v>
      </c>
      <c r="G777" s="6">
        <f t="shared" si="37"/>
        <v>2154.74</v>
      </c>
      <c r="H777" s="5" t="s">
        <v>53</v>
      </c>
      <c r="I777" s="5" t="s">
        <v>54</v>
      </c>
      <c r="J777" s="5">
        <v>0</v>
      </c>
      <c r="K777" s="5" t="s">
        <v>55</v>
      </c>
      <c r="L777" s="6">
        <v>2154.74</v>
      </c>
      <c r="M777" s="5" t="s">
        <v>33</v>
      </c>
      <c r="N777" s="5" t="s">
        <v>69</v>
      </c>
      <c r="O777" s="5">
        <v>1</v>
      </c>
      <c r="P777" s="5" t="s">
        <v>1594</v>
      </c>
      <c r="Q777" s="5" t="s">
        <v>1595</v>
      </c>
      <c r="R777" s="5">
        <v>14</v>
      </c>
      <c r="S777" s="4">
        <v>45005</v>
      </c>
      <c r="T777" s="4">
        <v>45012</v>
      </c>
      <c r="U777" s="5">
        <f t="shared" si="38"/>
        <v>7</v>
      </c>
      <c r="V777" s="5" t="s">
        <v>59</v>
      </c>
      <c r="X777" s="5"/>
    </row>
    <row r="778" spans="1:24">
      <c r="A778" s="4">
        <v>45838</v>
      </c>
      <c r="B778" s="5" t="str">
        <f t="shared" si="36"/>
        <v>June</v>
      </c>
      <c r="C778" s="5" t="s">
        <v>19</v>
      </c>
      <c r="D778" s="5" t="s">
        <v>101</v>
      </c>
      <c r="E778" s="5">
        <v>13</v>
      </c>
      <c r="F778" s="5">
        <v>382.48</v>
      </c>
      <c r="G778" s="6">
        <f t="shared" si="37"/>
        <v>4972.24</v>
      </c>
      <c r="H778" s="5" t="s">
        <v>81</v>
      </c>
      <c r="I778" s="5" t="s">
        <v>62</v>
      </c>
      <c r="J778" s="5">
        <v>0.05</v>
      </c>
      <c r="K778" s="5" t="s">
        <v>55</v>
      </c>
      <c r="L778" s="6">
        <v>4723.628</v>
      </c>
      <c r="M778" s="5" t="s">
        <v>32</v>
      </c>
      <c r="N778" s="5" t="s">
        <v>69</v>
      </c>
      <c r="O778" s="5">
        <v>0</v>
      </c>
      <c r="P778" s="5" t="s">
        <v>1596</v>
      </c>
      <c r="Q778" s="5" t="s">
        <v>1597</v>
      </c>
      <c r="R778" s="5">
        <v>7.59</v>
      </c>
      <c r="S778" s="4">
        <v>45838</v>
      </c>
      <c r="T778" s="4">
        <v>45842</v>
      </c>
      <c r="U778" s="5">
        <f t="shared" si="38"/>
        <v>4</v>
      </c>
      <c r="V778" s="5" t="s">
        <v>76</v>
      </c>
      <c r="X778" s="5"/>
    </row>
    <row r="779" spans="1:24">
      <c r="A779" s="4">
        <v>45693</v>
      </c>
      <c r="B779" s="5" t="str">
        <f t="shared" si="36"/>
        <v>February</v>
      </c>
      <c r="C779" s="5" t="s">
        <v>17</v>
      </c>
      <c r="D779" s="5" t="s">
        <v>24</v>
      </c>
      <c r="E779" s="5">
        <v>9</v>
      </c>
      <c r="F779" s="5">
        <v>188.03</v>
      </c>
      <c r="G779" s="6">
        <f t="shared" si="37"/>
        <v>1692.27</v>
      </c>
      <c r="H779" s="5" t="s">
        <v>53</v>
      </c>
      <c r="I779" s="5" t="s">
        <v>62</v>
      </c>
      <c r="J779" s="5">
        <v>0</v>
      </c>
      <c r="K779" s="5" t="s">
        <v>73</v>
      </c>
      <c r="L779" s="6">
        <v>1692.27</v>
      </c>
      <c r="M779" s="5" t="s">
        <v>34</v>
      </c>
      <c r="N779" s="5" t="s">
        <v>56</v>
      </c>
      <c r="O779" s="5">
        <v>0</v>
      </c>
      <c r="P779" s="5" t="s">
        <v>1598</v>
      </c>
      <c r="Q779" s="5" t="s">
        <v>1599</v>
      </c>
      <c r="R779" s="5">
        <v>11.44</v>
      </c>
      <c r="S779" s="4">
        <v>45693</v>
      </c>
      <c r="T779" s="4">
        <v>45695</v>
      </c>
      <c r="U779" s="5">
        <f t="shared" si="38"/>
        <v>2</v>
      </c>
      <c r="V779" s="5" t="s">
        <v>67</v>
      </c>
      <c r="X779" s="5"/>
    </row>
    <row r="780" spans="1:24">
      <c r="A780" s="4">
        <v>45431</v>
      </c>
      <c r="B780" s="5" t="str">
        <f t="shared" si="36"/>
        <v>May</v>
      </c>
      <c r="C780" s="5" t="s">
        <v>16</v>
      </c>
      <c r="D780" s="5" t="s">
        <v>24</v>
      </c>
      <c r="E780" s="5">
        <v>17</v>
      </c>
      <c r="F780" s="5">
        <v>238.17</v>
      </c>
      <c r="G780" s="6">
        <f t="shared" si="37"/>
        <v>4048.89</v>
      </c>
      <c r="H780" s="5" t="s">
        <v>81</v>
      </c>
      <c r="I780" s="5" t="s">
        <v>54</v>
      </c>
      <c r="J780" s="5">
        <v>0.15</v>
      </c>
      <c r="K780" s="5" t="s">
        <v>73</v>
      </c>
      <c r="L780" s="6">
        <v>3441.5565</v>
      </c>
      <c r="M780" s="5" t="s">
        <v>34</v>
      </c>
      <c r="N780" s="5" t="s">
        <v>56</v>
      </c>
      <c r="O780" s="5">
        <v>0</v>
      </c>
      <c r="P780" s="5" t="s">
        <v>1600</v>
      </c>
      <c r="Q780" s="5" t="s">
        <v>1601</v>
      </c>
      <c r="R780" s="5">
        <v>21.64</v>
      </c>
      <c r="S780" s="4">
        <v>45431</v>
      </c>
      <c r="T780" s="4">
        <v>45441</v>
      </c>
      <c r="U780" s="5">
        <f t="shared" si="38"/>
        <v>10</v>
      </c>
      <c r="V780" s="5" t="s">
        <v>59</v>
      </c>
      <c r="X780" s="5"/>
    </row>
    <row r="781" spans="1:24">
      <c r="A781" s="4">
        <v>44989</v>
      </c>
      <c r="B781" s="5" t="str">
        <f t="shared" si="36"/>
        <v>March</v>
      </c>
      <c r="C781" s="5" t="s">
        <v>18</v>
      </c>
      <c r="D781" s="5" t="s">
        <v>27</v>
      </c>
      <c r="E781" s="5">
        <v>10</v>
      </c>
      <c r="F781" s="5">
        <v>450.71</v>
      </c>
      <c r="G781" s="6">
        <f t="shared" si="37"/>
        <v>4507.1</v>
      </c>
      <c r="H781" s="5" t="s">
        <v>53</v>
      </c>
      <c r="I781" s="5" t="s">
        <v>62</v>
      </c>
      <c r="J781" s="5">
        <v>0.1</v>
      </c>
      <c r="K781" s="5" t="s">
        <v>89</v>
      </c>
      <c r="L781" s="6">
        <v>4056.39</v>
      </c>
      <c r="M781" s="5" t="s">
        <v>31</v>
      </c>
      <c r="N781" s="5" t="s">
        <v>64</v>
      </c>
      <c r="O781" s="5">
        <v>0</v>
      </c>
      <c r="P781" s="5" t="s">
        <v>1602</v>
      </c>
      <c r="Q781" s="5" t="s">
        <v>1603</v>
      </c>
      <c r="R781" s="5">
        <v>21.31</v>
      </c>
      <c r="S781" s="4">
        <v>44989</v>
      </c>
      <c r="T781" s="4">
        <v>44997</v>
      </c>
      <c r="U781" s="5">
        <f t="shared" si="38"/>
        <v>8</v>
      </c>
      <c r="V781" s="5" t="s">
        <v>72</v>
      </c>
      <c r="X781" s="5"/>
    </row>
    <row r="782" spans="1:24">
      <c r="A782" s="4">
        <v>44948</v>
      </c>
      <c r="B782" s="5" t="str">
        <f t="shared" si="36"/>
        <v>January</v>
      </c>
      <c r="C782" s="5" t="s">
        <v>19</v>
      </c>
      <c r="D782" s="5" t="s">
        <v>26</v>
      </c>
      <c r="E782" s="5">
        <v>2</v>
      </c>
      <c r="F782" s="5">
        <v>413.36</v>
      </c>
      <c r="G782" s="6">
        <f t="shared" si="37"/>
        <v>826.72</v>
      </c>
      <c r="H782" s="5" t="s">
        <v>81</v>
      </c>
      <c r="I782" s="5" t="s">
        <v>62</v>
      </c>
      <c r="J782" s="5">
        <v>0.1</v>
      </c>
      <c r="K782" s="5" t="s">
        <v>63</v>
      </c>
      <c r="L782" s="6">
        <v>744.048</v>
      </c>
      <c r="M782" s="5" t="s">
        <v>30</v>
      </c>
      <c r="N782" s="5" t="s">
        <v>64</v>
      </c>
      <c r="O782" s="5">
        <v>1</v>
      </c>
      <c r="P782" s="5" t="s">
        <v>1604</v>
      </c>
      <c r="Q782" s="5" t="s">
        <v>964</v>
      </c>
      <c r="R782" s="5">
        <v>41.69</v>
      </c>
      <c r="S782" s="4">
        <v>44948</v>
      </c>
      <c r="T782" s="4">
        <v>44950</v>
      </c>
      <c r="U782" s="5">
        <f t="shared" si="38"/>
        <v>2</v>
      </c>
      <c r="V782" s="5" t="s">
        <v>76</v>
      </c>
      <c r="X782" s="5"/>
    </row>
    <row r="783" spans="1:24">
      <c r="A783" s="4">
        <v>45005</v>
      </c>
      <c r="B783" s="5" t="str">
        <f t="shared" si="36"/>
        <v>March</v>
      </c>
      <c r="C783" s="5" t="s">
        <v>17</v>
      </c>
      <c r="D783" s="5" t="s">
        <v>23</v>
      </c>
      <c r="E783" s="5">
        <v>20</v>
      </c>
      <c r="F783" s="5">
        <v>536.71</v>
      </c>
      <c r="G783" s="6">
        <f t="shared" si="37"/>
        <v>10734.2</v>
      </c>
      <c r="H783" s="5" t="s">
        <v>53</v>
      </c>
      <c r="I783" s="5" t="s">
        <v>62</v>
      </c>
      <c r="J783" s="5">
        <v>0.15</v>
      </c>
      <c r="K783" s="5" t="s">
        <v>78</v>
      </c>
      <c r="L783" s="6">
        <v>9124.07</v>
      </c>
      <c r="M783" s="5" t="s">
        <v>33</v>
      </c>
      <c r="N783" s="5" t="s">
        <v>64</v>
      </c>
      <c r="O783" s="5">
        <v>0</v>
      </c>
      <c r="P783" s="5" t="s">
        <v>1605</v>
      </c>
      <c r="Q783" s="5" t="s">
        <v>1606</v>
      </c>
      <c r="R783" s="5">
        <v>41.42</v>
      </c>
      <c r="S783" s="4">
        <v>45005</v>
      </c>
      <c r="T783" s="4">
        <v>45010</v>
      </c>
      <c r="U783" s="5">
        <f t="shared" si="38"/>
        <v>5</v>
      </c>
      <c r="V783" s="5" t="s">
        <v>67</v>
      </c>
      <c r="X783" s="5"/>
    </row>
    <row r="784" spans="1:24">
      <c r="A784" s="4">
        <v>45448</v>
      </c>
      <c r="B784" s="5" t="str">
        <f t="shared" si="36"/>
        <v>June</v>
      </c>
      <c r="C784" s="5" t="s">
        <v>20</v>
      </c>
      <c r="D784" s="5" t="s">
        <v>23</v>
      </c>
      <c r="E784" s="5">
        <v>5</v>
      </c>
      <c r="F784" s="5">
        <v>206.42</v>
      </c>
      <c r="G784" s="6">
        <f t="shared" si="37"/>
        <v>1032.1</v>
      </c>
      <c r="H784" s="5" t="s">
        <v>81</v>
      </c>
      <c r="I784" s="5" t="s">
        <v>62</v>
      </c>
      <c r="J784" s="5">
        <v>0.05</v>
      </c>
      <c r="K784" s="5" t="s">
        <v>63</v>
      </c>
      <c r="L784" s="6">
        <v>980.495</v>
      </c>
      <c r="M784" s="5" t="s">
        <v>33</v>
      </c>
      <c r="N784" s="5" t="s">
        <v>69</v>
      </c>
      <c r="O784" s="5">
        <v>0</v>
      </c>
      <c r="P784" s="5" t="s">
        <v>1607</v>
      </c>
      <c r="Q784" s="5" t="s">
        <v>1608</v>
      </c>
      <c r="R784" s="5">
        <v>35.51</v>
      </c>
      <c r="S784" s="4">
        <v>45448</v>
      </c>
      <c r="T784" s="4">
        <v>45456</v>
      </c>
      <c r="U784" s="5">
        <f t="shared" si="38"/>
        <v>8</v>
      </c>
      <c r="V784" s="5" t="s">
        <v>94</v>
      </c>
      <c r="X784" s="5"/>
    </row>
    <row r="785" spans="1:24">
      <c r="A785" s="4">
        <v>45482</v>
      </c>
      <c r="B785" s="5" t="str">
        <f t="shared" si="36"/>
        <v>July</v>
      </c>
      <c r="C785" s="5" t="s">
        <v>16</v>
      </c>
      <c r="D785" s="5" t="s">
        <v>27</v>
      </c>
      <c r="E785" s="5">
        <v>4</v>
      </c>
      <c r="F785" s="5">
        <v>256.83</v>
      </c>
      <c r="G785" s="6">
        <f t="shared" si="37"/>
        <v>1027.32</v>
      </c>
      <c r="H785" s="5" t="s">
        <v>61</v>
      </c>
      <c r="I785" s="5" t="s">
        <v>54</v>
      </c>
      <c r="J785" s="5">
        <v>0.15</v>
      </c>
      <c r="K785" s="5" t="s">
        <v>78</v>
      </c>
      <c r="L785" s="6">
        <v>873.222</v>
      </c>
      <c r="M785" s="5" t="s">
        <v>34</v>
      </c>
      <c r="N785" s="5"/>
      <c r="O785" s="5">
        <v>1</v>
      </c>
      <c r="P785" s="5" t="s">
        <v>1609</v>
      </c>
      <c r="Q785" s="5" t="s">
        <v>1610</v>
      </c>
      <c r="R785" s="5">
        <v>44.72</v>
      </c>
      <c r="S785" s="4">
        <v>45482</v>
      </c>
      <c r="T785" s="4">
        <v>45490</v>
      </c>
      <c r="U785" s="5">
        <f t="shared" si="38"/>
        <v>8</v>
      </c>
      <c r="V785" s="5" t="s">
        <v>59</v>
      </c>
      <c r="X785" s="5"/>
    </row>
    <row r="786" spans="1:24">
      <c r="A786" s="4">
        <v>45724</v>
      </c>
      <c r="B786" s="5" t="str">
        <f t="shared" si="36"/>
        <v>March</v>
      </c>
      <c r="C786" s="5" t="s">
        <v>17</v>
      </c>
      <c r="D786" s="5" t="s">
        <v>26</v>
      </c>
      <c r="E786" s="5">
        <v>1</v>
      </c>
      <c r="F786" s="5">
        <v>247.04</v>
      </c>
      <c r="G786" s="6">
        <f t="shared" si="37"/>
        <v>247.04</v>
      </c>
      <c r="H786" s="5" t="s">
        <v>77</v>
      </c>
      <c r="I786" s="5" t="s">
        <v>54</v>
      </c>
      <c r="J786" s="5">
        <v>0</v>
      </c>
      <c r="K786" s="5" t="s">
        <v>89</v>
      </c>
      <c r="L786" s="6">
        <v>247.04</v>
      </c>
      <c r="M786" s="5" t="s">
        <v>32</v>
      </c>
      <c r="N786" s="5" t="s">
        <v>56</v>
      </c>
      <c r="O786" s="5">
        <v>0</v>
      </c>
      <c r="P786" s="5" t="s">
        <v>1611</v>
      </c>
      <c r="Q786" s="5" t="s">
        <v>1612</v>
      </c>
      <c r="R786" s="5">
        <v>26.86</v>
      </c>
      <c r="S786" s="4">
        <v>45724</v>
      </c>
      <c r="T786" s="4">
        <v>45729</v>
      </c>
      <c r="U786" s="5">
        <f t="shared" si="38"/>
        <v>5</v>
      </c>
      <c r="V786" s="5" t="s">
        <v>67</v>
      </c>
      <c r="X786" s="5"/>
    </row>
    <row r="787" spans="1:24">
      <c r="A787" s="4">
        <v>45829</v>
      </c>
      <c r="B787" s="5" t="str">
        <f t="shared" si="36"/>
        <v>June</v>
      </c>
      <c r="C787" s="5" t="s">
        <v>17</v>
      </c>
      <c r="D787" s="5" t="s">
        <v>101</v>
      </c>
      <c r="E787" s="5">
        <v>3</v>
      </c>
      <c r="F787" s="5">
        <v>583.38</v>
      </c>
      <c r="G787" s="6">
        <f t="shared" si="37"/>
        <v>1750.14</v>
      </c>
      <c r="H787" s="5" t="s">
        <v>53</v>
      </c>
      <c r="I787" s="5" t="s">
        <v>62</v>
      </c>
      <c r="J787" s="5">
        <v>0.15</v>
      </c>
      <c r="K787" s="5" t="s">
        <v>82</v>
      </c>
      <c r="L787" s="6">
        <v>1487.619</v>
      </c>
      <c r="M787" s="5" t="s">
        <v>34</v>
      </c>
      <c r="N787" s="5" t="s">
        <v>69</v>
      </c>
      <c r="O787" s="5">
        <v>1</v>
      </c>
      <c r="P787" s="5" t="s">
        <v>1613</v>
      </c>
      <c r="Q787" s="5" t="s">
        <v>1614</v>
      </c>
      <c r="R787" s="5">
        <v>30.12</v>
      </c>
      <c r="S787" s="4">
        <v>45829</v>
      </c>
      <c r="T787" s="4">
        <v>45838</v>
      </c>
      <c r="U787" s="5">
        <f t="shared" si="38"/>
        <v>9</v>
      </c>
      <c r="V787" s="5" t="s">
        <v>67</v>
      </c>
      <c r="X787" s="5"/>
    </row>
    <row r="788" spans="1:24">
      <c r="A788" s="4">
        <v>45836</v>
      </c>
      <c r="B788" s="5" t="str">
        <f t="shared" si="36"/>
        <v>June</v>
      </c>
      <c r="C788" s="5" t="s">
        <v>18</v>
      </c>
      <c r="D788" s="5" t="s">
        <v>101</v>
      </c>
      <c r="E788" s="5">
        <v>13</v>
      </c>
      <c r="F788" s="5">
        <v>341.38</v>
      </c>
      <c r="G788" s="6">
        <f t="shared" si="37"/>
        <v>4437.94</v>
      </c>
      <c r="H788" s="5" t="s">
        <v>77</v>
      </c>
      <c r="I788" s="5" t="s">
        <v>62</v>
      </c>
      <c r="J788" s="5">
        <v>0.15</v>
      </c>
      <c r="K788" s="5" t="s">
        <v>63</v>
      </c>
      <c r="L788" s="6">
        <v>3772.249</v>
      </c>
      <c r="M788" s="5" t="s">
        <v>34</v>
      </c>
      <c r="N788" s="5"/>
      <c r="O788" s="5">
        <v>0</v>
      </c>
      <c r="P788" s="5" t="s">
        <v>1615</v>
      </c>
      <c r="Q788" s="5" t="s">
        <v>1616</v>
      </c>
      <c r="R788" s="5">
        <v>18.2</v>
      </c>
      <c r="S788" s="4">
        <v>45836</v>
      </c>
      <c r="T788" s="4">
        <v>45839</v>
      </c>
      <c r="U788" s="5">
        <f t="shared" si="38"/>
        <v>3</v>
      </c>
      <c r="V788" s="5" t="s">
        <v>72</v>
      </c>
      <c r="X788" s="5"/>
    </row>
    <row r="789" spans="1:24">
      <c r="A789" s="4">
        <v>45752</v>
      </c>
      <c r="B789" s="5" t="str">
        <f t="shared" si="36"/>
        <v>April</v>
      </c>
      <c r="C789" s="5" t="s">
        <v>20</v>
      </c>
      <c r="D789" s="5" t="s">
        <v>25</v>
      </c>
      <c r="E789" s="5">
        <v>19</v>
      </c>
      <c r="F789" s="5">
        <v>267.03</v>
      </c>
      <c r="G789" s="6">
        <f t="shared" si="37"/>
        <v>5073.57</v>
      </c>
      <c r="H789" s="5" t="s">
        <v>81</v>
      </c>
      <c r="I789" s="5" t="s">
        <v>54</v>
      </c>
      <c r="J789" s="5">
        <v>0.15</v>
      </c>
      <c r="K789" s="5" t="s">
        <v>89</v>
      </c>
      <c r="L789" s="6">
        <v>4312.5345</v>
      </c>
      <c r="M789" s="5" t="s">
        <v>30</v>
      </c>
      <c r="N789" s="5" t="s">
        <v>64</v>
      </c>
      <c r="O789" s="5">
        <v>1</v>
      </c>
      <c r="P789" s="5" t="s">
        <v>1617</v>
      </c>
      <c r="Q789" s="5" t="s">
        <v>1618</v>
      </c>
      <c r="R789" s="5">
        <v>35.82</v>
      </c>
      <c r="S789" s="4">
        <v>45752</v>
      </c>
      <c r="T789" s="4">
        <v>45760</v>
      </c>
      <c r="U789" s="5">
        <f t="shared" si="38"/>
        <v>8</v>
      </c>
      <c r="V789" s="5" t="s">
        <v>94</v>
      </c>
      <c r="X789" s="5"/>
    </row>
    <row r="790" spans="1:24">
      <c r="A790" s="4">
        <v>45356</v>
      </c>
      <c r="B790" s="5" t="str">
        <f t="shared" si="36"/>
        <v>March</v>
      </c>
      <c r="C790" s="5" t="s">
        <v>17</v>
      </c>
      <c r="D790" s="5" t="s">
        <v>27</v>
      </c>
      <c r="E790" s="5">
        <v>7</v>
      </c>
      <c r="F790" s="5">
        <v>77.69</v>
      </c>
      <c r="G790" s="6">
        <f t="shared" si="37"/>
        <v>543.83</v>
      </c>
      <c r="H790" s="5" t="s">
        <v>81</v>
      </c>
      <c r="I790" s="5" t="s">
        <v>54</v>
      </c>
      <c r="J790" s="5">
        <v>0</v>
      </c>
      <c r="K790" s="5" t="s">
        <v>78</v>
      </c>
      <c r="L790" s="6">
        <v>543.83</v>
      </c>
      <c r="M790" s="5" t="s">
        <v>32</v>
      </c>
      <c r="N790" s="5" t="s">
        <v>64</v>
      </c>
      <c r="O790" s="5">
        <v>0</v>
      </c>
      <c r="P790" s="5" t="s">
        <v>1619</v>
      </c>
      <c r="Q790" s="5" t="s">
        <v>1620</v>
      </c>
      <c r="R790" s="5">
        <v>41.89</v>
      </c>
      <c r="S790" s="4">
        <v>45356</v>
      </c>
      <c r="T790" s="4">
        <v>45363</v>
      </c>
      <c r="U790" s="5">
        <f t="shared" si="38"/>
        <v>7</v>
      </c>
      <c r="V790" s="5" t="s">
        <v>67</v>
      </c>
      <c r="X790" s="5"/>
    </row>
    <row r="791" spans="1:24">
      <c r="A791" s="4">
        <v>45360</v>
      </c>
      <c r="B791" s="5" t="str">
        <f t="shared" si="36"/>
        <v>March</v>
      </c>
      <c r="C791" s="5" t="s">
        <v>16</v>
      </c>
      <c r="D791" s="5" t="s">
        <v>23</v>
      </c>
      <c r="E791" s="5">
        <v>20</v>
      </c>
      <c r="F791" s="5">
        <v>312.43</v>
      </c>
      <c r="G791" s="6">
        <f t="shared" si="37"/>
        <v>6248.6</v>
      </c>
      <c r="H791" s="5" t="s">
        <v>77</v>
      </c>
      <c r="I791" s="5" t="s">
        <v>62</v>
      </c>
      <c r="J791" s="5">
        <v>0</v>
      </c>
      <c r="K791" s="5" t="s">
        <v>78</v>
      </c>
      <c r="L791" s="6">
        <v>6248.6</v>
      </c>
      <c r="M791" s="5" t="s">
        <v>32</v>
      </c>
      <c r="N791" s="5" t="s">
        <v>64</v>
      </c>
      <c r="O791" s="5">
        <v>0</v>
      </c>
      <c r="P791" s="5" t="s">
        <v>1621</v>
      </c>
      <c r="Q791" s="5" t="s">
        <v>1622</v>
      </c>
      <c r="R791" s="5">
        <v>28.11</v>
      </c>
      <c r="S791" s="4">
        <v>45360</v>
      </c>
      <c r="T791" s="4">
        <v>45362</v>
      </c>
      <c r="U791" s="5">
        <f t="shared" si="38"/>
        <v>2</v>
      </c>
      <c r="V791" s="5" t="s">
        <v>59</v>
      </c>
      <c r="X791" s="5"/>
    </row>
    <row r="792" spans="1:24">
      <c r="A792" s="4">
        <v>45713</v>
      </c>
      <c r="B792" s="5" t="str">
        <f t="shared" si="36"/>
        <v>February</v>
      </c>
      <c r="C792" s="5" t="s">
        <v>19</v>
      </c>
      <c r="D792" s="5" t="s">
        <v>26</v>
      </c>
      <c r="E792" s="5">
        <v>19</v>
      </c>
      <c r="F792" s="5">
        <v>14.1</v>
      </c>
      <c r="G792" s="6">
        <f t="shared" si="37"/>
        <v>267.9</v>
      </c>
      <c r="H792" s="5" t="s">
        <v>77</v>
      </c>
      <c r="I792" s="5" t="s">
        <v>54</v>
      </c>
      <c r="J792" s="5">
        <v>0.05</v>
      </c>
      <c r="K792" s="5" t="s">
        <v>78</v>
      </c>
      <c r="L792" s="6">
        <v>254.505</v>
      </c>
      <c r="M792" s="5" t="s">
        <v>34</v>
      </c>
      <c r="N792" s="5" t="s">
        <v>56</v>
      </c>
      <c r="O792" s="5">
        <v>0</v>
      </c>
      <c r="P792" s="5" t="s">
        <v>1623</v>
      </c>
      <c r="Q792" s="5" t="s">
        <v>1624</v>
      </c>
      <c r="R792" s="5">
        <v>37.84</v>
      </c>
      <c r="S792" s="4">
        <v>45713</v>
      </c>
      <c r="T792" s="4">
        <v>45716</v>
      </c>
      <c r="U792" s="5">
        <f t="shared" si="38"/>
        <v>3</v>
      </c>
      <c r="V792" s="5" t="s">
        <v>76</v>
      </c>
      <c r="X792" s="5"/>
    </row>
    <row r="793" spans="1:24">
      <c r="A793" s="4">
        <v>45612</v>
      </c>
      <c r="B793" s="5" t="str">
        <f t="shared" si="36"/>
        <v>November</v>
      </c>
      <c r="C793" s="5" t="s">
        <v>20</v>
      </c>
      <c r="D793" s="5" t="s">
        <v>101</v>
      </c>
      <c r="E793" s="5">
        <v>17</v>
      </c>
      <c r="F793" s="5">
        <v>266.83</v>
      </c>
      <c r="G793" s="6">
        <f t="shared" si="37"/>
        <v>4536.11</v>
      </c>
      <c r="H793" s="5" t="s">
        <v>81</v>
      </c>
      <c r="I793" s="5" t="s">
        <v>62</v>
      </c>
      <c r="J793" s="5">
        <v>0.05</v>
      </c>
      <c r="K793" s="5" t="s">
        <v>73</v>
      </c>
      <c r="L793" s="6">
        <v>4309.3045</v>
      </c>
      <c r="M793" s="5" t="s">
        <v>32</v>
      </c>
      <c r="N793" s="5" t="s">
        <v>69</v>
      </c>
      <c r="O793" s="5">
        <v>0</v>
      </c>
      <c r="P793" s="5" t="s">
        <v>1625</v>
      </c>
      <c r="Q793" s="5" t="s">
        <v>1626</v>
      </c>
      <c r="R793" s="5">
        <v>32.52</v>
      </c>
      <c r="S793" s="4">
        <v>45612</v>
      </c>
      <c r="T793" s="4">
        <v>45619</v>
      </c>
      <c r="U793" s="5">
        <f t="shared" si="38"/>
        <v>7</v>
      </c>
      <c r="V793" s="5" t="s">
        <v>94</v>
      </c>
      <c r="X793" s="5"/>
    </row>
    <row r="794" spans="1:24">
      <c r="A794" s="4">
        <v>45505</v>
      </c>
      <c r="B794" s="5" t="str">
        <f t="shared" si="36"/>
        <v>August</v>
      </c>
      <c r="C794" s="5" t="s">
        <v>17</v>
      </c>
      <c r="D794" s="5" t="s">
        <v>27</v>
      </c>
      <c r="E794" s="5">
        <v>20</v>
      </c>
      <c r="F794" s="5">
        <v>248.11</v>
      </c>
      <c r="G794" s="6">
        <f t="shared" si="37"/>
        <v>4962.2</v>
      </c>
      <c r="H794" s="5" t="s">
        <v>81</v>
      </c>
      <c r="I794" s="5" t="s">
        <v>54</v>
      </c>
      <c r="J794" s="5">
        <v>0.05</v>
      </c>
      <c r="K794" s="5" t="s">
        <v>78</v>
      </c>
      <c r="L794" s="6">
        <v>4714.09</v>
      </c>
      <c r="M794" s="5" t="s">
        <v>30</v>
      </c>
      <c r="N794" s="5" t="s">
        <v>64</v>
      </c>
      <c r="O794" s="5">
        <v>0</v>
      </c>
      <c r="P794" s="5" t="s">
        <v>1627</v>
      </c>
      <c r="Q794" s="5" t="s">
        <v>1628</v>
      </c>
      <c r="R794" s="5">
        <v>22.96</v>
      </c>
      <c r="S794" s="4">
        <v>45505</v>
      </c>
      <c r="T794" s="4">
        <v>45510</v>
      </c>
      <c r="U794" s="5">
        <f t="shared" si="38"/>
        <v>5</v>
      </c>
      <c r="V794" s="5" t="s">
        <v>67</v>
      </c>
      <c r="X794" s="5"/>
    </row>
    <row r="795" spans="1:24">
      <c r="A795" s="4">
        <v>45402</v>
      </c>
      <c r="B795" s="5" t="str">
        <f t="shared" si="36"/>
        <v>April</v>
      </c>
      <c r="C795" s="5" t="s">
        <v>20</v>
      </c>
      <c r="D795" s="5" t="s">
        <v>25</v>
      </c>
      <c r="E795" s="5">
        <v>5</v>
      </c>
      <c r="F795" s="5">
        <v>316.76</v>
      </c>
      <c r="G795" s="6">
        <f t="shared" si="37"/>
        <v>1583.8</v>
      </c>
      <c r="H795" s="5" t="s">
        <v>53</v>
      </c>
      <c r="I795" s="5" t="s">
        <v>62</v>
      </c>
      <c r="J795" s="5">
        <v>0.05</v>
      </c>
      <c r="K795" s="5" t="s">
        <v>63</v>
      </c>
      <c r="L795" s="6">
        <v>1504.61</v>
      </c>
      <c r="M795" s="5" t="s">
        <v>31</v>
      </c>
      <c r="N795" s="5" t="s">
        <v>56</v>
      </c>
      <c r="O795" s="5">
        <v>1</v>
      </c>
      <c r="P795" s="5" t="s">
        <v>1629</v>
      </c>
      <c r="Q795" s="5" t="s">
        <v>1324</v>
      </c>
      <c r="R795" s="5">
        <v>12.7</v>
      </c>
      <c r="S795" s="4">
        <v>45402</v>
      </c>
      <c r="T795" s="4">
        <v>45412</v>
      </c>
      <c r="U795" s="5">
        <f t="shared" si="38"/>
        <v>10</v>
      </c>
      <c r="V795" s="5" t="s">
        <v>94</v>
      </c>
      <c r="X795" s="5"/>
    </row>
    <row r="796" spans="1:24">
      <c r="A796" s="4">
        <v>45402</v>
      </c>
      <c r="B796" s="5" t="str">
        <f t="shared" si="36"/>
        <v>April</v>
      </c>
      <c r="C796" s="5" t="s">
        <v>17</v>
      </c>
      <c r="D796" s="5" t="s">
        <v>22</v>
      </c>
      <c r="E796" s="5">
        <v>2</v>
      </c>
      <c r="F796" s="5">
        <v>169.62</v>
      </c>
      <c r="G796" s="6">
        <f t="shared" si="37"/>
        <v>339.24</v>
      </c>
      <c r="H796" s="5" t="s">
        <v>77</v>
      </c>
      <c r="I796" s="5" t="s">
        <v>62</v>
      </c>
      <c r="J796" s="5">
        <v>0.1</v>
      </c>
      <c r="K796" s="5" t="s">
        <v>63</v>
      </c>
      <c r="L796" s="6">
        <v>305.316</v>
      </c>
      <c r="M796" s="5" t="s">
        <v>33</v>
      </c>
      <c r="N796" s="5"/>
      <c r="O796" s="5">
        <v>0</v>
      </c>
      <c r="P796" s="5" t="s">
        <v>1630</v>
      </c>
      <c r="Q796" s="5" t="s">
        <v>1631</v>
      </c>
      <c r="R796" s="5">
        <v>45.41</v>
      </c>
      <c r="S796" s="4">
        <v>45402</v>
      </c>
      <c r="T796" s="4">
        <v>45407</v>
      </c>
      <c r="U796" s="5">
        <f t="shared" si="38"/>
        <v>5</v>
      </c>
      <c r="V796" s="5" t="s">
        <v>67</v>
      </c>
      <c r="X796" s="5"/>
    </row>
    <row r="797" spans="1:24">
      <c r="A797" s="4">
        <v>45191</v>
      </c>
      <c r="B797" s="5" t="str">
        <f t="shared" si="36"/>
        <v>September</v>
      </c>
      <c r="C797" s="5" t="s">
        <v>18</v>
      </c>
      <c r="D797" s="5" t="s">
        <v>22</v>
      </c>
      <c r="E797" s="5">
        <v>19</v>
      </c>
      <c r="F797" s="5">
        <v>35.38</v>
      </c>
      <c r="G797" s="6">
        <f t="shared" si="37"/>
        <v>672.22</v>
      </c>
      <c r="H797" s="5" t="s">
        <v>61</v>
      </c>
      <c r="I797" s="5" t="s">
        <v>62</v>
      </c>
      <c r="J797" s="5">
        <v>0.15</v>
      </c>
      <c r="K797" s="5" t="s">
        <v>82</v>
      </c>
      <c r="L797" s="6">
        <v>571.387</v>
      </c>
      <c r="M797" s="5" t="s">
        <v>30</v>
      </c>
      <c r="N797" s="5" t="s">
        <v>64</v>
      </c>
      <c r="O797" s="5">
        <v>0</v>
      </c>
      <c r="P797" s="5" t="s">
        <v>1632</v>
      </c>
      <c r="Q797" s="5" t="s">
        <v>1633</v>
      </c>
      <c r="R797" s="5">
        <v>7.06</v>
      </c>
      <c r="S797" s="4">
        <v>45191</v>
      </c>
      <c r="T797" s="4">
        <v>45197</v>
      </c>
      <c r="U797" s="5">
        <f t="shared" si="38"/>
        <v>6</v>
      </c>
      <c r="V797" s="5" t="s">
        <v>72</v>
      </c>
      <c r="X797" s="5"/>
    </row>
    <row r="798" spans="1:24">
      <c r="A798" s="4">
        <v>45709</v>
      </c>
      <c r="B798" s="5" t="str">
        <f t="shared" si="36"/>
        <v>February</v>
      </c>
      <c r="C798" s="5" t="s">
        <v>20</v>
      </c>
      <c r="D798" s="5" t="s">
        <v>25</v>
      </c>
      <c r="E798" s="5">
        <v>3</v>
      </c>
      <c r="F798" s="5">
        <v>264.08</v>
      </c>
      <c r="G798" s="6">
        <f t="shared" si="37"/>
        <v>792.24</v>
      </c>
      <c r="H798" s="5" t="s">
        <v>61</v>
      </c>
      <c r="I798" s="5" t="s">
        <v>62</v>
      </c>
      <c r="J798" s="5">
        <v>0.1</v>
      </c>
      <c r="K798" s="5" t="s">
        <v>82</v>
      </c>
      <c r="L798" s="6">
        <v>713.016</v>
      </c>
      <c r="M798" s="5" t="s">
        <v>30</v>
      </c>
      <c r="N798" s="5"/>
      <c r="O798" s="5">
        <v>0</v>
      </c>
      <c r="P798" s="5" t="s">
        <v>1634</v>
      </c>
      <c r="Q798" s="5" t="s">
        <v>1635</v>
      </c>
      <c r="R798" s="5">
        <v>25.39</v>
      </c>
      <c r="S798" s="4">
        <v>45709</v>
      </c>
      <c r="T798" s="4">
        <v>45718</v>
      </c>
      <c r="U798" s="5">
        <f t="shared" si="38"/>
        <v>9</v>
      </c>
      <c r="V798" s="5" t="s">
        <v>94</v>
      </c>
      <c r="X798" s="5"/>
    </row>
    <row r="799" spans="1:24">
      <c r="A799" s="4">
        <v>45832</v>
      </c>
      <c r="B799" s="5" t="str">
        <f t="shared" si="36"/>
        <v>June</v>
      </c>
      <c r="C799" s="5" t="s">
        <v>16</v>
      </c>
      <c r="D799" s="5" t="s">
        <v>101</v>
      </c>
      <c r="E799" s="5">
        <v>5</v>
      </c>
      <c r="F799" s="5">
        <v>137.56</v>
      </c>
      <c r="G799" s="6">
        <f t="shared" si="37"/>
        <v>687.8</v>
      </c>
      <c r="H799" s="5" t="s">
        <v>77</v>
      </c>
      <c r="I799" s="5" t="s">
        <v>54</v>
      </c>
      <c r="J799" s="5">
        <v>0.15</v>
      </c>
      <c r="K799" s="5" t="s">
        <v>82</v>
      </c>
      <c r="L799" s="6">
        <v>584.63</v>
      </c>
      <c r="M799" s="5" t="s">
        <v>33</v>
      </c>
      <c r="N799" s="5" t="s">
        <v>64</v>
      </c>
      <c r="O799" s="5">
        <v>0</v>
      </c>
      <c r="P799" s="5" t="s">
        <v>1636</v>
      </c>
      <c r="Q799" s="5" t="s">
        <v>285</v>
      </c>
      <c r="R799" s="5">
        <v>6.45</v>
      </c>
      <c r="S799" s="4">
        <v>45832</v>
      </c>
      <c r="T799" s="4">
        <v>45839</v>
      </c>
      <c r="U799" s="5">
        <f t="shared" si="38"/>
        <v>7</v>
      </c>
      <c r="V799" s="5" t="s">
        <v>59</v>
      </c>
      <c r="X799" s="5"/>
    </row>
    <row r="800" spans="1:24">
      <c r="A800" s="4">
        <v>45258</v>
      </c>
      <c r="B800" s="5" t="str">
        <f t="shared" si="36"/>
        <v>November</v>
      </c>
      <c r="C800" s="5" t="s">
        <v>19</v>
      </c>
      <c r="D800" s="5" t="s">
        <v>22</v>
      </c>
      <c r="E800" s="5">
        <v>8</v>
      </c>
      <c r="F800" s="5">
        <v>157.93</v>
      </c>
      <c r="G800" s="6">
        <f t="shared" si="37"/>
        <v>1263.44</v>
      </c>
      <c r="H800" s="5" t="s">
        <v>53</v>
      </c>
      <c r="I800" s="5" t="s">
        <v>62</v>
      </c>
      <c r="J800" s="5">
        <v>0.15</v>
      </c>
      <c r="K800" s="5" t="s">
        <v>82</v>
      </c>
      <c r="L800" s="6">
        <v>1073.924</v>
      </c>
      <c r="M800" s="5" t="s">
        <v>30</v>
      </c>
      <c r="N800" s="5" t="s">
        <v>64</v>
      </c>
      <c r="O800" s="5">
        <v>0</v>
      </c>
      <c r="P800" s="5" t="s">
        <v>1637</v>
      </c>
      <c r="Q800" s="5" t="s">
        <v>1638</v>
      </c>
      <c r="R800" s="5">
        <v>6.31</v>
      </c>
      <c r="S800" s="4">
        <v>45258</v>
      </c>
      <c r="T800" s="4">
        <v>45265</v>
      </c>
      <c r="U800" s="5">
        <f t="shared" si="38"/>
        <v>7</v>
      </c>
      <c r="V800" s="5" t="s">
        <v>76</v>
      </c>
      <c r="X800" s="5"/>
    </row>
    <row r="801" spans="1:24">
      <c r="A801" s="4">
        <v>45390</v>
      </c>
      <c r="B801" s="5" t="str">
        <f t="shared" si="36"/>
        <v>April</v>
      </c>
      <c r="C801" s="5" t="s">
        <v>18</v>
      </c>
      <c r="D801" s="5" t="s">
        <v>24</v>
      </c>
      <c r="E801" s="5">
        <v>6</v>
      </c>
      <c r="F801" s="5">
        <v>126.86</v>
      </c>
      <c r="G801" s="6">
        <f t="shared" si="37"/>
        <v>761.16</v>
      </c>
      <c r="H801" s="5" t="s">
        <v>77</v>
      </c>
      <c r="I801" s="5" t="s">
        <v>54</v>
      </c>
      <c r="J801" s="5">
        <v>0.05</v>
      </c>
      <c r="K801" s="5" t="s">
        <v>55</v>
      </c>
      <c r="L801" s="6">
        <v>723.102</v>
      </c>
      <c r="M801" s="5" t="s">
        <v>33</v>
      </c>
      <c r="N801" s="5" t="s">
        <v>56</v>
      </c>
      <c r="O801" s="5">
        <v>0</v>
      </c>
      <c r="P801" s="5" t="s">
        <v>1639</v>
      </c>
      <c r="Q801" s="5" t="s">
        <v>1640</v>
      </c>
      <c r="R801" s="5">
        <v>35.49</v>
      </c>
      <c r="S801" s="4">
        <v>45390</v>
      </c>
      <c r="T801" s="4">
        <v>45399</v>
      </c>
      <c r="U801" s="5">
        <f t="shared" si="38"/>
        <v>9</v>
      </c>
      <c r="V801" s="5" t="s">
        <v>72</v>
      </c>
      <c r="X801" s="5"/>
    </row>
    <row r="802" spans="1:24">
      <c r="A802" s="4">
        <v>45664</v>
      </c>
      <c r="B802" s="5" t="str">
        <f t="shared" si="36"/>
        <v>January</v>
      </c>
      <c r="C802" s="5" t="s">
        <v>18</v>
      </c>
      <c r="D802" s="5" t="s">
        <v>25</v>
      </c>
      <c r="E802" s="5">
        <v>15</v>
      </c>
      <c r="F802" s="5">
        <v>240.05</v>
      </c>
      <c r="G802" s="6">
        <f t="shared" si="37"/>
        <v>3600.75</v>
      </c>
      <c r="H802" s="5" t="s">
        <v>77</v>
      </c>
      <c r="I802" s="5" t="s">
        <v>62</v>
      </c>
      <c r="J802" s="5">
        <v>0.05</v>
      </c>
      <c r="K802" s="5" t="s">
        <v>78</v>
      </c>
      <c r="L802" s="6">
        <v>3420.7125</v>
      </c>
      <c r="M802" s="5" t="s">
        <v>32</v>
      </c>
      <c r="N802" s="5" t="s">
        <v>56</v>
      </c>
      <c r="O802" s="5">
        <v>0</v>
      </c>
      <c r="P802" s="5" t="s">
        <v>1641</v>
      </c>
      <c r="Q802" s="5" t="s">
        <v>1445</v>
      </c>
      <c r="R802" s="5">
        <v>14.31</v>
      </c>
      <c r="S802" s="4">
        <v>45664</v>
      </c>
      <c r="T802" s="4">
        <v>45671</v>
      </c>
      <c r="U802" s="5">
        <f t="shared" si="38"/>
        <v>7</v>
      </c>
      <c r="V802" s="5" t="s">
        <v>72</v>
      </c>
      <c r="X802" s="5"/>
    </row>
    <row r="803" spans="1:24">
      <c r="A803" s="4">
        <v>44981</v>
      </c>
      <c r="B803" s="5" t="str">
        <f t="shared" si="36"/>
        <v>February</v>
      </c>
      <c r="C803" s="5" t="s">
        <v>17</v>
      </c>
      <c r="D803" s="5" t="s">
        <v>101</v>
      </c>
      <c r="E803" s="5">
        <v>3</v>
      </c>
      <c r="F803" s="5">
        <v>37.63</v>
      </c>
      <c r="G803" s="6">
        <f t="shared" si="37"/>
        <v>112.89</v>
      </c>
      <c r="H803" s="5" t="s">
        <v>61</v>
      </c>
      <c r="I803" s="5" t="s">
        <v>54</v>
      </c>
      <c r="J803" s="5">
        <v>0.1</v>
      </c>
      <c r="K803" s="5" t="s">
        <v>78</v>
      </c>
      <c r="L803" s="6">
        <v>101.601</v>
      </c>
      <c r="M803" s="5" t="s">
        <v>33</v>
      </c>
      <c r="N803" s="5" t="s">
        <v>56</v>
      </c>
      <c r="O803" s="5">
        <v>0</v>
      </c>
      <c r="P803" s="5" t="s">
        <v>1642</v>
      </c>
      <c r="Q803" s="5" t="s">
        <v>1643</v>
      </c>
      <c r="R803" s="5">
        <v>43.7</v>
      </c>
      <c r="S803" s="4">
        <v>44981</v>
      </c>
      <c r="T803" s="4">
        <v>44988</v>
      </c>
      <c r="U803" s="5">
        <f t="shared" si="38"/>
        <v>7</v>
      </c>
      <c r="V803" s="5" t="s">
        <v>67</v>
      </c>
      <c r="X803" s="5"/>
    </row>
    <row r="804" spans="1:24">
      <c r="A804" s="4">
        <v>45218</v>
      </c>
      <c r="B804" s="5" t="str">
        <f t="shared" si="36"/>
        <v>October</v>
      </c>
      <c r="C804" s="5" t="s">
        <v>16</v>
      </c>
      <c r="D804" s="5" t="s">
        <v>25</v>
      </c>
      <c r="E804" s="5">
        <v>13</v>
      </c>
      <c r="F804" s="5">
        <v>393.1</v>
      </c>
      <c r="G804" s="6">
        <f t="shared" si="37"/>
        <v>5110.3</v>
      </c>
      <c r="H804" s="5" t="s">
        <v>53</v>
      </c>
      <c r="I804" s="5" t="s">
        <v>54</v>
      </c>
      <c r="J804" s="5">
        <v>0.1</v>
      </c>
      <c r="K804" s="5" t="s">
        <v>63</v>
      </c>
      <c r="L804" s="6">
        <v>4599.27</v>
      </c>
      <c r="M804" s="5" t="s">
        <v>30</v>
      </c>
      <c r="N804" s="5"/>
      <c r="O804" s="5">
        <v>0</v>
      </c>
      <c r="P804" s="5" t="s">
        <v>1644</v>
      </c>
      <c r="Q804" s="5" t="s">
        <v>88</v>
      </c>
      <c r="R804" s="5">
        <v>12.64</v>
      </c>
      <c r="S804" s="4">
        <v>45218</v>
      </c>
      <c r="T804" s="4">
        <v>45225</v>
      </c>
      <c r="U804" s="5">
        <f t="shared" si="38"/>
        <v>7</v>
      </c>
      <c r="V804" s="5" t="s">
        <v>59</v>
      </c>
      <c r="X804" s="5"/>
    </row>
    <row r="805" spans="1:24">
      <c r="A805" s="4">
        <v>45460</v>
      </c>
      <c r="B805" s="5" t="str">
        <f t="shared" si="36"/>
        <v>June</v>
      </c>
      <c r="C805" s="5" t="s">
        <v>18</v>
      </c>
      <c r="D805" s="5" t="s">
        <v>25</v>
      </c>
      <c r="E805" s="5">
        <v>10</v>
      </c>
      <c r="F805" s="5">
        <v>83.86</v>
      </c>
      <c r="G805" s="6">
        <f t="shared" si="37"/>
        <v>838.6</v>
      </c>
      <c r="H805" s="5" t="s">
        <v>61</v>
      </c>
      <c r="I805" s="5" t="s">
        <v>54</v>
      </c>
      <c r="J805" s="5">
        <v>0.15</v>
      </c>
      <c r="K805" s="5" t="s">
        <v>63</v>
      </c>
      <c r="L805" s="6">
        <v>712.81</v>
      </c>
      <c r="M805" s="5" t="s">
        <v>32</v>
      </c>
      <c r="N805" s="5"/>
      <c r="O805" s="5">
        <v>0</v>
      </c>
      <c r="P805" s="5" t="s">
        <v>1645</v>
      </c>
      <c r="Q805" s="5" t="s">
        <v>1646</v>
      </c>
      <c r="R805" s="5">
        <v>41.11</v>
      </c>
      <c r="S805" s="4">
        <v>45460</v>
      </c>
      <c r="T805" s="4">
        <v>45464</v>
      </c>
      <c r="U805" s="5">
        <f t="shared" si="38"/>
        <v>4</v>
      </c>
      <c r="V805" s="5" t="s">
        <v>72</v>
      </c>
      <c r="X805" s="5"/>
    </row>
    <row r="806" spans="1:24">
      <c r="A806" s="4">
        <v>45098</v>
      </c>
      <c r="B806" s="5" t="str">
        <f t="shared" si="36"/>
        <v>June</v>
      </c>
      <c r="C806" s="5" t="s">
        <v>19</v>
      </c>
      <c r="D806" s="5" t="s">
        <v>24</v>
      </c>
      <c r="E806" s="5">
        <v>10</v>
      </c>
      <c r="F806" s="5">
        <v>110.07</v>
      </c>
      <c r="G806" s="6">
        <f t="shared" si="37"/>
        <v>1100.7</v>
      </c>
      <c r="H806" s="5" t="s">
        <v>53</v>
      </c>
      <c r="I806" s="5" t="s">
        <v>54</v>
      </c>
      <c r="J806" s="5">
        <v>0</v>
      </c>
      <c r="K806" s="5" t="s">
        <v>73</v>
      </c>
      <c r="L806" s="6">
        <v>1100.7</v>
      </c>
      <c r="M806" s="5" t="s">
        <v>32</v>
      </c>
      <c r="N806" s="5"/>
      <c r="O806" s="5">
        <v>0</v>
      </c>
      <c r="P806" s="5" t="s">
        <v>1647</v>
      </c>
      <c r="Q806" s="5" t="s">
        <v>1648</v>
      </c>
      <c r="R806" s="5">
        <v>18.47</v>
      </c>
      <c r="S806" s="4">
        <v>45098</v>
      </c>
      <c r="T806" s="4">
        <v>45106</v>
      </c>
      <c r="U806" s="5">
        <f t="shared" si="38"/>
        <v>8</v>
      </c>
      <c r="V806" s="5" t="s">
        <v>76</v>
      </c>
      <c r="X806" s="5"/>
    </row>
    <row r="807" spans="1:24">
      <c r="A807" s="4">
        <v>45534</v>
      </c>
      <c r="B807" s="5" t="str">
        <f t="shared" si="36"/>
        <v>August</v>
      </c>
      <c r="C807" s="5" t="s">
        <v>16</v>
      </c>
      <c r="D807" s="5" t="s">
        <v>23</v>
      </c>
      <c r="E807" s="5">
        <v>6</v>
      </c>
      <c r="F807" s="5">
        <v>288.98</v>
      </c>
      <c r="G807" s="6">
        <f t="shared" si="37"/>
        <v>1733.88</v>
      </c>
      <c r="H807" s="5" t="s">
        <v>77</v>
      </c>
      <c r="I807" s="5" t="s">
        <v>54</v>
      </c>
      <c r="J807" s="5">
        <v>0.15</v>
      </c>
      <c r="K807" s="5" t="s">
        <v>82</v>
      </c>
      <c r="L807" s="6">
        <v>1473.798</v>
      </c>
      <c r="M807" s="5" t="s">
        <v>31</v>
      </c>
      <c r="N807" s="5"/>
      <c r="O807" s="5">
        <v>0</v>
      </c>
      <c r="P807" s="5" t="s">
        <v>1649</v>
      </c>
      <c r="Q807" s="5" t="s">
        <v>1650</v>
      </c>
      <c r="R807" s="5">
        <v>38.63</v>
      </c>
      <c r="S807" s="4">
        <v>45534</v>
      </c>
      <c r="T807" s="4">
        <v>45537</v>
      </c>
      <c r="U807" s="5">
        <f t="shared" si="38"/>
        <v>3</v>
      </c>
      <c r="V807" s="5" t="s">
        <v>59</v>
      </c>
      <c r="X807" s="5"/>
    </row>
    <row r="808" spans="1:24">
      <c r="A808" s="4">
        <v>45660</v>
      </c>
      <c r="B808" s="5" t="str">
        <f t="shared" si="36"/>
        <v>January</v>
      </c>
      <c r="C808" s="5" t="s">
        <v>19</v>
      </c>
      <c r="D808" s="5" t="s">
        <v>24</v>
      </c>
      <c r="E808" s="5">
        <v>10</v>
      </c>
      <c r="F808" s="5">
        <v>451.14</v>
      </c>
      <c r="G808" s="6">
        <f t="shared" si="37"/>
        <v>4511.4</v>
      </c>
      <c r="H808" s="5" t="s">
        <v>61</v>
      </c>
      <c r="I808" s="5" t="s">
        <v>62</v>
      </c>
      <c r="J808" s="5">
        <v>0</v>
      </c>
      <c r="K808" s="5" t="s">
        <v>89</v>
      </c>
      <c r="L808" s="6">
        <v>4511.4</v>
      </c>
      <c r="M808" s="5" t="s">
        <v>31</v>
      </c>
      <c r="N808" s="5" t="s">
        <v>56</v>
      </c>
      <c r="O808" s="5">
        <v>0</v>
      </c>
      <c r="P808" s="5" t="s">
        <v>1651</v>
      </c>
      <c r="Q808" s="5" t="s">
        <v>1652</v>
      </c>
      <c r="R808" s="5">
        <v>29.96</v>
      </c>
      <c r="S808" s="4">
        <v>45660</v>
      </c>
      <c r="T808" s="4">
        <v>45670</v>
      </c>
      <c r="U808" s="5">
        <f t="shared" si="38"/>
        <v>10</v>
      </c>
      <c r="V808" s="5" t="s">
        <v>76</v>
      </c>
      <c r="X808" s="5"/>
    </row>
    <row r="809" spans="1:24">
      <c r="A809" s="4">
        <v>44980</v>
      </c>
      <c r="B809" s="5" t="str">
        <f t="shared" si="36"/>
        <v>February</v>
      </c>
      <c r="C809" s="5" t="s">
        <v>20</v>
      </c>
      <c r="D809" s="5" t="s">
        <v>27</v>
      </c>
      <c r="E809" s="5">
        <v>16</v>
      </c>
      <c r="F809" s="5">
        <v>509.08</v>
      </c>
      <c r="G809" s="6">
        <f t="shared" si="37"/>
        <v>8145.28</v>
      </c>
      <c r="H809" s="5" t="s">
        <v>77</v>
      </c>
      <c r="I809" s="5" t="s">
        <v>54</v>
      </c>
      <c r="J809" s="5">
        <v>0</v>
      </c>
      <c r="K809" s="5" t="s">
        <v>78</v>
      </c>
      <c r="L809" s="6">
        <v>8145.28</v>
      </c>
      <c r="M809" s="5" t="s">
        <v>30</v>
      </c>
      <c r="N809" s="5" t="s">
        <v>56</v>
      </c>
      <c r="O809" s="5">
        <v>0</v>
      </c>
      <c r="P809" s="5" t="s">
        <v>1653</v>
      </c>
      <c r="Q809" s="5" t="s">
        <v>906</v>
      </c>
      <c r="R809" s="5">
        <v>37.53</v>
      </c>
      <c r="S809" s="4">
        <v>44980</v>
      </c>
      <c r="T809" s="4">
        <v>44987</v>
      </c>
      <c r="U809" s="5">
        <f t="shared" si="38"/>
        <v>7</v>
      </c>
      <c r="V809" s="5" t="s">
        <v>94</v>
      </c>
      <c r="X809" s="5"/>
    </row>
    <row r="810" spans="1:24">
      <c r="A810" s="4">
        <v>45773</v>
      </c>
      <c r="B810" s="5" t="str">
        <f t="shared" si="36"/>
        <v>April</v>
      </c>
      <c r="C810" s="5" t="s">
        <v>19</v>
      </c>
      <c r="D810" s="5" t="s">
        <v>27</v>
      </c>
      <c r="E810" s="5">
        <v>4</v>
      </c>
      <c r="F810" s="5">
        <v>582.73</v>
      </c>
      <c r="G810" s="6">
        <f t="shared" si="37"/>
        <v>2330.92</v>
      </c>
      <c r="H810" s="5" t="s">
        <v>81</v>
      </c>
      <c r="I810" s="5" t="s">
        <v>54</v>
      </c>
      <c r="J810" s="5">
        <v>0.05</v>
      </c>
      <c r="K810" s="5" t="s">
        <v>78</v>
      </c>
      <c r="L810" s="6">
        <v>2214.374</v>
      </c>
      <c r="M810" s="5" t="s">
        <v>34</v>
      </c>
      <c r="N810" s="5" t="s">
        <v>69</v>
      </c>
      <c r="O810" s="5">
        <v>0</v>
      </c>
      <c r="P810" s="5" t="s">
        <v>1654</v>
      </c>
      <c r="Q810" s="5" t="s">
        <v>1655</v>
      </c>
      <c r="R810" s="5">
        <v>44.26</v>
      </c>
      <c r="S810" s="4">
        <v>45773</v>
      </c>
      <c r="T810" s="4">
        <v>45776</v>
      </c>
      <c r="U810" s="5">
        <f t="shared" si="38"/>
        <v>3</v>
      </c>
      <c r="V810" s="5" t="s">
        <v>76</v>
      </c>
      <c r="X810" s="5"/>
    </row>
    <row r="811" spans="1:24">
      <c r="A811" s="4">
        <v>45085</v>
      </c>
      <c r="B811" s="5" t="str">
        <f t="shared" si="36"/>
        <v>June</v>
      </c>
      <c r="C811" s="5" t="s">
        <v>17</v>
      </c>
      <c r="D811" s="5" t="s">
        <v>23</v>
      </c>
      <c r="E811" s="5">
        <v>9</v>
      </c>
      <c r="F811" s="5">
        <v>115.24</v>
      </c>
      <c r="G811" s="6">
        <f t="shared" si="37"/>
        <v>1037.16</v>
      </c>
      <c r="H811" s="5" t="s">
        <v>53</v>
      </c>
      <c r="I811" s="5" t="s">
        <v>54</v>
      </c>
      <c r="J811" s="5">
        <v>0</v>
      </c>
      <c r="K811" s="5" t="s">
        <v>63</v>
      </c>
      <c r="L811" s="6">
        <v>1037.16</v>
      </c>
      <c r="M811" s="5" t="s">
        <v>32</v>
      </c>
      <c r="N811" s="5" t="s">
        <v>56</v>
      </c>
      <c r="O811" s="5">
        <v>0</v>
      </c>
      <c r="P811" s="5" t="s">
        <v>1656</v>
      </c>
      <c r="Q811" s="5" t="s">
        <v>1657</v>
      </c>
      <c r="R811" s="5">
        <v>8.28</v>
      </c>
      <c r="S811" s="4">
        <v>45085</v>
      </c>
      <c r="T811" s="4">
        <v>45091</v>
      </c>
      <c r="U811" s="5">
        <f t="shared" si="38"/>
        <v>6</v>
      </c>
      <c r="V811" s="5" t="s">
        <v>67</v>
      </c>
      <c r="X811" s="5"/>
    </row>
    <row r="812" spans="1:24">
      <c r="A812" s="4">
        <v>45001</v>
      </c>
      <c r="B812" s="5" t="str">
        <f t="shared" si="36"/>
        <v>March</v>
      </c>
      <c r="C812" s="5" t="s">
        <v>18</v>
      </c>
      <c r="D812" s="5" t="s">
        <v>26</v>
      </c>
      <c r="E812" s="5">
        <v>14</v>
      </c>
      <c r="F812" s="5">
        <v>565.45</v>
      </c>
      <c r="G812" s="6">
        <f t="shared" si="37"/>
        <v>7916.3</v>
      </c>
      <c r="H812" s="5" t="s">
        <v>81</v>
      </c>
      <c r="I812" s="5" t="s">
        <v>54</v>
      </c>
      <c r="J812" s="5">
        <v>0.1</v>
      </c>
      <c r="K812" s="5" t="s">
        <v>55</v>
      </c>
      <c r="L812" s="6">
        <v>7124.67</v>
      </c>
      <c r="M812" s="5" t="s">
        <v>30</v>
      </c>
      <c r="N812" s="5" t="s">
        <v>69</v>
      </c>
      <c r="O812" s="5">
        <v>0</v>
      </c>
      <c r="P812" s="5" t="s">
        <v>1658</v>
      </c>
      <c r="Q812" s="5" t="s">
        <v>1659</v>
      </c>
      <c r="R812" s="5">
        <v>24.4</v>
      </c>
      <c r="S812" s="4">
        <v>45001</v>
      </c>
      <c r="T812" s="4">
        <v>45010</v>
      </c>
      <c r="U812" s="5">
        <f t="shared" si="38"/>
        <v>9</v>
      </c>
      <c r="V812" s="5" t="s">
        <v>72</v>
      </c>
      <c r="X812" s="5"/>
    </row>
    <row r="813" spans="1:24">
      <c r="A813" s="4">
        <v>45588</v>
      </c>
      <c r="B813" s="5" t="str">
        <f t="shared" si="36"/>
        <v>October</v>
      </c>
      <c r="C813" s="5" t="s">
        <v>18</v>
      </c>
      <c r="D813" s="5" t="s">
        <v>23</v>
      </c>
      <c r="E813" s="5">
        <v>11</v>
      </c>
      <c r="F813" s="5">
        <v>121.54</v>
      </c>
      <c r="G813" s="6">
        <f t="shared" si="37"/>
        <v>1336.94</v>
      </c>
      <c r="H813" s="5" t="s">
        <v>81</v>
      </c>
      <c r="I813" s="5" t="s">
        <v>54</v>
      </c>
      <c r="J813" s="5">
        <v>0</v>
      </c>
      <c r="K813" s="5" t="s">
        <v>78</v>
      </c>
      <c r="L813" s="6">
        <v>1336.94</v>
      </c>
      <c r="M813" s="5" t="s">
        <v>32</v>
      </c>
      <c r="N813" s="5" t="s">
        <v>64</v>
      </c>
      <c r="O813" s="5">
        <v>0</v>
      </c>
      <c r="P813" s="5" t="s">
        <v>1660</v>
      </c>
      <c r="Q813" s="5" t="s">
        <v>1661</v>
      </c>
      <c r="R813" s="5">
        <v>16.62</v>
      </c>
      <c r="S813" s="4">
        <v>45588</v>
      </c>
      <c r="T813" s="4">
        <v>45593</v>
      </c>
      <c r="U813" s="5">
        <f t="shared" si="38"/>
        <v>5</v>
      </c>
      <c r="V813" s="5" t="s">
        <v>72</v>
      </c>
      <c r="X813" s="5"/>
    </row>
    <row r="814" spans="1:24">
      <c r="A814" s="4">
        <v>45800</v>
      </c>
      <c r="B814" s="5" t="str">
        <f t="shared" si="36"/>
        <v>May</v>
      </c>
      <c r="C814" s="5" t="s">
        <v>16</v>
      </c>
      <c r="D814" s="5" t="s">
        <v>27</v>
      </c>
      <c r="E814" s="5">
        <v>9</v>
      </c>
      <c r="F814" s="5">
        <v>160.15</v>
      </c>
      <c r="G814" s="6">
        <f t="shared" si="37"/>
        <v>1441.35</v>
      </c>
      <c r="H814" s="5" t="s">
        <v>81</v>
      </c>
      <c r="I814" s="5" t="s">
        <v>62</v>
      </c>
      <c r="J814" s="5">
        <v>0.1</v>
      </c>
      <c r="K814" s="5" t="s">
        <v>63</v>
      </c>
      <c r="L814" s="6">
        <v>1297.215</v>
      </c>
      <c r="M814" s="5" t="s">
        <v>33</v>
      </c>
      <c r="N814" s="5"/>
      <c r="O814" s="5">
        <v>1</v>
      </c>
      <c r="P814" s="5" t="s">
        <v>1662</v>
      </c>
      <c r="Q814" s="5" t="s">
        <v>1663</v>
      </c>
      <c r="R814" s="5">
        <v>29.64</v>
      </c>
      <c r="S814" s="4">
        <v>45800</v>
      </c>
      <c r="T814" s="4">
        <v>45805</v>
      </c>
      <c r="U814" s="5">
        <f t="shared" si="38"/>
        <v>5</v>
      </c>
      <c r="V814" s="5" t="s">
        <v>59</v>
      </c>
      <c r="X814" s="5"/>
    </row>
    <row r="815" spans="1:24">
      <c r="A815" s="4">
        <v>45052</v>
      </c>
      <c r="B815" s="5" t="str">
        <f t="shared" si="36"/>
        <v>May</v>
      </c>
      <c r="C815" s="5" t="s">
        <v>16</v>
      </c>
      <c r="D815" s="5" t="s">
        <v>24</v>
      </c>
      <c r="E815" s="5">
        <v>14</v>
      </c>
      <c r="F815" s="5">
        <v>175.66</v>
      </c>
      <c r="G815" s="6">
        <f t="shared" si="37"/>
        <v>2459.24</v>
      </c>
      <c r="H815" s="5" t="s">
        <v>53</v>
      </c>
      <c r="I815" s="5" t="s">
        <v>54</v>
      </c>
      <c r="J815" s="5">
        <v>0.05</v>
      </c>
      <c r="K815" s="5" t="s">
        <v>89</v>
      </c>
      <c r="L815" s="6">
        <v>2336.278</v>
      </c>
      <c r="M815" s="5" t="s">
        <v>34</v>
      </c>
      <c r="N815" s="5" t="s">
        <v>64</v>
      </c>
      <c r="O815" s="5">
        <v>0</v>
      </c>
      <c r="P815" s="5" t="s">
        <v>1664</v>
      </c>
      <c r="Q815" s="5" t="s">
        <v>1665</v>
      </c>
      <c r="R815" s="5">
        <v>26.12</v>
      </c>
      <c r="S815" s="4">
        <v>45052</v>
      </c>
      <c r="T815" s="4">
        <v>45060</v>
      </c>
      <c r="U815" s="5">
        <f t="shared" si="38"/>
        <v>8</v>
      </c>
      <c r="V815" s="5" t="s">
        <v>59</v>
      </c>
      <c r="X815" s="5"/>
    </row>
    <row r="816" spans="1:24">
      <c r="A816" s="4">
        <v>45519</v>
      </c>
      <c r="B816" s="5" t="str">
        <f t="shared" si="36"/>
        <v>August</v>
      </c>
      <c r="C816" s="5" t="s">
        <v>17</v>
      </c>
      <c r="D816" s="5" t="s">
        <v>101</v>
      </c>
      <c r="E816" s="5">
        <v>3</v>
      </c>
      <c r="F816" s="5">
        <v>437.97</v>
      </c>
      <c r="G816" s="6">
        <f t="shared" si="37"/>
        <v>1313.91</v>
      </c>
      <c r="H816" s="5" t="s">
        <v>77</v>
      </c>
      <c r="I816" s="5" t="s">
        <v>54</v>
      </c>
      <c r="J816" s="5">
        <v>0.05</v>
      </c>
      <c r="K816" s="5" t="s">
        <v>55</v>
      </c>
      <c r="L816" s="6">
        <v>1248.2145</v>
      </c>
      <c r="M816" s="5" t="s">
        <v>34</v>
      </c>
      <c r="N816" s="5" t="s">
        <v>64</v>
      </c>
      <c r="O816" s="5">
        <v>1</v>
      </c>
      <c r="P816" s="5" t="s">
        <v>1666</v>
      </c>
      <c r="Q816" s="5" t="s">
        <v>1667</v>
      </c>
      <c r="R816" s="5">
        <v>23.29</v>
      </c>
      <c r="S816" s="4">
        <v>45519</v>
      </c>
      <c r="T816" s="4">
        <v>45526</v>
      </c>
      <c r="U816" s="5">
        <f t="shared" si="38"/>
        <v>7</v>
      </c>
      <c r="V816" s="5" t="s">
        <v>67</v>
      </c>
      <c r="X816" s="5"/>
    </row>
    <row r="817" spans="1:24">
      <c r="A817" s="4">
        <v>45161</v>
      </c>
      <c r="B817" s="5" t="str">
        <f t="shared" si="36"/>
        <v>August</v>
      </c>
      <c r="C817" s="5" t="s">
        <v>17</v>
      </c>
      <c r="D817" s="5" t="s">
        <v>27</v>
      </c>
      <c r="E817" s="5">
        <v>12</v>
      </c>
      <c r="F817" s="5">
        <v>411.59</v>
      </c>
      <c r="G817" s="6">
        <f t="shared" si="37"/>
        <v>4939.08</v>
      </c>
      <c r="H817" s="5" t="s">
        <v>53</v>
      </c>
      <c r="I817" s="5" t="s">
        <v>54</v>
      </c>
      <c r="J817" s="5">
        <v>0.15</v>
      </c>
      <c r="K817" s="5" t="s">
        <v>82</v>
      </c>
      <c r="L817" s="6">
        <v>4198.218</v>
      </c>
      <c r="M817" s="5" t="s">
        <v>34</v>
      </c>
      <c r="N817" s="5" t="s">
        <v>56</v>
      </c>
      <c r="O817" s="5">
        <v>0</v>
      </c>
      <c r="P817" s="5" t="s">
        <v>1668</v>
      </c>
      <c r="Q817" s="5" t="s">
        <v>1669</v>
      </c>
      <c r="R817" s="5">
        <v>19.17</v>
      </c>
      <c r="S817" s="4">
        <v>45161</v>
      </c>
      <c r="T817" s="4">
        <v>45169</v>
      </c>
      <c r="U817" s="5">
        <f t="shared" si="38"/>
        <v>8</v>
      </c>
      <c r="V817" s="5" t="s">
        <v>67</v>
      </c>
      <c r="X817" s="5"/>
    </row>
    <row r="818" spans="1:24">
      <c r="A818" s="4">
        <v>45760</v>
      </c>
      <c r="B818" s="5" t="str">
        <f t="shared" si="36"/>
        <v>April</v>
      </c>
      <c r="C818" s="5" t="s">
        <v>17</v>
      </c>
      <c r="D818" s="5" t="s">
        <v>22</v>
      </c>
      <c r="E818" s="5">
        <v>1</v>
      </c>
      <c r="F818" s="5">
        <v>163.29</v>
      </c>
      <c r="G818" s="6">
        <f t="shared" si="37"/>
        <v>163.29</v>
      </c>
      <c r="H818" s="5" t="s">
        <v>53</v>
      </c>
      <c r="I818" s="5" t="s">
        <v>62</v>
      </c>
      <c r="J818" s="5">
        <v>0</v>
      </c>
      <c r="K818" s="5" t="s">
        <v>82</v>
      </c>
      <c r="L818" s="6">
        <v>163.29</v>
      </c>
      <c r="M818" s="5" t="s">
        <v>32</v>
      </c>
      <c r="N818" s="5" t="s">
        <v>69</v>
      </c>
      <c r="O818" s="5">
        <v>0</v>
      </c>
      <c r="P818" s="5" t="s">
        <v>1670</v>
      </c>
      <c r="Q818" s="5" t="s">
        <v>1671</v>
      </c>
      <c r="R818" s="5">
        <v>21.15</v>
      </c>
      <c r="S818" s="4">
        <v>45760</v>
      </c>
      <c r="T818" s="4">
        <v>45769</v>
      </c>
      <c r="U818" s="5">
        <f t="shared" si="38"/>
        <v>9</v>
      </c>
      <c r="V818" s="5" t="s">
        <v>67</v>
      </c>
      <c r="X818" s="5"/>
    </row>
    <row r="819" spans="1:24">
      <c r="A819" s="4">
        <v>45454</v>
      </c>
      <c r="B819" s="5" t="str">
        <f t="shared" si="36"/>
        <v>June</v>
      </c>
      <c r="C819" s="5" t="s">
        <v>19</v>
      </c>
      <c r="D819" s="5" t="s">
        <v>24</v>
      </c>
      <c r="E819" s="5">
        <v>5</v>
      </c>
      <c r="F819" s="5">
        <v>538.52</v>
      </c>
      <c r="G819" s="6">
        <f t="shared" si="37"/>
        <v>2692.6</v>
      </c>
      <c r="H819" s="5" t="s">
        <v>53</v>
      </c>
      <c r="I819" s="5" t="s">
        <v>54</v>
      </c>
      <c r="J819" s="5">
        <v>0.05</v>
      </c>
      <c r="K819" s="5" t="s">
        <v>63</v>
      </c>
      <c r="L819" s="6">
        <v>2557.97</v>
      </c>
      <c r="M819" s="5" t="s">
        <v>31</v>
      </c>
      <c r="N819" s="5"/>
      <c r="O819" s="5">
        <v>0</v>
      </c>
      <c r="P819" s="5" t="s">
        <v>1672</v>
      </c>
      <c r="Q819" s="5" t="s">
        <v>1673</v>
      </c>
      <c r="R819" s="5">
        <v>45.81</v>
      </c>
      <c r="S819" s="4">
        <v>45454</v>
      </c>
      <c r="T819" s="4">
        <v>45460</v>
      </c>
      <c r="U819" s="5">
        <f t="shared" si="38"/>
        <v>6</v>
      </c>
      <c r="V819" s="5" t="s">
        <v>76</v>
      </c>
      <c r="X819" s="5"/>
    </row>
    <row r="820" spans="1:24">
      <c r="A820" s="4">
        <v>45411</v>
      </c>
      <c r="B820" s="5" t="str">
        <f t="shared" si="36"/>
        <v>April</v>
      </c>
      <c r="C820" s="5" t="s">
        <v>17</v>
      </c>
      <c r="D820" s="5" t="s">
        <v>23</v>
      </c>
      <c r="E820" s="5">
        <v>11</v>
      </c>
      <c r="F820" s="5">
        <v>255.95</v>
      </c>
      <c r="G820" s="6">
        <f t="shared" si="37"/>
        <v>2815.45</v>
      </c>
      <c r="H820" s="5" t="s">
        <v>77</v>
      </c>
      <c r="I820" s="5" t="s">
        <v>54</v>
      </c>
      <c r="J820" s="5">
        <v>0.1</v>
      </c>
      <c r="K820" s="5" t="s">
        <v>63</v>
      </c>
      <c r="L820" s="6">
        <v>2533.905</v>
      </c>
      <c r="M820" s="5" t="s">
        <v>30</v>
      </c>
      <c r="N820" s="5"/>
      <c r="O820" s="5">
        <v>0</v>
      </c>
      <c r="P820" s="5" t="s">
        <v>1674</v>
      </c>
      <c r="Q820" s="5" t="s">
        <v>1675</v>
      </c>
      <c r="R820" s="5">
        <v>21.99</v>
      </c>
      <c r="S820" s="4">
        <v>45411</v>
      </c>
      <c r="T820" s="4">
        <v>45416</v>
      </c>
      <c r="U820" s="5">
        <f t="shared" si="38"/>
        <v>5</v>
      </c>
      <c r="V820" s="5" t="s">
        <v>67</v>
      </c>
      <c r="X820" s="5"/>
    </row>
    <row r="821" spans="1:24">
      <c r="A821" s="4">
        <v>45012</v>
      </c>
      <c r="B821" s="5" t="str">
        <f t="shared" si="36"/>
        <v>March</v>
      </c>
      <c r="C821" s="5" t="s">
        <v>17</v>
      </c>
      <c r="D821" s="5" t="s">
        <v>24</v>
      </c>
      <c r="E821" s="5">
        <v>7</v>
      </c>
      <c r="F821" s="5">
        <v>290.22</v>
      </c>
      <c r="G821" s="6">
        <f t="shared" si="37"/>
        <v>2031.54</v>
      </c>
      <c r="H821" s="5" t="s">
        <v>61</v>
      </c>
      <c r="I821" s="5" t="s">
        <v>62</v>
      </c>
      <c r="J821" s="5">
        <v>0.1</v>
      </c>
      <c r="K821" s="5" t="s">
        <v>63</v>
      </c>
      <c r="L821" s="6">
        <v>1828.386</v>
      </c>
      <c r="M821" s="5" t="s">
        <v>34</v>
      </c>
      <c r="N821" s="5" t="s">
        <v>69</v>
      </c>
      <c r="O821" s="5">
        <v>0</v>
      </c>
      <c r="P821" s="5" t="s">
        <v>1676</v>
      </c>
      <c r="Q821" s="5" t="s">
        <v>1677</v>
      </c>
      <c r="R821" s="5">
        <v>33.15</v>
      </c>
      <c r="S821" s="4">
        <v>45012</v>
      </c>
      <c r="T821" s="4">
        <v>45020</v>
      </c>
      <c r="U821" s="5">
        <f t="shared" si="38"/>
        <v>8</v>
      </c>
      <c r="V821" s="5" t="s">
        <v>67</v>
      </c>
      <c r="X821" s="5"/>
    </row>
    <row r="822" spans="1:24">
      <c r="A822" s="4">
        <v>45588</v>
      </c>
      <c r="B822" s="5" t="str">
        <f t="shared" si="36"/>
        <v>October</v>
      </c>
      <c r="C822" s="5" t="s">
        <v>18</v>
      </c>
      <c r="D822" s="5" t="s">
        <v>25</v>
      </c>
      <c r="E822" s="5">
        <v>20</v>
      </c>
      <c r="F822" s="5">
        <v>198.95</v>
      </c>
      <c r="G822" s="6">
        <f t="shared" si="37"/>
        <v>3979</v>
      </c>
      <c r="H822" s="5" t="s">
        <v>53</v>
      </c>
      <c r="I822" s="5" t="s">
        <v>62</v>
      </c>
      <c r="J822" s="5">
        <v>0.1</v>
      </c>
      <c r="K822" s="5" t="s">
        <v>82</v>
      </c>
      <c r="L822" s="6">
        <v>3581.1</v>
      </c>
      <c r="M822" s="5" t="s">
        <v>32</v>
      </c>
      <c r="N822" s="5"/>
      <c r="O822" s="5">
        <v>1</v>
      </c>
      <c r="P822" s="5" t="s">
        <v>1678</v>
      </c>
      <c r="Q822" s="5" t="s">
        <v>1679</v>
      </c>
      <c r="R822" s="5">
        <v>5.16</v>
      </c>
      <c r="S822" s="4">
        <v>45588</v>
      </c>
      <c r="T822" s="4">
        <v>45590</v>
      </c>
      <c r="U822" s="5">
        <f t="shared" si="38"/>
        <v>2</v>
      </c>
      <c r="V822" s="5" t="s">
        <v>72</v>
      </c>
      <c r="X822" s="5"/>
    </row>
    <row r="823" spans="1:24">
      <c r="A823" s="4">
        <v>45098</v>
      </c>
      <c r="B823" s="5" t="str">
        <f t="shared" si="36"/>
        <v>June</v>
      </c>
      <c r="C823" s="5" t="s">
        <v>18</v>
      </c>
      <c r="D823" s="5" t="s">
        <v>27</v>
      </c>
      <c r="E823" s="5">
        <v>11</v>
      </c>
      <c r="F823" s="5">
        <v>577.1</v>
      </c>
      <c r="G823" s="6">
        <f t="shared" si="37"/>
        <v>6348.1</v>
      </c>
      <c r="H823" s="5" t="s">
        <v>77</v>
      </c>
      <c r="I823" s="5" t="s">
        <v>62</v>
      </c>
      <c r="J823" s="5">
        <v>0.15</v>
      </c>
      <c r="K823" s="5" t="s">
        <v>73</v>
      </c>
      <c r="L823" s="6">
        <v>5395.885</v>
      </c>
      <c r="M823" s="5" t="s">
        <v>34</v>
      </c>
      <c r="N823" s="5" t="s">
        <v>64</v>
      </c>
      <c r="O823" s="5">
        <v>0</v>
      </c>
      <c r="P823" s="5" t="s">
        <v>1680</v>
      </c>
      <c r="Q823" s="5" t="s">
        <v>695</v>
      </c>
      <c r="R823" s="5">
        <v>13.16</v>
      </c>
      <c r="S823" s="4">
        <v>45098</v>
      </c>
      <c r="T823" s="4">
        <v>45105</v>
      </c>
      <c r="U823" s="5">
        <f t="shared" si="38"/>
        <v>7</v>
      </c>
      <c r="V823" s="5" t="s">
        <v>72</v>
      </c>
      <c r="X823" s="5"/>
    </row>
    <row r="824" spans="1:24">
      <c r="A824" s="4">
        <v>45058</v>
      </c>
      <c r="B824" s="5" t="str">
        <f t="shared" si="36"/>
        <v>May</v>
      </c>
      <c r="C824" s="5" t="s">
        <v>19</v>
      </c>
      <c r="D824" s="5" t="s">
        <v>27</v>
      </c>
      <c r="E824" s="5">
        <v>10</v>
      </c>
      <c r="F824" s="5">
        <v>50.1</v>
      </c>
      <c r="G824" s="6">
        <f t="shared" si="37"/>
        <v>501</v>
      </c>
      <c r="H824" s="5" t="s">
        <v>61</v>
      </c>
      <c r="I824" s="5" t="s">
        <v>54</v>
      </c>
      <c r="J824" s="5">
        <v>0.1</v>
      </c>
      <c r="K824" s="5" t="s">
        <v>89</v>
      </c>
      <c r="L824" s="6">
        <v>450.9</v>
      </c>
      <c r="M824" s="5" t="s">
        <v>34</v>
      </c>
      <c r="N824" s="5" t="s">
        <v>56</v>
      </c>
      <c r="O824" s="5">
        <v>1</v>
      </c>
      <c r="P824" s="5" t="s">
        <v>1681</v>
      </c>
      <c r="Q824" s="5" t="s">
        <v>1243</v>
      </c>
      <c r="R824" s="5">
        <v>23.43</v>
      </c>
      <c r="S824" s="4">
        <v>45058</v>
      </c>
      <c r="T824" s="4">
        <v>45065</v>
      </c>
      <c r="U824" s="5">
        <f t="shared" si="38"/>
        <v>7</v>
      </c>
      <c r="V824" s="5" t="s">
        <v>76</v>
      </c>
      <c r="X824" s="5"/>
    </row>
    <row r="825" spans="1:24">
      <c r="A825" s="4">
        <v>45585</v>
      </c>
      <c r="B825" s="5" t="str">
        <f t="shared" si="36"/>
        <v>October</v>
      </c>
      <c r="C825" s="5" t="s">
        <v>19</v>
      </c>
      <c r="D825" s="5" t="s">
        <v>27</v>
      </c>
      <c r="E825" s="5">
        <v>19</v>
      </c>
      <c r="F825" s="5">
        <v>554.5</v>
      </c>
      <c r="G825" s="6">
        <f t="shared" si="37"/>
        <v>10535.5</v>
      </c>
      <c r="H825" s="5" t="s">
        <v>53</v>
      </c>
      <c r="I825" s="5" t="s">
        <v>62</v>
      </c>
      <c r="J825" s="5">
        <v>0.15</v>
      </c>
      <c r="K825" s="5" t="s">
        <v>78</v>
      </c>
      <c r="L825" s="6">
        <v>8955.175</v>
      </c>
      <c r="M825" s="5" t="s">
        <v>30</v>
      </c>
      <c r="N825" s="5"/>
      <c r="O825" s="5">
        <v>1</v>
      </c>
      <c r="P825" s="5" t="s">
        <v>1682</v>
      </c>
      <c r="Q825" s="5" t="s">
        <v>1683</v>
      </c>
      <c r="R825" s="5">
        <v>47.16</v>
      </c>
      <c r="S825" s="4">
        <v>45585</v>
      </c>
      <c r="T825" s="4">
        <v>45589</v>
      </c>
      <c r="U825" s="5">
        <f t="shared" si="38"/>
        <v>4</v>
      </c>
      <c r="V825" s="5" t="s">
        <v>76</v>
      </c>
      <c r="X825" s="5"/>
    </row>
    <row r="826" spans="1:24">
      <c r="A826" s="4">
        <v>45386</v>
      </c>
      <c r="B826" s="5" t="str">
        <f t="shared" si="36"/>
        <v>April</v>
      </c>
      <c r="C826" s="5" t="s">
        <v>18</v>
      </c>
      <c r="D826" s="5" t="s">
        <v>22</v>
      </c>
      <c r="E826" s="5">
        <v>14</v>
      </c>
      <c r="F826" s="5">
        <v>117.31</v>
      </c>
      <c r="G826" s="6">
        <f t="shared" si="37"/>
        <v>1642.34</v>
      </c>
      <c r="H826" s="5" t="s">
        <v>61</v>
      </c>
      <c r="I826" s="5" t="s">
        <v>54</v>
      </c>
      <c r="J826" s="5">
        <v>0</v>
      </c>
      <c r="K826" s="5" t="s">
        <v>82</v>
      </c>
      <c r="L826" s="6">
        <v>1642.34</v>
      </c>
      <c r="M826" s="5" t="s">
        <v>30</v>
      </c>
      <c r="N826" s="5" t="s">
        <v>69</v>
      </c>
      <c r="O826" s="5">
        <v>0</v>
      </c>
      <c r="P826" s="5" t="s">
        <v>1684</v>
      </c>
      <c r="Q826" s="5" t="s">
        <v>1685</v>
      </c>
      <c r="R826" s="5">
        <v>41.24</v>
      </c>
      <c r="S826" s="4">
        <v>45386</v>
      </c>
      <c r="T826" s="4">
        <v>45389</v>
      </c>
      <c r="U826" s="5">
        <f t="shared" si="38"/>
        <v>3</v>
      </c>
      <c r="V826" s="5" t="s">
        <v>72</v>
      </c>
      <c r="X826" s="5"/>
    </row>
    <row r="827" spans="1:24">
      <c r="A827" s="4">
        <v>45669</v>
      </c>
      <c r="B827" s="5" t="str">
        <f t="shared" si="36"/>
        <v>January</v>
      </c>
      <c r="C827" s="5" t="s">
        <v>19</v>
      </c>
      <c r="D827" s="5" t="s">
        <v>101</v>
      </c>
      <c r="E827" s="5">
        <v>3</v>
      </c>
      <c r="F827" s="5">
        <v>193.98</v>
      </c>
      <c r="G827" s="6">
        <f t="shared" si="37"/>
        <v>581.94</v>
      </c>
      <c r="H827" s="5" t="s">
        <v>61</v>
      </c>
      <c r="I827" s="5" t="s">
        <v>62</v>
      </c>
      <c r="J827" s="5">
        <v>0</v>
      </c>
      <c r="K827" s="5" t="s">
        <v>89</v>
      </c>
      <c r="L827" s="6">
        <v>581.94</v>
      </c>
      <c r="M827" s="5" t="s">
        <v>32</v>
      </c>
      <c r="N827" s="5" t="s">
        <v>69</v>
      </c>
      <c r="O827" s="5">
        <v>0</v>
      </c>
      <c r="P827" s="5" t="s">
        <v>1686</v>
      </c>
      <c r="Q827" s="5" t="s">
        <v>1687</v>
      </c>
      <c r="R827" s="5">
        <v>27.53</v>
      </c>
      <c r="S827" s="4">
        <v>45669</v>
      </c>
      <c r="T827" s="4">
        <v>45673</v>
      </c>
      <c r="U827" s="5">
        <f t="shared" si="38"/>
        <v>4</v>
      </c>
      <c r="V827" s="5" t="s">
        <v>76</v>
      </c>
      <c r="X827" s="5"/>
    </row>
    <row r="828" spans="1:24">
      <c r="A828" s="4">
        <v>45131</v>
      </c>
      <c r="B828" s="5" t="str">
        <f t="shared" si="36"/>
        <v>July</v>
      </c>
      <c r="C828" s="5" t="s">
        <v>17</v>
      </c>
      <c r="D828" s="5" t="s">
        <v>23</v>
      </c>
      <c r="E828" s="5">
        <v>20</v>
      </c>
      <c r="F828" s="5">
        <v>386.86</v>
      </c>
      <c r="G828" s="6">
        <f t="shared" si="37"/>
        <v>7737.2</v>
      </c>
      <c r="H828" s="5" t="s">
        <v>61</v>
      </c>
      <c r="I828" s="5" t="s">
        <v>54</v>
      </c>
      <c r="J828" s="5">
        <v>0.05</v>
      </c>
      <c r="K828" s="5" t="s">
        <v>78</v>
      </c>
      <c r="L828" s="6">
        <v>7350.34</v>
      </c>
      <c r="M828" s="5" t="s">
        <v>30</v>
      </c>
      <c r="N828" s="5" t="s">
        <v>69</v>
      </c>
      <c r="O828" s="5">
        <v>0</v>
      </c>
      <c r="P828" s="5" t="s">
        <v>1688</v>
      </c>
      <c r="Q828" s="5" t="s">
        <v>1689</v>
      </c>
      <c r="R828" s="5">
        <v>41.56</v>
      </c>
      <c r="S828" s="4">
        <v>45131</v>
      </c>
      <c r="T828" s="4">
        <v>45136</v>
      </c>
      <c r="U828" s="5">
        <f t="shared" si="38"/>
        <v>5</v>
      </c>
      <c r="V828" s="5" t="s">
        <v>67</v>
      </c>
      <c r="X828" s="5"/>
    </row>
    <row r="829" spans="1:24">
      <c r="A829" s="4">
        <v>45178</v>
      </c>
      <c r="B829" s="5" t="str">
        <f t="shared" si="36"/>
        <v>September</v>
      </c>
      <c r="C829" s="5" t="s">
        <v>18</v>
      </c>
      <c r="D829" s="5" t="s">
        <v>25</v>
      </c>
      <c r="E829" s="5">
        <v>12</v>
      </c>
      <c r="F829" s="5">
        <v>81.33</v>
      </c>
      <c r="G829" s="6">
        <f t="shared" si="37"/>
        <v>975.96</v>
      </c>
      <c r="H829" s="5" t="s">
        <v>81</v>
      </c>
      <c r="I829" s="5" t="s">
        <v>54</v>
      </c>
      <c r="J829" s="5">
        <v>0</v>
      </c>
      <c r="K829" s="5" t="s">
        <v>78</v>
      </c>
      <c r="L829" s="6">
        <v>975.96</v>
      </c>
      <c r="M829" s="5" t="s">
        <v>34</v>
      </c>
      <c r="N829" s="5" t="s">
        <v>64</v>
      </c>
      <c r="O829" s="5">
        <v>1</v>
      </c>
      <c r="P829" s="5" t="s">
        <v>1690</v>
      </c>
      <c r="Q829" s="5" t="s">
        <v>1496</v>
      </c>
      <c r="R829" s="5">
        <v>30.73</v>
      </c>
      <c r="S829" s="4">
        <v>45178</v>
      </c>
      <c r="T829" s="4">
        <v>45182</v>
      </c>
      <c r="U829" s="5">
        <f t="shared" si="38"/>
        <v>4</v>
      </c>
      <c r="V829" s="5" t="s">
        <v>72</v>
      </c>
      <c r="X829" s="5"/>
    </row>
    <row r="830" spans="1:24">
      <c r="A830" s="4">
        <v>45402</v>
      </c>
      <c r="B830" s="5" t="str">
        <f t="shared" si="36"/>
        <v>April</v>
      </c>
      <c r="C830" s="5" t="s">
        <v>16</v>
      </c>
      <c r="D830" s="5" t="s">
        <v>27</v>
      </c>
      <c r="E830" s="5">
        <v>5</v>
      </c>
      <c r="F830" s="5">
        <v>550.65</v>
      </c>
      <c r="G830" s="6">
        <f t="shared" si="37"/>
        <v>2753.25</v>
      </c>
      <c r="H830" s="5" t="s">
        <v>61</v>
      </c>
      <c r="I830" s="5" t="s">
        <v>62</v>
      </c>
      <c r="J830" s="5">
        <v>0.15</v>
      </c>
      <c r="K830" s="5" t="s">
        <v>89</v>
      </c>
      <c r="L830" s="6">
        <v>2340.2625</v>
      </c>
      <c r="M830" s="5" t="s">
        <v>31</v>
      </c>
      <c r="N830" s="5"/>
      <c r="O830" s="5">
        <v>0</v>
      </c>
      <c r="P830" s="5" t="s">
        <v>1691</v>
      </c>
      <c r="Q830" s="5" t="s">
        <v>1692</v>
      </c>
      <c r="R830" s="5">
        <v>16.82</v>
      </c>
      <c r="S830" s="4">
        <v>45402</v>
      </c>
      <c r="T830" s="4">
        <v>45409</v>
      </c>
      <c r="U830" s="5">
        <f t="shared" si="38"/>
        <v>7</v>
      </c>
      <c r="V830" s="5" t="s">
        <v>59</v>
      </c>
      <c r="X830" s="5"/>
    </row>
    <row r="831" spans="1:24">
      <c r="A831" s="4">
        <v>45694</v>
      </c>
      <c r="B831" s="5" t="str">
        <f t="shared" si="36"/>
        <v>February</v>
      </c>
      <c r="C831" s="5" t="s">
        <v>20</v>
      </c>
      <c r="D831" s="5" t="s">
        <v>27</v>
      </c>
      <c r="E831" s="5">
        <v>4</v>
      </c>
      <c r="F831" s="5">
        <v>473.91</v>
      </c>
      <c r="G831" s="6">
        <f t="shared" si="37"/>
        <v>1895.64</v>
      </c>
      <c r="H831" s="5" t="s">
        <v>61</v>
      </c>
      <c r="I831" s="5" t="s">
        <v>62</v>
      </c>
      <c r="J831" s="5">
        <v>0.05</v>
      </c>
      <c r="K831" s="5" t="s">
        <v>55</v>
      </c>
      <c r="L831" s="6">
        <v>1800.858</v>
      </c>
      <c r="M831" s="5" t="s">
        <v>32</v>
      </c>
      <c r="N831" s="5" t="s">
        <v>64</v>
      </c>
      <c r="O831" s="5">
        <v>0</v>
      </c>
      <c r="P831" s="5" t="s">
        <v>1693</v>
      </c>
      <c r="Q831" s="5" t="s">
        <v>1458</v>
      </c>
      <c r="R831" s="5">
        <v>29.22</v>
      </c>
      <c r="S831" s="4">
        <v>45694</v>
      </c>
      <c r="T831" s="4">
        <v>45702</v>
      </c>
      <c r="U831" s="5">
        <f t="shared" si="38"/>
        <v>8</v>
      </c>
      <c r="V831" s="5" t="s">
        <v>94</v>
      </c>
      <c r="X831" s="5"/>
    </row>
    <row r="832" spans="1:24">
      <c r="A832" s="4">
        <v>45095</v>
      </c>
      <c r="B832" s="5" t="str">
        <f t="shared" si="36"/>
        <v>June</v>
      </c>
      <c r="C832" s="5" t="s">
        <v>20</v>
      </c>
      <c r="D832" s="5" t="s">
        <v>101</v>
      </c>
      <c r="E832" s="5">
        <v>19</v>
      </c>
      <c r="F832" s="5">
        <v>25.22</v>
      </c>
      <c r="G832" s="6">
        <f t="shared" si="37"/>
        <v>479.18</v>
      </c>
      <c r="H832" s="5" t="s">
        <v>77</v>
      </c>
      <c r="I832" s="5" t="s">
        <v>54</v>
      </c>
      <c r="J832" s="5">
        <v>0</v>
      </c>
      <c r="K832" s="5" t="s">
        <v>89</v>
      </c>
      <c r="L832" s="6">
        <v>479.18</v>
      </c>
      <c r="M832" s="5" t="s">
        <v>32</v>
      </c>
      <c r="N832" s="5"/>
      <c r="O832" s="5">
        <v>0</v>
      </c>
      <c r="P832" s="5" t="s">
        <v>1694</v>
      </c>
      <c r="Q832" s="5" t="s">
        <v>1695</v>
      </c>
      <c r="R832" s="5">
        <v>31.31</v>
      </c>
      <c r="S832" s="4">
        <v>45095</v>
      </c>
      <c r="T832" s="4">
        <v>45099</v>
      </c>
      <c r="U832" s="5">
        <f t="shared" si="38"/>
        <v>4</v>
      </c>
      <c r="V832" s="5" t="s">
        <v>94</v>
      </c>
      <c r="X832" s="5"/>
    </row>
    <row r="833" spans="1:24">
      <c r="A833" s="4">
        <v>45597</v>
      </c>
      <c r="B833" s="5" t="str">
        <f t="shared" si="36"/>
        <v>November</v>
      </c>
      <c r="C833" s="5" t="s">
        <v>18</v>
      </c>
      <c r="D833" s="5" t="s">
        <v>23</v>
      </c>
      <c r="E833" s="5">
        <v>2</v>
      </c>
      <c r="F833" s="5">
        <v>437.04</v>
      </c>
      <c r="G833" s="6">
        <f t="shared" si="37"/>
        <v>874.08</v>
      </c>
      <c r="H833" s="5" t="s">
        <v>77</v>
      </c>
      <c r="I833" s="5" t="s">
        <v>54</v>
      </c>
      <c r="J833" s="5">
        <v>0</v>
      </c>
      <c r="K833" s="5" t="s">
        <v>73</v>
      </c>
      <c r="L833" s="6">
        <v>874.08</v>
      </c>
      <c r="M833" s="5" t="s">
        <v>32</v>
      </c>
      <c r="N833" s="5" t="s">
        <v>64</v>
      </c>
      <c r="O833" s="5">
        <v>1</v>
      </c>
      <c r="P833" s="5" t="s">
        <v>1696</v>
      </c>
      <c r="Q833" s="5" t="s">
        <v>1697</v>
      </c>
      <c r="R833" s="5">
        <v>37.37</v>
      </c>
      <c r="S833" s="4">
        <v>45597</v>
      </c>
      <c r="T833" s="4">
        <v>45604</v>
      </c>
      <c r="U833" s="5">
        <f t="shared" si="38"/>
        <v>7</v>
      </c>
      <c r="V833" s="5" t="s">
        <v>72</v>
      </c>
      <c r="X833" s="5"/>
    </row>
    <row r="834" spans="1:24">
      <c r="A834" s="4">
        <v>45516</v>
      </c>
      <c r="B834" s="5" t="str">
        <f t="shared" si="36"/>
        <v>August</v>
      </c>
      <c r="C834" s="5" t="s">
        <v>20</v>
      </c>
      <c r="D834" s="5" t="s">
        <v>24</v>
      </c>
      <c r="E834" s="5">
        <v>5</v>
      </c>
      <c r="F834" s="5">
        <v>448.86</v>
      </c>
      <c r="G834" s="6">
        <f t="shared" si="37"/>
        <v>2244.3</v>
      </c>
      <c r="H834" s="5" t="s">
        <v>77</v>
      </c>
      <c r="I834" s="5" t="s">
        <v>54</v>
      </c>
      <c r="J834" s="5">
        <v>0.15</v>
      </c>
      <c r="K834" s="5" t="s">
        <v>73</v>
      </c>
      <c r="L834" s="6">
        <v>1907.655</v>
      </c>
      <c r="M834" s="5" t="s">
        <v>32</v>
      </c>
      <c r="N834" s="5" t="s">
        <v>64</v>
      </c>
      <c r="O834" s="5">
        <v>1</v>
      </c>
      <c r="P834" s="5" t="s">
        <v>1698</v>
      </c>
      <c r="Q834" s="5" t="s">
        <v>1699</v>
      </c>
      <c r="R834" s="5">
        <v>21.22</v>
      </c>
      <c r="S834" s="4">
        <v>45516</v>
      </c>
      <c r="T834" s="4">
        <v>45525</v>
      </c>
      <c r="U834" s="5">
        <f t="shared" si="38"/>
        <v>9</v>
      </c>
      <c r="V834" s="5" t="s">
        <v>94</v>
      </c>
      <c r="X834" s="5"/>
    </row>
    <row r="835" spans="1:24">
      <c r="A835" s="4">
        <v>45755</v>
      </c>
      <c r="B835" s="5" t="str">
        <f t="shared" ref="B835:B898" si="39">TEXT(A835,"mmmm")</f>
        <v>April</v>
      </c>
      <c r="C835" s="5" t="s">
        <v>19</v>
      </c>
      <c r="D835" s="5" t="s">
        <v>23</v>
      </c>
      <c r="E835" s="5">
        <v>14</v>
      </c>
      <c r="F835" s="5">
        <v>299.94</v>
      </c>
      <c r="G835" s="6">
        <f t="shared" ref="G835:G898" si="40">F835*E835</f>
        <v>4199.16</v>
      </c>
      <c r="H835" s="5" t="s">
        <v>81</v>
      </c>
      <c r="I835" s="5" t="s">
        <v>62</v>
      </c>
      <c r="J835" s="5">
        <v>0</v>
      </c>
      <c r="K835" s="5" t="s">
        <v>78</v>
      </c>
      <c r="L835" s="6">
        <v>4199.16</v>
      </c>
      <c r="M835" s="5" t="s">
        <v>31</v>
      </c>
      <c r="N835" s="5" t="s">
        <v>56</v>
      </c>
      <c r="O835" s="5">
        <v>0</v>
      </c>
      <c r="P835" s="5" t="s">
        <v>1700</v>
      </c>
      <c r="Q835" s="5" t="s">
        <v>1701</v>
      </c>
      <c r="R835" s="5">
        <v>21.04</v>
      </c>
      <c r="S835" s="4">
        <v>45755</v>
      </c>
      <c r="T835" s="4">
        <v>45764</v>
      </c>
      <c r="U835" s="5">
        <f t="shared" ref="U835:U898" si="41">T835-S835</f>
        <v>9</v>
      </c>
      <c r="V835" s="5" t="s">
        <v>76</v>
      </c>
      <c r="X835" s="5"/>
    </row>
    <row r="836" spans="1:24">
      <c r="A836" s="4">
        <v>45493</v>
      </c>
      <c r="B836" s="5" t="str">
        <f t="shared" si="39"/>
        <v>July</v>
      </c>
      <c r="C836" s="5" t="s">
        <v>19</v>
      </c>
      <c r="D836" s="5" t="s">
        <v>22</v>
      </c>
      <c r="E836" s="5">
        <v>8</v>
      </c>
      <c r="F836" s="5">
        <v>224.18</v>
      </c>
      <c r="G836" s="6">
        <f t="shared" si="40"/>
        <v>1793.44</v>
      </c>
      <c r="H836" s="5" t="s">
        <v>53</v>
      </c>
      <c r="I836" s="5" t="s">
        <v>62</v>
      </c>
      <c r="J836" s="5">
        <v>0.15</v>
      </c>
      <c r="K836" s="5" t="s">
        <v>89</v>
      </c>
      <c r="L836" s="6">
        <v>1524.424</v>
      </c>
      <c r="M836" s="5" t="s">
        <v>33</v>
      </c>
      <c r="N836" s="5"/>
      <c r="O836" s="5">
        <v>0</v>
      </c>
      <c r="P836" s="5" t="s">
        <v>1702</v>
      </c>
      <c r="Q836" s="5" t="s">
        <v>1703</v>
      </c>
      <c r="R836" s="5">
        <v>36.9</v>
      </c>
      <c r="S836" s="4">
        <v>45493</v>
      </c>
      <c r="T836" s="4">
        <v>45499</v>
      </c>
      <c r="U836" s="5">
        <f t="shared" si="41"/>
        <v>6</v>
      </c>
      <c r="V836" s="5" t="s">
        <v>76</v>
      </c>
      <c r="X836" s="5"/>
    </row>
    <row r="837" spans="1:24">
      <c r="A837" s="4">
        <v>44974</v>
      </c>
      <c r="B837" s="5" t="str">
        <f t="shared" si="39"/>
        <v>February</v>
      </c>
      <c r="C837" s="5" t="s">
        <v>20</v>
      </c>
      <c r="D837" s="5" t="s">
        <v>24</v>
      </c>
      <c r="E837" s="5">
        <v>6</v>
      </c>
      <c r="F837" s="5">
        <v>327.69</v>
      </c>
      <c r="G837" s="6">
        <f t="shared" si="40"/>
        <v>1966.14</v>
      </c>
      <c r="H837" s="5" t="s">
        <v>81</v>
      </c>
      <c r="I837" s="5" t="s">
        <v>54</v>
      </c>
      <c r="J837" s="5">
        <v>0.05</v>
      </c>
      <c r="K837" s="5" t="s">
        <v>82</v>
      </c>
      <c r="L837" s="6">
        <v>1867.833</v>
      </c>
      <c r="M837" s="5" t="s">
        <v>34</v>
      </c>
      <c r="N837" s="5"/>
      <c r="O837" s="5">
        <v>0</v>
      </c>
      <c r="P837" s="5" t="s">
        <v>1704</v>
      </c>
      <c r="Q837" s="5" t="s">
        <v>1705</v>
      </c>
      <c r="R837" s="5">
        <v>22.34</v>
      </c>
      <c r="S837" s="4">
        <v>44974</v>
      </c>
      <c r="T837" s="4">
        <v>44978</v>
      </c>
      <c r="U837" s="5">
        <f t="shared" si="41"/>
        <v>4</v>
      </c>
      <c r="V837" s="5" t="s">
        <v>94</v>
      </c>
      <c r="X837" s="5"/>
    </row>
    <row r="838" spans="1:24">
      <c r="A838" s="4">
        <v>45475</v>
      </c>
      <c r="B838" s="5" t="str">
        <f t="shared" si="39"/>
        <v>July</v>
      </c>
      <c r="C838" s="5" t="s">
        <v>16</v>
      </c>
      <c r="D838" s="5" t="s">
        <v>23</v>
      </c>
      <c r="E838" s="5">
        <v>8</v>
      </c>
      <c r="F838" s="5">
        <v>432.27</v>
      </c>
      <c r="G838" s="6">
        <f t="shared" si="40"/>
        <v>3458.16</v>
      </c>
      <c r="H838" s="5" t="s">
        <v>81</v>
      </c>
      <c r="I838" s="5" t="s">
        <v>62</v>
      </c>
      <c r="J838" s="5">
        <v>0.05</v>
      </c>
      <c r="K838" s="5" t="s">
        <v>55</v>
      </c>
      <c r="L838" s="6">
        <v>3285.252</v>
      </c>
      <c r="M838" s="5" t="s">
        <v>34</v>
      </c>
      <c r="N838" s="5" t="s">
        <v>56</v>
      </c>
      <c r="O838" s="5">
        <v>1</v>
      </c>
      <c r="P838" s="5" t="s">
        <v>1706</v>
      </c>
      <c r="Q838" s="5" t="s">
        <v>1707</v>
      </c>
      <c r="R838" s="5">
        <v>20.64</v>
      </c>
      <c r="S838" s="4">
        <v>45475</v>
      </c>
      <c r="T838" s="4">
        <v>45477</v>
      </c>
      <c r="U838" s="5">
        <f t="shared" si="41"/>
        <v>2</v>
      </c>
      <c r="V838" s="5" t="s">
        <v>59</v>
      </c>
      <c r="X838" s="5"/>
    </row>
    <row r="839" spans="1:24">
      <c r="A839" s="4">
        <v>45748</v>
      </c>
      <c r="B839" s="5" t="str">
        <f t="shared" si="39"/>
        <v>April</v>
      </c>
      <c r="C839" s="5" t="s">
        <v>18</v>
      </c>
      <c r="D839" s="5" t="s">
        <v>26</v>
      </c>
      <c r="E839" s="5">
        <v>4</v>
      </c>
      <c r="F839" s="5">
        <v>249.98</v>
      </c>
      <c r="G839" s="6">
        <f t="shared" si="40"/>
        <v>999.92</v>
      </c>
      <c r="H839" s="5" t="s">
        <v>77</v>
      </c>
      <c r="I839" s="5" t="s">
        <v>62</v>
      </c>
      <c r="J839" s="5">
        <v>0.15</v>
      </c>
      <c r="K839" s="5" t="s">
        <v>55</v>
      </c>
      <c r="L839" s="6">
        <v>849.932</v>
      </c>
      <c r="M839" s="5" t="s">
        <v>33</v>
      </c>
      <c r="N839" s="5" t="s">
        <v>64</v>
      </c>
      <c r="O839" s="5">
        <v>0</v>
      </c>
      <c r="P839" s="5" t="s">
        <v>1708</v>
      </c>
      <c r="Q839" s="5" t="s">
        <v>1709</v>
      </c>
      <c r="R839" s="5">
        <v>49.08</v>
      </c>
      <c r="S839" s="4">
        <v>45748</v>
      </c>
      <c r="T839" s="4">
        <v>45751</v>
      </c>
      <c r="U839" s="5">
        <f t="shared" si="41"/>
        <v>3</v>
      </c>
      <c r="V839" s="5" t="s">
        <v>72</v>
      </c>
      <c r="X839" s="5"/>
    </row>
    <row r="840" spans="1:24">
      <c r="A840" s="4">
        <v>45810</v>
      </c>
      <c r="B840" s="5" t="str">
        <f t="shared" si="39"/>
        <v>June</v>
      </c>
      <c r="C840" s="5" t="s">
        <v>17</v>
      </c>
      <c r="D840" s="5" t="s">
        <v>27</v>
      </c>
      <c r="E840" s="5">
        <v>14</v>
      </c>
      <c r="F840" s="5">
        <v>194.31</v>
      </c>
      <c r="G840" s="6">
        <f t="shared" si="40"/>
        <v>2720.34</v>
      </c>
      <c r="H840" s="5" t="s">
        <v>77</v>
      </c>
      <c r="I840" s="5" t="s">
        <v>54</v>
      </c>
      <c r="J840" s="5">
        <v>0.15</v>
      </c>
      <c r="K840" s="5" t="s">
        <v>73</v>
      </c>
      <c r="L840" s="6">
        <v>2312.289</v>
      </c>
      <c r="M840" s="5" t="s">
        <v>33</v>
      </c>
      <c r="N840" s="5" t="s">
        <v>56</v>
      </c>
      <c r="O840" s="5">
        <v>0</v>
      </c>
      <c r="P840" s="5" t="s">
        <v>1710</v>
      </c>
      <c r="Q840" s="5" t="s">
        <v>1711</v>
      </c>
      <c r="R840" s="5">
        <v>15.3</v>
      </c>
      <c r="S840" s="4">
        <v>45810</v>
      </c>
      <c r="T840" s="4">
        <v>45817</v>
      </c>
      <c r="U840" s="5">
        <f t="shared" si="41"/>
        <v>7</v>
      </c>
      <c r="V840" s="5" t="s">
        <v>67</v>
      </c>
      <c r="X840" s="5"/>
    </row>
    <row r="841" spans="1:24">
      <c r="A841" s="4">
        <v>45617</v>
      </c>
      <c r="B841" s="5" t="str">
        <f t="shared" si="39"/>
        <v>November</v>
      </c>
      <c r="C841" s="5" t="s">
        <v>20</v>
      </c>
      <c r="D841" s="5" t="s">
        <v>23</v>
      </c>
      <c r="E841" s="5">
        <v>5</v>
      </c>
      <c r="F841" s="5">
        <v>69.29</v>
      </c>
      <c r="G841" s="6">
        <f t="shared" si="40"/>
        <v>346.45</v>
      </c>
      <c r="H841" s="5" t="s">
        <v>77</v>
      </c>
      <c r="I841" s="5" t="s">
        <v>54</v>
      </c>
      <c r="J841" s="5">
        <v>0</v>
      </c>
      <c r="K841" s="5" t="s">
        <v>78</v>
      </c>
      <c r="L841" s="6">
        <v>346.45</v>
      </c>
      <c r="M841" s="5" t="s">
        <v>32</v>
      </c>
      <c r="N841" s="5"/>
      <c r="O841" s="5">
        <v>0</v>
      </c>
      <c r="P841" s="5" t="s">
        <v>1712</v>
      </c>
      <c r="Q841" s="5" t="s">
        <v>1713</v>
      </c>
      <c r="R841" s="5">
        <v>20.83</v>
      </c>
      <c r="S841" s="4">
        <v>45617</v>
      </c>
      <c r="T841" s="4">
        <v>45625</v>
      </c>
      <c r="U841" s="5">
        <f t="shared" si="41"/>
        <v>8</v>
      </c>
      <c r="V841" s="5" t="s">
        <v>94</v>
      </c>
      <c r="X841" s="5"/>
    </row>
    <row r="842" spans="1:24">
      <c r="A842" s="4">
        <v>45301</v>
      </c>
      <c r="B842" s="5" t="str">
        <f t="shared" si="39"/>
        <v>January</v>
      </c>
      <c r="C842" s="5" t="s">
        <v>17</v>
      </c>
      <c r="D842" s="5" t="s">
        <v>27</v>
      </c>
      <c r="E842" s="5">
        <v>15</v>
      </c>
      <c r="F842" s="5">
        <v>306.91</v>
      </c>
      <c r="G842" s="6">
        <f t="shared" si="40"/>
        <v>4603.65</v>
      </c>
      <c r="H842" s="5" t="s">
        <v>61</v>
      </c>
      <c r="I842" s="5" t="s">
        <v>62</v>
      </c>
      <c r="J842" s="5">
        <v>0</v>
      </c>
      <c r="K842" s="5" t="s">
        <v>78</v>
      </c>
      <c r="L842" s="6">
        <v>4603.65</v>
      </c>
      <c r="M842" s="5" t="s">
        <v>34</v>
      </c>
      <c r="N842" s="5" t="s">
        <v>56</v>
      </c>
      <c r="O842" s="5">
        <v>1</v>
      </c>
      <c r="P842" s="5" t="s">
        <v>1714</v>
      </c>
      <c r="Q842" s="5" t="s">
        <v>1715</v>
      </c>
      <c r="R842" s="5">
        <v>19.38</v>
      </c>
      <c r="S842" s="4">
        <v>45301</v>
      </c>
      <c r="T842" s="4">
        <v>45305</v>
      </c>
      <c r="U842" s="5">
        <f t="shared" si="41"/>
        <v>4</v>
      </c>
      <c r="V842" s="5" t="s">
        <v>67</v>
      </c>
      <c r="X842" s="5"/>
    </row>
    <row r="843" spans="1:24">
      <c r="A843" s="4">
        <v>45220</v>
      </c>
      <c r="B843" s="5" t="str">
        <f t="shared" si="39"/>
        <v>October</v>
      </c>
      <c r="C843" s="5" t="s">
        <v>18</v>
      </c>
      <c r="D843" s="5" t="s">
        <v>24</v>
      </c>
      <c r="E843" s="5">
        <v>4</v>
      </c>
      <c r="F843" s="5">
        <v>390.3</v>
      </c>
      <c r="G843" s="6">
        <f t="shared" si="40"/>
        <v>1561.2</v>
      </c>
      <c r="H843" s="5" t="s">
        <v>61</v>
      </c>
      <c r="I843" s="5" t="s">
        <v>62</v>
      </c>
      <c r="J843" s="5">
        <v>0.15</v>
      </c>
      <c r="K843" s="5" t="s">
        <v>82</v>
      </c>
      <c r="L843" s="6">
        <v>1327.02</v>
      </c>
      <c r="M843" s="5" t="s">
        <v>33</v>
      </c>
      <c r="N843" s="5"/>
      <c r="O843" s="5">
        <v>0</v>
      </c>
      <c r="P843" s="5" t="s">
        <v>1716</v>
      </c>
      <c r="Q843" s="5" t="s">
        <v>1717</v>
      </c>
      <c r="R843" s="5">
        <v>43.56</v>
      </c>
      <c r="S843" s="4">
        <v>45220</v>
      </c>
      <c r="T843" s="4">
        <v>45225</v>
      </c>
      <c r="U843" s="5">
        <f t="shared" si="41"/>
        <v>5</v>
      </c>
      <c r="V843" s="5" t="s">
        <v>72</v>
      </c>
      <c r="X843" s="5"/>
    </row>
    <row r="844" spans="1:24">
      <c r="A844" s="4">
        <v>45677</v>
      </c>
      <c r="B844" s="5" t="str">
        <f t="shared" si="39"/>
        <v>January</v>
      </c>
      <c r="C844" s="5" t="s">
        <v>18</v>
      </c>
      <c r="D844" s="5" t="s">
        <v>23</v>
      </c>
      <c r="E844" s="5">
        <v>7</v>
      </c>
      <c r="F844" s="5">
        <v>61.83</v>
      </c>
      <c r="G844" s="6">
        <f t="shared" si="40"/>
        <v>432.81</v>
      </c>
      <c r="H844" s="5" t="s">
        <v>53</v>
      </c>
      <c r="I844" s="5" t="s">
        <v>62</v>
      </c>
      <c r="J844" s="5">
        <v>0</v>
      </c>
      <c r="K844" s="5" t="s">
        <v>82</v>
      </c>
      <c r="L844" s="6">
        <v>432.81</v>
      </c>
      <c r="M844" s="5" t="s">
        <v>30</v>
      </c>
      <c r="N844" s="5" t="s">
        <v>69</v>
      </c>
      <c r="O844" s="5">
        <v>0</v>
      </c>
      <c r="P844" s="5" t="s">
        <v>1718</v>
      </c>
      <c r="Q844" s="5" t="s">
        <v>1719</v>
      </c>
      <c r="R844" s="5">
        <v>25.49</v>
      </c>
      <c r="S844" s="4">
        <v>45677</v>
      </c>
      <c r="T844" s="4">
        <v>45679</v>
      </c>
      <c r="U844" s="5">
        <f t="shared" si="41"/>
        <v>2</v>
      </c>
      <c r="V844" s="5" t="s">
        <v>72</v>
      </c>
      <c r="X844" s="5"/>
    </row>
    <row r="845" spans="1:24">
      <c r="A845" s="4">
        <v>45605</v>
      </c>
      <c r="B845" s="5" t="str">
        <f t="shared" si="39"/>
        <v>November</v>
      </c>
      <c r="C845" s="5" t="s">
        <v>20</v>
      </c>
      <c r="D845" s="5" t="s">
        <v>26</v>
      </c>
      <c r="E845" s="5">
        <v>7</v>
      </c>
      <c r="F845" s="5">
        <v>83.32</v>
      </c>
      <c r="G845" s="6">
        <f t="shared" si="40"/>
        <v>583.24</v>
      </c>
      <c r="H845" s="5" t="s">
        <v>81</v>
      </c>
      <c r="I845" s="5" t="s">
        <v>54</v>
      </c>
      <c r="J845" s="5">
        <v>0.05</v>
      </c>
      <c r="K845" s="5" t="s">
        <v>78</v>
      </c>
      <c r="L845" s="6">
        <v>554.078</v>
      </c>
      <c r="M845" s="5" t="s">
        <v>34</v>
      </c>
      <c r="N845" s="5" t="s">
        <v>56</v>
      </c>
      <c r="O845" s="5">
        <v>0</v>
      </c>
      <c r="P845" s="5" t="s">
        <v>1720</v>
      </c>
      <c r="Q845" s="5" t="s">
        <v>1721</v>
      </c>
      <c r="R845" s="5">
        <v>23.4</v>
      </c>
      <c r="S845" s="4">
        <v>45605</v>
      </c>
      <c r="T845" s="4">
        <v>45613</v>
      </c>
      <c r="U845" s="5">
        <f t="shared" si="41"/>
        <v>8</v>
      </c>
      <c r="V845" s="5" t="s">
        <v>94</v>
      </c>
      <c r="X845" s="5"/>
    </row>
    <row r="846" spans="1:24">
      <c r="A846" s="4">
        <v>45385</v>
      </c>
      <c r="B846" s="5" t="str">
        <f t="shared" si="39"/>
        <v>April</v>
      </c>
      <c r="C846" s="5" t="s">
        <v>20</v>
      </c>
      <c r="D846" s="5" t="s">
        <v>26</v>
      </c>
      <c r="E846" s="5">
        <v>4</v>
      </c>
      <c r="F846" s="5">
        <v>563.06</v>
      </c>
      <c r="G846" s="6">
        <f t="shared" si="40"/>
        <v>2252.24</v>
      </c>
      <c r="H846" s="5" t="s">
        <v>81</v>
      </c>
      <c r="I846" s="5" t="s">
        <v>62</v>
      </c>
      <c r="J846" s="5">
        <v>0.05</v>
      </c>
      <c r="K846" s="5" t="s">
        <v>89</v>
      </c>
      <c r="L846" s="6">
        <v>2139.628</v>
      </c>
      <c r="M846" s="5" t="s">
        <v>34</v>
      </c>
      <c r="N846" s="5" t="s">
        <v>69</v>
      </c>
      <c r="O846" s="5">
        <v>0</v>
      </c>
      <c r="P846" s="5" t="s">
        <v>1722</v>
      </c>
      <c r="Q846" s="5" t="s">
        <v>1723</v>
      </c>
      <c r="R846" s="5">
        <v>19.5</v>
      </c>
      <c r="S846" s="4">
        <v>45385</v>
      </c>
      <c r="T846" s="4">
        <v>45389</v>
      </c>
      <c r="U846" s="5">
        <f t="shared" si="41"/>
        <v>4</v>
      </c>
      <c r="V846" s="5" t="s">
        <v>94</v>
      </c>
      <c r="X846" s="5"/>
    </row>
    <row r="847" spans="1:24">
      <c r="A847" s="4">
        <v>45297</v>
      </c>
      <c r="B847" s="5" t="str">
        <f t="shared" si="39"/>
        <v>January</v>
      </c>
      <c r="C847" s="5" t="s">
        <v>18</v>
      </c>
      <c r="D847" s="5" t="s">
        <v>23</v>
      </c>
      <c r="E847" s="5">
        <v>13</v>
      </c>
      <c r="F847" s="5">
        <v>256.35</v>
      </c>
      <c r="G847" s="6">
        <f t="shared" si="40"/>
        <v>3332.55</v>
      </c>
      <c r="H847" s="5" t="s">
        <v>81</v>
      </c>
      <c r="I847" s="5" t="s">
        <v>54</v>
      </c>
      <c r="J847" s="5">
        <v>0.15</v>
      </c>
      <c r="K847" s="5" t="s">
        <v>63</v>
      </c>
      <c r="L847" s="6">
        <v>2832.6675</v>
      </c>
      <c r="M847" s="5" t="s">
        <v>34</v>
      </c>
      <c r="N847" s="5" t="s">
        <v>64</v>
      </c>
      <c r="O847" s="5">
        <v>0</v>
      </c>
      <c r="P847" s="5" t="s">
        <v>1724</v>
      </c>
      <c r="Q847" s="5" t="s">
        <v>1725</v>
      </c>
      <c r="R847" s="5">
        <v>26.04</v>
      </c>
      <c r="S847" s="4">
        <v>45297</v>
      </c>
      <c r="T847" s="4">
        <v>45299</v>
      </c>
      <c r="U847" s="5">
        <f t="shared" si="41"/>
        <v>2</v>
      </c>
      <c r="V847" s="5" t="s">
        <v>72</v>
      </c>
      <c r="X847" s="5"/>
    </row>
    <row r="848" spans="1:24">
      <c r="A848" s="4">
        <v>45140</v>
      </c>
      <c r="B848" s="5" t="str">
        <f t="shared" si="39"/>
        <v>August</v>
      </c>
      <c r="C848" s="5" t="s">
        <v>19</v>
      </c>
      <c r="D848" s="5" t="s">
        <v>27</v>
      </c>
      <c r="E848" s="5">
        <v>9</v>
      </c>
      <c r="F848" s="5">
        <v>303.26</v>
      </c>
      <c r="G848" s="6">
        <f t="shared" si="40"/>
        <v>2729.34</v>
      </c>
      <c r="H848" s="5" t="s">
        <v>61</v>
      </c>
      <c r="I848" s="5" t="s">
        <v>54</v>
      </c>
      <c r="J848" s="5">
        <v>0.05</v>
      </c>
      <c r="K848" s="5" t="s">
        <v>82</v>
      </c>
      <c r="L848" s="6">
        <v>2592.873</v>
      </c>
      <c r="M848" s="5" t="s">
        <v>33</v>
      </c>
      <c r="N848" s="5" t="s">
        <v>56</v>
      </c>
      <c r="O848" s="5">
        <v>0</v>
      </c>
      <c r="P848" s="5" t="s">
        <v>1726</v>
      </c>
      <c r="Q848" s="5" t="s">
        <v>1727</v>
      </c>
      <c r="R848" s="5">
        <v>17.01</v>
      </c>
      <c r="S848" s="4">
        <v>45140</v>
      </c>
      <c r="T848" s="4">
        <v>45143</v>
      </c>
      <c r="U848" s="5">
        <f t="shared" si="41"/>
        <v>3</v>
      </c>
      <c r="V848" s="5" t="s">
        <v>76</v>
      </c>
      <c r="X848" s="5"/>
    </row>
    <row r="849" spans="1:24">
      <c r="A849" s="4">
        <v>45256</v>
      </c>
      <c r="B849" s="5" t="str">
        <f t="shared" si="39"/>
        <v>November</v>
      </c>
      <c r="C849" s="5" t="s">
        <v>18</v>
      </c>
      <c r="D849" s="5" t="s">
        <v>25</v>
      </c>
      <c r="E849" s="5">
        <v>9</v>
      </c>
      <c r="F849" s="5">
        <v>440.48</v>
      </c>
      <c r="G849" s="6">
        <f t="shared" si="40"/>
        <v>3964.32</v>
      </c>
      <c r="H849" s="5" t="s">
        <v>61</v>
      </c>
      <c r="I849" s="5" t="s">
        <v>62</v>
      </c>
      <c r="J849" s="5">
        <v>0.15</v>
      </c>
      <c r="K849" s="5" t="s">
        <v>82</v>
      </c>
      <c r="L849" s="6">
        <v>3369.672</v>
      </c>
      <c r="M849" s="5" t="s">
        <v>31</v>
      </c>
      <c r="N849" s="5" t="s">
        <v>69</v>
      </c>
      <c r="O849" s="5">
        <v>0</v>
      </c>
      <c r="P849" s="5" t="s">
        <v>1728</v>
      </c>
      <c r="Q849" s="5" t="s">
        <v>1729</v>
      </c>
      <c r="R849" s="5">
        <v>32.94</v>
      </c>
      <c r="S849" s="4">
        <v>45256</v>
      </c>
      <c r="T849" s="4">
        <v>45261</v>
      </c>
      <c r="U849" s="5">
        <f t="shared" si="41"/>
        <v>5</v>
      </c>
      <c r="V849" s="5" t="s">
        <v>72</v>
      </c>
      <c r="X849" s="5"/>
    </row>
    <row r="850" spans="1:24">
      <c r="A850" s="4">
        <v>45767</v>
      </c>
      <c r="B850" s="5" t="str">
        <f t="shared" si="39"/>
        <v>April</v>
      </c>
      <c r="C850" s="5" t="s">
        <v>16</v>
      </c>
      <c r="D850" s="5" t="s">
        <v>24</v>
      </c>
      <c r="E850" s="5">
        <v>17</v>
      </c>
      <c r="F850" s="5">
        <v>469.25</v>
      </c>
      <c r="G850" s="6">
        <f t="shared" si="40"/>
        <v>7977.25</v>
      </c>
      <c r="H850" s="5" t="s">
        <v>53</v>
      </c>
      <c r="I850" s="5" t="s">
        <v>54</v>
      </c>
      <c r="J850" s="5">
        <v>0.05</v>
      </c>
      <c r="K850" s="5" t="s">
        <v>89</v>
      </c>
      <c r="L850" s="6">
        <v>7578.3875</v>
      </c>
      <c r="M850" s="5" t="s">
        <v>32</v>
      </c>
      <c r="N850" s="5"/>
      <c r="O850" s="5">
        <v>0</v>
      </c>
      <c r="P850" s="5" t="s">
        <v>1730</v>
      </c>
      <c r="Q850" s="5" t="s">
        <v>1731</v>
      </c>
      <c r="R850" s="5">
        <v>45.76</v>
      </c>
      <c r="S850" s="4">
        <v>45767</v>
      </c>
      <c r="T850" s="4">
        <v>45773</v>
      </c>
      <c r="U850" s="5">
        <f t="shared" si="41"/>
        <v>6</v>
      </c>
      <c r="V850" s="5" t="s">
        <v>59</v>
      </c>
      <c r="X850" s="5"/>
    </row>
    <row r="851" spans="1:24">
      <c r="A851" s="4">
        <v>45289</v>
      </c>
      <c r="B851" s="5" t="str">
        <f t="shared" si="39"/>
        <v>December</v>
      </c>
      <c r="C851" s="5" t="s">
        <v>17</v>
      </c>
      <c r="D851" s="5" t="s">
        <v>25</v>
      </c>
      <c r="E851" s="5">
        <v>18</v>
      </c>
      <c r="F851" s="5">
        <v>491.76</v>
      </c>
      <c r="G851" s="6">
        <f t="shared" si="40"/>
        <v>8851.68</v>
      </c>
      <c r="H851" s="5" t="s">
        <v>61</v>
      </c>
      <c r="I851" s="5" t="s">
        <v>54</v>
      </c>
      <c r="J851" s="5">
        <v>0.15</v>
      </c>
      <c r="K851" s="5" t="s">
        <v>55</v>
      </c>
      <c r="L851" s="6">
        <v>7523.928</v>
      </c>
      <c r="M851" s="5" t="s">
        <v>32</v>
      </c>
      <c r="N851" s="5" t="s">
        <v>64</v>
      </c>
      <c r="O851" s="5">
        <v>0</v>
      </c>
      <c r="P851" s="5" t="s">
        <v>1732</v>
      </c>
      <c r="Q851" s="5" t="s">
        <v>1733</v>
      </c>
      <c r="R851" s="5">
        <v>37.49</v>
      </c>
      <c r="S851" s="4">
        <v>45289</v>
      </c>
      <c r="T851" s="4">
        <v>45296</v>
      </c>
      <c r="U851" s="5">
        <f t="shared" si="41"/>
        <v>7</v>
      </c>
      <c r="V851" s="5" t="s">
        <v>67</v>
      </c>
      <c r="X851" s="5"/>
    </row>
    <row r="852" spans="1:24">
      <c r="A852" s="4">
        <v>45665</v>
      </c>
      <c r="B852" s="5" t="str">
        <f t="shared" si="39"/>
        <v>January</v>
      </c>
      <c r="C852" s="5" t="s">
        <v>19</v>
      </c>
      <c r="D852" s="5" t="s">
        <v>25</v>
      </c>
      <c r="E852" s="5">
        <v>19</v>
      </c>
      <c r="F852" s="5">
        <v>465.27</v>
      </c>
      <c r="G852" s="6">
        <f t="shared" si="40"/>
        <v>8840.13</v>
      </c>
      <c r="H852" s="5" t="s">
        <v>77</v>
      </c>
      <c r="I852" s="5" t="s">
        <v>62</v>
      </c>
      <c r="J852" s="5">
        <v>0.05</v>
      </c>
      <c r="K852" s="5" t="s">
        <v>82</v>
      </c>
      <c r="L852" s="6">
        <v>8398.1235</v>
      </c>
      <c r="M852" s="5" t="s">
        <v>32</v>
      </c>
      <c r="N852" s="5"/>
      <c r="O852" s="5">
        <v>0</v>
      </c>
      <c r="P852" s="5" t="s">
        <v>1734</v>
      </c>
      <c r="Q852" s="5" t="s">
        <v>1735</v>
      </c>
      <c r="R852" s="5">
        <v>44.95</v>
      </c>
      <c r="S852" s="4">
        <v>45665</v>
      </c>
      <c r="T852" s="4">
        <v>45667</v>
      </c>
      <c r="U852" s="5">
        <f t="shared" si="41"/>
        <v>2</v>
      </c>
      <c r="V852" s="5" t="s">
        <v>76</v>
      </c>
      <c r="X852" s="5"/>
    </row>
    <row r="853" spans="1:24">
      <c r="A853" s="4">
        <v>45418</v>
      </c>
      <c r="B853" s="5" t="str">
        <f t="shared" si="39"/>
        <v>May</v>
      </c>
      <c r="C853" s="5" t="s">
        <v>16</v>
      </c>
      <c r="D853" s="5" t="s">
        <v>25</v>
      </c>
      <c r="E853" s="5">
        <v>18</v>
      </c>
      <c r="F853" s="5">
        <v>343.68</v>
      </c>
      <c r="G853" s="6">
        <f t="shared" si="40"/>
        <v>6186.24</v>
      </c>
      <c r="H853" s="5" t="s">
        <v>53</v>
      </c>
      <c r="I853" s="5" t="s">
        <v>62</v>
      </c>
      <c r="J853" s="5">
        <v>0</v>
      </c>
      <c r="K853" s="5" t="s">
        <v>55</v>
      </c>
      <c r="L853" s="6">
        <v>6186.24</v>
      </c>
      <c r="M853" s="5" t="s">
        <v>31</v>
      </c>
      <c r="N853" s="5" t="s">
        <v>64</v>
      </c>
      <c r="O853" s="5">
        <v>0</v>
      </c>
      <c r="P853" s="5" t="s">
        <v>1736</v>
      </c>
      <c r="Q853" s="5" t="s">
        <v>1737</v>
      </c>
      <c r="R853" s="5">
        <v>20.37</v>
      </c>
      <c r="S853" s="4">
        <v>45418</v>
      </c>
      <c r="T853" s="4">
        <v>45426</v>
      </c>
      <c r="U853" s="5">
        <f t="shared" si="41"/>
        <v>8</v>
      </c>
      <c r="V853" s="5" t="s">
        <v>59</v>
      </c>
      <c r="X853" s="5"/>
    </row>
    <row r="854" spans="1:24">
      <c r="A854" s="4">
        <v>45550</v>
      </c>
      <c r="B854" s="5" t="str">
        <f t="shared" si="39"/>
        <v>September</v>
      </c>
      <c r="C854" s="5" t="s">
        <v>18</v>
      </c>
      <c r="D854" s="5" t="s">
        <v>24</v>
      </c>
      <c r="E854" s="5">
        <v>14</v>
      </c>
      <c r="F854" s="5">
        <v>472.51</v>
      </c>
      <c r="G854" s="6">
        <f t="shared" si="40"/>
        <v>6615.14</v>
      </c>
      <c r="H854" s="5" t="s">
        <v>81</v>
      </c>
      <c r="I854" s="5" t="s">
        <v>54</v>
      </c>
      <c r="J854" s="5">
        <v>0.05</v>
      </c>
      <c r="K854" s="5" t="s">
        <v>89</v>
      </c>
      <c r="L854" s="6">
        <v>6284.383</v>
      </c>
      <c r="M854" s="5" t="s">
        <v>31</v>
      </c>
      <c r="N854" s="5"/>
      <c r="O854" s="5">
        <v>0</v>
      </c>
      <c r="P854" s="5" t="s">
        <v>1738</v>
      </c>
      <c r="Q854" s="5" t="s">
        <v>1739</v>
      </c>
      <c r="R854" s="5">
        <v>13.54</v>
      </c>
      <c r="S854" s="4">
        <v>45550</v>
      </c>
      <c r="T854" s="4">
        <v>45555</v>
      </c>
      <c r="U854" s="5">
        <f t="shared" si="41"/>
        <v>5</v>
      </c>
      <c r="V854" s="5" t="s">
        <v>72</v>
      </c>
      <c r="X854" s="5"/>
    </row>
    <row r="855" spans="1:24">
      <c r="A855" s="4">
        <v>44964</v>
      </c>
      <c r="B855" s="5" t="str">
        <f t="shared" si="39"/>
        <v>February</v>
      </c>
      <c r="C855" s="5" t="s">
        <v>20</v>
      </c>
      <c r="D855" s="5" t="s">
        <v>22</v>
      </c>
      <c r="E855" s="5">
        <v>20</v>
      </c>
      <c r="F855" s="5">
        <v>142.52</v>
      </c>
      <c r="G855" s="6">
        <f t="shared" si="40"/>
        <v>2850.4</v>
      </c>
      <c r="H855" s="5" t="s">
        <v>61</v>
      </c>
      <c r="I855" s="5" t="s">
        <v>62</v>
      </c>
      <c r="J855" s="5">
        <v>0.1</v>
      </c>
      <c r="K855" s="5" t="s">
        <v>55</v>
      </c>
      <c r="L855" s="6">
        <v>2565.36</v>
      </c>
      <c r="M855" s="5" t="s">
        <v>34</v>
      </c>
      <c r="N855" s="5" t="s">
        <v>56</v>
      </c>
      <c r="O855" s="5">
        <v>0</v>
      </c>
      <c r="P855" s="5" t="s">
        <v>1740</v>
      </c>
      <c r="Q855" s="5" t="s">
        <v>1741</v>
      </c>
      <c r="R855" s="5">
        <v>30.67</v>
      </c>
      <c r="S855" s="4">
        <v>44964</v>
      </c>
      <c r="T855" s="4">
        <v>44969</v>
      </c>
      <c r="U855" s="5">
        <f t="shared" si="41"/>
        <v>5</v>
      </c>
      <c r="V855" s="5" t="s">
        <v>94</v>
      </c>
      <c r="X855" s="5"/>
    </row>
    <row r="856" spans="1:24">
      <c r="A856" s="4">
        <v>44986</v>
      </c>
      <c r="B856" s="5" t="str">
        <f t="shared" si="39"/>
        <v>March</v>
      </c>
      <c r="C856" s="5" t="s">
        <v>16</v>
      </c>
      <c r="D856" s="5" t="s">
        <v>23</v>
      </c>
      <c r="E856" s="5">
        <v>1</v>
      </c>
      <c r="F856" s="5">
        <v>31.42</v>
      </c>
      <c r="G856" s="6">
        <f t="shared" si="40"/>
        <v>31.42</v>
      </c>
      <c r="H856" s="5" t="s">
        <v>53</v>
      </c>
      <c r="I856" s="5" t="s">
        <v>62</v>
      </c>
      <c r="J856" s="5">
        <v>0.05</v>
      </c>
      <c r="K856" s="5" t="s">
        <v>89</v>
      </c>
      <c r="L856" s="6">
        <v>29.849</v>
      </c>
      <c r="M856" s="5" t="s">
        <v>32</v>
      </c>
      <c r="N856" s="5" t="s">
        <v>64</v>
      </c>
      <c r="O856" s="5">
        <v>0</v>
      </c>
      <c r="P856" s="5" t="s">
        <v>1742</v>
      </c>
      <c r="Q856" s="5" t="s">
        <v>446</v>
      </c>
      <c r="R856" s="5">
        <v>11.35</v>
      </c>
      <c r="S856" s="4">
        <v>44986</v>
      </c>
      <c r="T856" s="4">
        <v>44994</v>
      </c>
      <c r="U856" s="5">
        <f t="shared" si="41"/>
        <v>8</v>
      </c>
      <c r="V856" s="5" t="s">
        <v>59</v>
      </c>
      <c r="X856" s="5"/>
    </row>
    <row r="857" spans="1:24">
      <c r="A857" s="4">
        <v>45420</v>
      </c>
      <c r="B857" s="5" t="str">
        <f t="shared" si="39"/>
        <v>May</v>
      </c>
      <c r="C857" s="5" t="s">
        <v>18</v>
      </c>
      <c r="D857" s="5" t="s">
        <v>101</v>
      </c>
      <c r="E857" s="5">
        <v>17</v>
      </c>
      <c r="F857" s="5">
        <v>572.29</v>
      </c>
      <c r="G857" s="6">
        <f t="shared" si="40"/>
        <v>9728.93</v>
      </c>
      <c r="H857" s="5" t="s">
        <v>81</v>
      </c>
      <c r="I857" s="5" t="s">
        <v>62</v>
      </c>
      <c r="J857" s="5">
        <v>0.15</v>
      </c>
      <c r="K857" s="5" t="s">
        <v>55</v>
      </c>
      <c r="L857" s="6">
        <v>8269.5905</v>
      </c>
      <c r="M857" s="5" t="s">
        <v>30</v>
      </c>
      <c r="N857" s="5" t="s">
        <v>64</v>
      </c>
      <c r="O857" s="5">
        <v>1</v>
      </c>
      <c r="P857" s="5" t="s">
        <v>1743</v>
      </c>
      <c r="Q857" s="5" t="s">
        <v>1744</v>
      </c>
      <c r="R857" s="5">
        <v>44.99</v>
      </c>
      <c r="S857" s="4">
        <v>45420</v>
      </c>
      <c r="T857" s="4">
        <v>45424</v>
      </c>
      <c r="U857" s="5">
        <f t="shared" si="41"/>
        <v>4</v>
      </c>
      <c r="V857" s="5" t="s">
        <v>72</v>
      </c>
      <c r="X857" s="5"/>
    </row>
    <row r="858" spans="1:24">
      <c r="A858" s="4">
        <v>45449</v>
      </c>
      <c r="B858" s="5" t="str">
        <f t="shared" si="39"/>
        <v>June</v>
      </c>
      <c r="C858" s="5" t="s">
        <v>16</v>
      </c>
      <c r="D858" s="5" t="s">
        <v>24</v>
      </c>
      <c r="E858" s="5">
        <v>18</v>
      </c>
      <c r="F858" s="5">
        <v>333.6</v>
      </c>
      <c r="G858" s="6">
        <f t="shared" si="40"/>
        <v>6004.8</v>
      </c>
      <c r="H858" s="5" t="s">
        <v>61</v>
      </c>
      <c r="I858" s="5" t="s">
        <v>62</v>
      </c>
      <c r="J858" s="5">
        <v>0.1</v>
      </c>
      <c r="K858" s="5" t="s">
        <v>78</v>
      </c>
      <c r="L858" s="6">
        <v>5404.32</v>
      </c>
      <c r="M858" s="5" t="s">
        <v>33</v>
      </c>
      <c r="N858" s="5" t="s">
        <v>56</v>
      </c>
      <c r="O858" s="5">
        <v>1</v>
      </c>
      <c r="P858" s="5" t="s">
        <v>1745</v>
      </c>
      <c r="Q858" s="5" t="s">
        <v>1746</v>
      </c>
      <c r="R858" s="5">
        <v>33.79</v>
      </c>
      <c r="S858" s="4">
        <v>45449</v>
      </c>
      <c r="T858" s="4">
        <v>45451</v>
      </c>
      <c r="U858" s="5">
        <f t="shared" si="41"/>
        <v>2</v>
      </c>
      <c r="V858" s="5" t="s">
        <v>59</v>
      </c>
      <c r="X858" s="5"/>
    </row>
    <row r="859" spans="1:24">
      <c r="A859" s="4">
        <v>45045</v>
      </c>
      <c r="B859" s="5" t="str">
        <f t="shared" si="39"/>
        <v>April</v>
      </c>
      <c r="C859" s="5" t="s">
        <v>18</v>
      </c>
      <c r="D859" s="5" t="s">
        <v>25</v>
      </c>
      <c r="E859" s="5">
        <v>9</v>
      </c>
      <c r="F859" s="5">
        <v>90.87</v>
      </c>
      <c r="G859" s="6">
        <f t="shared" si="40"/>
        <v>817.83</v>
      </c>
      <c r="H859" s="5" t="s">
        <v>81</v>
      </c>
      <c r="I859" s="5" t="s">
        <v>62</v>
      </c>
      <c r="J859" s="5">
        <v>0.15</v>
      </c>
      <c r="K859" s="5" t="s">
        <v>78</v>
      </c>
      <c r="L859" s="6">
        <v>695.1555</v>
      </c>
      <c r="M859" s="5" t="s">
        <v>33</v>
      </c>
      <c r="N859" s="5" t="s">
        <v>69</v>
      </c>
      <c r="O859" s="5">
        <v>0</v>
      </c>
      <c r="P859" s="5" t="s">
        <v>1747</v>
      </c>
      <c r="Q859" s="5" t="s">
        <v>1748</v>
      </c>
      <c r="R859" s="5">
        <v>26.56</v>
      </c>
      <c r="S859" s="4">
        <v>45045</v>
      </c>
      <c r="T859" s="4">
        <v>45054</v>
      </c>
      <c r="U859" s="5">
        <f t="shared" si="41"/>
        <v>9</v>
      </c>
      <c r="V859" s="5" t="s">
        <v>72</v>
      </c>
      <c r="X859" s="5"/>
    </row>
    <row r="860" spans="1:24">
      <c r="A860" s="4">
        <v>45189</v>
      </c>
      <c r="B860" s="5" t="str">
        <f t="shared" si="39"/>
        <v>September</v>
      </c>
      <c r="C860" s="5" t="s">
        <v>19</v>
      </c>
      <c r="D860" s="5" t="s">
        <v>101</v>
      </c>
      <c r="E860" s="5">
        <v>9</v>
      </c>
      <c r="F860" s="5">
        <v>588.59</v>
      </c>
      <c r="G860" s="6">
        <f t="shared" si="40"/>
        <v>5297.31</v>
      </c>
      <c r="H860" s="5" t="s">
        <v>81</v>
      </c>
      <c r="I860" s="5" t="s">
        <v>54</v>
      </c>
      <c r="J860" s="5">
        <v>0.05</v>
      </c>
      <c r="K860" s="5" t="s">
        <v>82</v>
      </c>
      <c r="L860" s="6">
        <v>5032.4445</v>
      </c>
      <c r="M860" s="5" t="s">
        <v>30</v>
      </c>
      <c r="N860" s="5"/>
      <c r="O860" s="5">
        <v>0</v>
      </c>
      <c r="P860" s="5" t="s">
        <v>1749</v>
      </c>
      <c r="Q860" s="5" t="s">
        <v>1750</v>
      </c>
      <c r="R860" s="5">
        <v>42.3</v>
      </c>
      <c r="S860" s="4">
        <v>45189</v>
      </c>
      <c r="T860" s="4">
        <v>45191</v>
      </c>
      <c r="U860" s="5">
        <f t="shared" si="41"/>
        <v>2</v>
      </c>
      <c r="V860" s="5" t="s">
        <v>76</v>
      </c>
      <c r="X860" s="5"/>
    </row>
    <row r="861" spans="1:24">
      <c r="A861" s="4">
        <v>45604</v>
      </c>
      <c r="B861" s="5" t="str">
        <f t="shared" si="39"/>
        <v>November</v>
      </c>
      <c r="C861" s="5" t="s">
        <v>17</v>
      </c>
      <c r="D861" s="5" t="s">
        <v>25</v>
      </c>
      <c r="E861" s="5">
        <v>18</v>
      </c>
      <c r="F861" s="5">
        <v>153.28</v>
      </c>
      <c r="G861" s="6">
        <f t="shared" si="40"/>
        <v>2759.04</v>
      </c>
      <c r="H861" s="5" t="s">
        <v>53</v>
      </c>
      <c r="I861" s="5" t="s">
        <v>62</v>
      </c>
      <c r="J861" s="5">
        <v>0.05</v>
      </c>
      <c r="K861" s="5" t="s">
        <v>73</v>
      </c>
      <c r="L861" s="6">
        <v>2621.088</v>
      </c>
      <c r="M861" s="5" t="s">
        <v>30</v>
      </c>
      <c r="N861" s="5" t="s">
        <v>69</v>
      </c>
      <c r="O861" s="5">
        <v>1</v>
      </c>
      <c r="P861" s="5" t="s">
        <v>1751</v>
      </c>
      <c r="Q861" s="5" t="s">
        <v>1752</v>
      </c>
      <c r="R861" s="5">
        <v>33.71</v>
      </c>
      <c r="S861" s="4">
        <v>45604</v>
      </c>
      <c r="T861" s="4">
        <v>45609</v>
      </c>
      <c r="U861" s="5">
        <f t="shared" si="41"/>
        <v>5</v>
      </c>
      <c r="V861" s="5" t="s">
        <v>67</v>
      </c>
      <c r="X861" s="5"/>
    </row>
    <row r="862" spans="1:24">
      <c r="A862" s="4">
        <v>45007</v>
      </c>
      <c r="B862" s="5" t="str">
        <f t="shared" si="39"/>
        <v>March</v>
      </c>
      <c r="C862" s="5" t="s">
        <v>18</v>
      </c>
      <c r="D862" s="5" t="s">
        <v>27</v>
      </c>
      <c r="E862" s="5">
        <v>17</v>
      </c>
      <c r="F862" s="5">
        <v>194.97</v>
      </c>
      <c r="G862" s="6">
        <f t="shared" si="40"/>
        <v>3314.49</v>
      </c>
      <c r="H862" s="5" t="s">
        <v>61</v>
      </c>
      <c r="I862" s="5" t="s">
        <v>62</v>
      </c>
      <c r="J862" s="5">
        <v>0.15</v>
      </c>
      <c r="K862" s="5" t="s">
        <v>78</v>
      </c>
      <c r="L862" s="6">
        <v>2817.3165</v>
      </c>
      <c r="M862" s="5" t="s">
        <v>31</v>
      </c>
      <c r="N862" s="5" t="s">
        <v>64</v>
      </c>
      <c r="O862" s="5">
        <v>1</v>
      </c>
      <c r="P862" s="5" t="s">
        <v>1753</v>
      </c>
      <c r="Q862" s="5" t="s">
        <v>1754</v>
      </c>
      <c r="R862" s="5">
        <v>5.59</v>
      </c>
      <c r="S862" s="4">
        <v>45007</v>
      </c>
      <c r="T862" s="4">
        <v>45015</v>
      </c>
      <c r="U862" s="5">
        <f t="shared" si="41"/>
        <v>8</v>
      </c>
      <c r="V862" s="5" t="s">
        <v>72</v>
      </c>
      <c r="X862" s="5"/>
    </row>
    <row r="863" spans="1:24">
      <c r="A863" s="4">
        <v>45174</v>
      </c>
      <c r="B863" s="5" t="str">
        <f t="shared" si="39"/>
        <v>September</v>
      </c>
      <c r="C863" s="5" t="s">
        <v>16</v>
      </c>
      <c r="D863" s="5" t="s">
        <v>26</v>
      </c>
      <c r="E863" s="5">
        <v>5</v>
      </c>
      <c r="F863" s="5">
        <v>367.61</v>
      </c>
      <c r="G863" s="6">
        <f t="shared" si="40"/>
        <v>1838.05</v>
      </c>
      <c r="H863" s="5" t="s">
        <v>77</v>
      </c>
      <c r="I863" s="5" t="s">
        <v>62</v>
      </c>
      <c r="J863" s="5">
        <v>0</v>
      </c>
      <c r="K863" s="5" t="s">
        <v>63</v>
      </c>
      <c r="L863" s="6">
        <v>1838.05</v>
      </c>
      <c r="M863" s="5" t="s">
        <v>32</v>
      </c>
      <c r="N863" s="5" t="s">
        <v>64</v>
      </c>
      <c r="O863" s="5">
        <v>0</v>
      </c>
      <c r="P863" s="5" t="s">
        <v>1755</v>
      </c>
      <c r="Q863" s="5" t="s">
        <v>1756</v>
      </c>
      <c r="R863" s="5">
        <v>19.55</v>
      </c>
      <c r="S863" s="4">
        <v>45174</v>
      </c>
      <c r="T863" s="4">
        <v>45182</v>
      </c>
      <c r="U863" s="5">
        <f t="shared" si="41"/>
        <v>8</v>
      </c>
      <c r="V863" s="5" t="s">
        <v>59</v>
      </c>
      <c r="X863" s="5"/>
    </row>
    <row r="864" spans="1:24">
      <c r="A864" s="4">
        <v>44983</v>
      </c>
      <c r="B864" s="5" t="str">
        <f t="shared" si="39"/>
        <v>February</v>
      </c>
      <c r="C864" s="5" t="s">
        <v>16</v>
      </c>
      <c r="D864" s="5" t="s">
        <v>22</v>
      </c>
      <c r="E864" s="5">
        <v>17</v>
      </c>
      <c r="F864" s="5">
        <v>575.5</v>
      </c>
      <c r="G864" s="6">
        <f t="shared" si="40"/>
        <v>9783.5</v>
      </c>
      <c r="H864" s="5" t="s">
        <v>81</v>
      </c>
      <c r="I864" s="5" t="s">
        <v>62</v>
      </c>
      <c r="J864" s="5">
        <v>0.05</v>
      </c>
      <c r="K864" s="5" t="s">
        <v>63</v>
      </c>
      <c r="L864" s="6">
        <v>9294.325</v>
      </c>
      <c r="M864" s="5" t="s">
        <v>33</v>
      </c>
      <c r="N864" s="5" t="s">
        <v>56</v>
      </c>
      <c r="O864" s="5">
        <v>0</v>
      </c>
      <c r="P864" s="5" t="s">
        <v>1757</v>
      </c>
      <c r="Q864" s="5" t="s">
        <v>1758</v>
      </c>
      <c r="R864" s="5">
        <v>13.42</v>
      </c>
      <c r="S864" s="4">
        <v>44983</v>
      </c>
      <c r="T864" s="4">
        <v>44990</v>
      </c>
      <c r="U864" s="5">
        <f t="shared" si="41"/>
        <v>7</v>
      </c>
      <c r="V864" s="5" t="s">
        <v>59</v>
      </c>
      <c r="X864" s="5"/>
    </row>
    <row r="865" spans="1:24">
      <c r="A865" s="4">
        <v>45622</v>
      </c>
      <c r="B865" s="5" t="str">
        <f t="shared" si="39"/>
        <v>November</v>
      </c>
      <c r="C865" s="5" t="s">
        <v>20</v>
      </c>
      <c r="D865" s="5" t="s">
        <v>25</v>
      </c>
      <c r="E865" s="5">
        <v>3</v>
      </c>
      <c r="F865" s="5">
        <v>229.45</v>
      </c>
      <c r="G865" s="6">
        <f t="shared" si="40"/>
        <v>688.35</v>
      </c>
      <c r="H865" s="5" t="s">
        <v>81</v>
      </c>
      <c r="I865" s="5" t="s">
        <v>62</v>
      </c>
      <c r="J865" s="5">
        <v>0.15</v>
      </c>
      <c r="K865" s="5" t="s">
        <v>89</v>
      </c>
      <c r="L865" s="6">
        <v>585.0975</v>
      </c>
      <c r="M865" s="5" t="s">
        <v>33</v>
      </c>
      <c r="N865" s="5" t="s">
        <v>69</v>
      </c>
      <c r="O865" s="5">
        <v>1</v>
      </c>
      <c r="P865" s="5" t="s">
        <v>1759</v>
      </c>
      <c r="Q865" s="5" t="s">
        <v>1760</v>
      </c>
      <c r="R865" s="5">
        <v>19.81</v>
      </c>
      <c r="S865" s="4">
        <v>45622</v>
      </c>
      <c r="T865" s="4">
        <v>45625</v>
      </c>
      <c r="U865" s="5">
        <f t="shared" si="41"/>
        <v>3</v>
      </c>
      <c r="V865" s="5" t="s">
        <v>94</v>
      </c>
      <c r="X865" s="5"/>
    </row>
    <row r="866" spans="1:24">
      <c r="A866" s="4">
        <v>45579</v>
      </c>
      <c r="B866" s="5" t="str">
        <f t="shared" si="39"/>
        <v>October</v>
      </c>
      <c r="C866" s="5" t="s">
        <v>19</v>
      </c>
      <c r="D866" s="5" t="s">
        <v>25</v>
      </c>
      <c r="E866" s="5">
        <v>3</v>
      </c>
      <c r="F866" s="5">
        <v>391.63</v>
      </c>
      <c r="G866" s="6">
        <f t="shared" si="40"/>
        <v>1174.89</v>
      </c>
      <c r="H866" s="5" t="s">
        <v>77</v>
      </c>
      <c r="I866" s="5" t="s">
        <v>62</v>
      </c>
      <c r="J866" s="5">
        <v>0</v>
      </c>
      <c r="K866" s="5" t="s">
        <v>73</v>
      </c>
      <c r="L866" s="6">
        <v>1174.89</v>
      </c>
      <c r="M866" s="5" t="s">
        <v>33</v>
      </c>
      <c r="N866" s="5"/>
      <c r="O866" s="5">
        <v>1</v>
      </c>
      <c r="P866" s="5" t="s">
        <v>1761</v>
      </c>
      <c r="Q866" s="5" t="s">
        <v>1762</v>
      </c>
      <c r="R866" s="5">
        <v>25.36</v>
      </c>
      <c r="S866" s="4">
        <v>45579</v>
      </c>
      <c r="T866" s="4">
        <v>45582</v>
      </c>
      <c r="U866" s="5">
        <f t="shared" si="41"/>
        <v>3</v>
      </c>
      <c r="V866" s="5" t="s">
        <v>76</v>
      </c>
      <c r="X866" s="5"/>
    </row>
    <row r="867" spans="1:24">
      <c r="A867" s="4">
        <v>45075</v>
      </c>
      <c r="B867" s="5" t="str">
        <f t="shared" si="39"/>
        <v>May</v>
      </c>
      <c r="C867" s="5" t="s">
        <v>19</v>
      </c>
      <c r="D867" s="5" t="s">
        <v>22</v>
      </c>
      <c r="E867" s="5">
        <v>15</v>
      </c>
      <c r="F867" s="5">
        <v>67.35</v>
      </c>
      <c r="G867" s="6">
        <f t="shared" si="40"/>
        <v>1010.25</v>
      </c>
      <c r="H867" s="5" t="s">
        <v>81</v>
      </c>
      <c r="I867" s="5" t="s">
        <v>54</v>
      </c>
      <c r="J867" s="5">
        <v>0.1</v>
      </c>
      <c r="K867" s="5" t="s">
        <v>82</v>
      </c>
      <c r="L867" s="6">
        <v>909.225</v>
      </c>
      <c r="M867" s="5" t="s">
        <v>30</v>
      </c>
      <c r="N867" s="5" t="s">
        <v>56</v>
      </c>
      <c r="O867" s="5">
        <v>0</v>
      </c>
      <c r="P867" s="5" t="s">
        <v>1763</v>
      </c>
      <c r="Q867" s="5" t="s">
        <v>1764</v>
      </c>
      <c r="R867" s="5">
        <v>24.85</v>
      </c>
      <c r="S867" s="4">
        <v>45075</v>
      </c>
      <c r="T867" s="4">
        <v>45080</v>
      </c>
      <c r="U867" s="5">
        <f t="shared" si="41"/>
        <v>5</v>
      </c>
      <c r="V867" s="5" t="s">
        <v>76</v>
      </c>
      <c r="X867" s="5"/>
    </row>
    <row r="868" spans="1:24">
      <c r="A868" s="4">
        <v>45373</v>
      </c>
      <c r="B868" s="5" t="str">
        <f t="shared" si="39"/>
        <v>March</v>
      </c>
      <c r="C868" s="5" t="s">
        <v>19</v>
      </c>
      <c r="D868" s="5" t="s">
        <v>22</v>
      </c>
      <c r="E868" s="5">
        <v>6</v>
      </c>
      <c r="F868" s="5">
        <v>453.86</v>
      </c>
      <c r="G868" s="6">
        <f t="shared" si="40"/>
        <v>2723.16</v>
      </c>
      <c r="H868" s="5" t="s">
        <v>53</v>
      </c>
      <c r="I868" s="5" t="s">
        <v>62</v>
      </c>
      <c r="J868" s="5">
        <v>0.15</v>
      </c>
      <c r="K868" s="5" t="s">
        <v>63</v>
      </c>
      <c r="L868" s="6">
        <v>2314.686</v>
      </c>
      <c r="M868" s="5" t="s">
        <v>32</v>
      </c>
      <c r="N868" s="5"/>
      <c r="O868" s="5">
        <v>0</v>
      </c>
      <c r="P868" s="5" t="s">
        <v>1765</v>
      </c>
      <c r="Q868" s="5" t="s">
        <v>1766</v>
      </c>
      <c r="R868" s="5">
        <v>45.32</v>
      </c>
      <c r="S868" s="4">
        <v>45373</v>
      </c>
      <c r="T868" s="4">
        <v>45382</v>
      </c>
      <c r="U868" s="5">
        <f t="shared" si="41"/>
        <v>9</v>
      </c>
      <c r="V868" s="5" t="s">
        <v>76</v>
      </c>
      <c r="X868" s="5"/>
    </row>
    <row r="869" spans="1:24">
      <c r="A869" s="4">
        <v>45038</v>
      </c>
      <c r="B869" s="5" t="str">
        <f t="shared" si="39"/>
        <v>April</v>
      </c>
      <c r="C869" s="5" t="s">
        <v>17</v>
      </c>
      <c r="D869" s="5" t="s">
        <v>101</v>
      </c>
      <c r="E869" s="5">
        <v>19</v>
      </c>
      <c r="F869" s="5">
        <v>537.7</v>
      </c>
      <c r="G869" s="6">
        <f t="shared" si="40"/>
        <v>10216.3</v>
      </c>
      <c r="H869" s="5" t="s">
        <v>81</v>
      </c>
      <c r="I869" s="5" t="s">
        <v>54</v>
      </c>
      <c r="J869" s="5">
        <v>0</v>
      </c>
      <c r="K869" s="5" t="s">
        <v>89</v>
      </c>
      <c r="L869" s="6">
        <v>10216.3</v>
      </c>
      <c r="M869" s="5" t="s">
        <v>30</v>
      </c>
      <c r="N869" s="5" t="s">
        <v>64</v>
      </c>
      <c r="O869" s="5">
        <v>0</v>
      </c>
      <c r="P869" s="5" t="s">
        <v>1767</v>
      </c>
      <c r="Q869" s="5" t="s">
        <v>1768</v>
      </c>
      <c r="R869" s="5">
        <v>45.83</v>
      </c>
      <c r="S869" s="4">
        <v>45038</v>
      </c>
      <c r="T869" s="4">
        <v>45048</v>
      </c>
      <c r="U869" s="5">
        <f t="shared" si="41"/>
        <v>10</v>
      </c>
      <c r="V869" s="5" t="s">
        <v>67</v>
      </c>
      <c r="X869" s="5"/>
    </row>
    <row r="870" spans="1:24">
      <c r="A870" s="4">
        <v>45814</v>
      </c>
      <c r="B870" s="5" t="str">
        <f t="shared" si="39"/>
        <v>June</v>
      </c>
      <c r="C870" s="5" t="s">
        <v>18</v>
      </c>
      <c r="D870" s="5" t="s">
        <v>23</v>
      </c>
      <c r="E870" s="5">
        <v>5</v>
      </c>
      <c r="F870" s="5">
        <v>32.56</v>
      </c>
      <c r="G870" s="6">
        <f t="shared" si="40"/>
        <v>162.8</v>
      </c>
      <c r="H870" s="5" t="s">
        <v>77</v>
      </c>
      <c r="I870" s="5" t="s">
        <v>62</v>
      </c>
      <c r="J870" s="5">
        <v>0.05</v>
      </c>
      <c r="K870" s="5" t="s">
        <v>82</v>
      </c>
      <c r="L870" s="6">
        <v>154.66</v>
      </c>
      <c r="M870" s="5" t="s">
        <v>34</v>
      </c>
      <c r="N870" s="5" t="s">
        <v>56</v>
      </c>
      <c r="O870" s="5">
        <v>0</v>
      </c>
      <c r="P870" s="5" t="s">
        <v>1769</v>
      </c>
      <c r="Q870" s="5" t="s">
        <v>1770</v>
      </c>
      <c r="R870" s="5">
        <v>46.73</v>
      </c>
      <c r="S870" s="4">
        <v>45814</v>
      </c>
      <c r="T870" s="4">
        <v>45820</v>
      </c>
      <c r="U870" s="5">
        <f t="shared" si="41"/>
        <v>6</v>
      </c>
      <c r="V870" s="5" t="s">
        <v>72</v>
      </c>
      <c r="X870" s="5"/>
    </row>
    <row r="871" spans="1:24">
      <c r="A871" s="4">
        <v>44951</v>
      </c>
      <c r="B871" s="5" t="str">
        <f t="shared" si="39"/>
        <v>January</v>
      </c>
      <c r="C871" s="5" t="s">
        <v>19</v>
      </c>
      <c r="D871" s="5" t="s">
        <v>22</v>
      </c>
      <c r="E871" s="5">
        <v>2</v>
      </c>
      <c r="F871" s="5">
        <v>196.7</v>
      </c>
      <c r="G871" s="6">
        <f t="shared" si="40"/>
        <v>393.4</v>
      </c>
      <c r="H871" s="5" t="s">
        <v>61</v>
      </c>
      <c r="I871" s="5" t="s">
        <v>62</v>
      </c>
      <c r="J871" s="5">
        <v>0</v>
      </c>
      <c r="K871" s="5" t="s">
        <v>73</v>
      </c>
      <c r="L871" s="6">
        <v>393.4</v>
      </c>
      <c r="M871" s="5" t="s">
        <v>30</v>
      </c>
      <c r="N871" s="5" t="s">
        <v>56</v>
      </c>
      <c r="O871" s="5">
        <v>0</v>
      </c>
      <c r="P871" s="5" t="s">
        <v>1771</v>
      </c>
      <c r="Q871" s="5" t="s">
        <v>1772</v>
      </c>
      <c r="R871" s="5">
        <v>35.84</v>
      </c>
      <c r="S871" s="4">
        <v>44951</v>
      </c>
      <c r="T871" s="4">
        <v>44955</v>
      </c>
      <c r="U871" s="5">
        <f t="shared" si="41"/>
        <v>4</v>
      </c>
      <c r="V871" s="5" t="s">
        <v>76</v>
      </c>
      <c r="X871" s="5"/>
    </row>
    <row r="872" spans="1:24">
      <c r="A872" s="4">
        <v>45177</v>
      </c>
      <c r="B872" s="5" t="str">
        <f t="shared" si="39"/>
        <v>September</v>
      </c>
      <c r="C872" s="5" t="s">
        <v>17</v>
      </c>
      <c r="D872" s="5" t="s">
        <v>23</v>
      </c>
      <c r="E872" s="5">
        <v>12</v>
      </c>
      <c r="F872" s="5">
        <v>369.45</v>
      </c>
      <c r="G872" s="6">
        <f t="shared" si="40"/>
        <v>4433.4</v>
      </c>
      <c r="H872" s="5" t="s">
        <v>81</v>
      </c>
      <c r="I872" s="5" t="s">
        <v>54</v>
      </c>
      <c r="J872" s="5">
        <v>0.1</v>
      </c>
      <c r="K872" s="5" t="s">
        <v>73</v>
      </c>
      <c r="L872" s="6">
        <v>3990.06</v>
      </c>
      <c r="M872" s="5" t="s">
        <v>32</v>
      </c>
      <c r="N872" s="5" t="s">
        <v>69</v>
      </c>
      <c r="O872" s="5">
        <v>1</v>
      </c>
      <c r="P872" s="5" t="s">
        <v>1773</v>
      </c>
      <c r="Q872" s="5" t="s">
        <v>1152</v>
      </c>
      <c r="R872" s="5">
        <v>44.76</v>
      </c>
      <c r="S872" s="4">
        <v>45177</v>
      </c>
      <c r="T872" s="4">
        <v>45179</v>
      </c>
      <c r="U872" s="5">
        <f t="shared" si="41"/>
        <v>2</v>
      </c>
      <c r="V872" s="5" t="s">
        <v>67</v>
      </c>
      <c r="X872" s="5"/>
    </row>
    <row r="873" spans="1:24">
      <c r="A873" s="4">
        <v>45569</v>
      </c>
      <c r="B873" s="5" t="str">
        <f t="shared" si="39"/>
        <v>October</v>
      </c>
      <c r="C873" s="5" t="s">
        <v>16</v>
      </c>
      <c r="D873" s="5" t="s">
        <v>101</v>
      </c>
      <c r="E873" s="5">
        <v>12</v>
      </c>
      <c r="F873" s="5">
        <v>181.96</v>
      </c>
      <c r="G873" s="6">
        <f t="shared" si="40"/>
        <v>2183.52</v>
      </c>
      <c r="H873" s="5" t="s">
        <v>81</v>
      </c>
      <c r="I873" s="5" t="s">
        <v>62</v>
      </c>
      <c r="J873" s="5">
        <v>0.15</v>
      </c>
      <c r="K873" s="5" t="s">
        <v>55</v>
      </c>
      <c r="L873" s="6">
        <v>1855.992</v>
      </c>
      <c r="M873" s="5" t="s">
        <v>31</v>
      </c>
      <c r="N873" s="5" t="s">
        <v>69</v>
      </c>
      <c r="O873" s="5">
        <v>0</v>
      </c>
      <c r="P873" s="5" t="s">
        <v>1774</v>
      </c>
      <c r="Q873" s="5" t="s">
        <v>1775</v>
      </c>
      <c r="R873" s="5">
        <v>25.06</v>
      </c>
      <c r="S873" s="4">
        <v>45569</v>
      </c>
      <c r="T873" s="4">
        <v>45576</v>
      </c>
      <c r="U873" s="5">
        <f t="shared" si="41"/>
        <v>7</v>
      </c>
      <c r="V873" s="5" t="s">
        <v>59</v>
      </c>
      <c r="X873" s="5"/>
    </row>
    <row r="874" spans="1:24">
      <c r="A874" s="4">
        <v>45753</v>
      </c>
      <c r="B874" s="5" t="str">
        <f t="shared" si="39"/>
        <v>April</v>
      </c>
      <c r="C874" s="5" t="s">
        <v>16</v>
      </c>
      <c r="D874" s="5" t="s">
        <v>24</v>
      </c>
      <c r="E874" s="5">
        <v>3</v>
      </c>
      <c r="F874" s="5">
        <v>32.07</v>
      </c>
      <c r="G874" s="6">
        <f t="shared" si="40"/>
        <v>96.21</v>
      </c>
      <c r="H874" s="5" t="s">
        <v>81</v>
      </c>
      <c r="I874" s="5" t="s">
        <v>62</v>
      </c>
      <c r="J874" s="5">
        <v>0.15</v>
      </c>
      <c r="K874" s="5" t="s">
        <v>63</v>
      </c>
      <c r="L874" s="6">
        <v>81.7785</v>
      </c>
      <c r="M874" s="5" t="s">
        <v>30</v>
      </c>
      <c r="N874" s="5" t="s">
        <v>69</v>
      </c>
      <c r="O874" s="5">
        <v>1</v>
      </c>
      <c r="P874" s="5" t="s">
        <v>1776</v>
      </c>
      <c r="Q874" s="5" t="s">
        <v>1777</v>
      </c>
      <c r="R874" s="5">
        <v>43.18</v>
      </c>
      <c r="S874" s="4">
        <v>45753</v>
      </c>
      <c r="T874" s="4">
        <v>45755</v>
      </c>
      <c r="U874" s="5">
        <f t="shared" si="41"/>
        <v>2</v>
      </c>
      <c r="V874" s="5" t="s">
        <v>59</v>
      </c>
      <c r="X874" s="5"/>
    </row>
    <row r="875" spans="1:24">
      <c r="A875" s="4">
        <v>45529</v>
      </c>
      <c r="B875" s="5" t="str">
        <f t="shared" si="39"/>
        <v>August</v>
      </c>
      <c r="C875" s="5" t="s">
        <v>16</v>
      </c>
      <c r="D875" s="5" t="s">
        <v>22</v>
      </c>
      <c r="E875" s="5">
        <v>15</v>
      </c>
      <c r="F875" s="5">
        <v>39.93</v>
      </c>
      <c r="G875" s="6">
        <f t="shared" si="40"/>
        <v>598.95</v>
      </c>
      <c r="H875" s="5" t="s">
        <v>61</v>
      </c>
      <c r="I875" s="5" t="s">
        <v>62</v>
      </c>
      <c r="J875" s="5">
        <v>0.15</v>
      </c>
      <c r="K875" s="5" t="s">
        <v>82</v>
      </c>
      <c r="L875" s="6">
        <v>509.1075</v>
      </c>
      <c r="M875" s="5" t="s">
        <v>33</v>
      </c>
      <c r="N875" s="5" t="s">
        <v>69</v>
      </c>
      <c r="O875" s="5">
        <v>0</v>
      </c>
      <c r="P875" s="5" t="s">
        <v>1778</v>
      </c>
      <c r="Q875" s="5" t="s">
        <v>1779</v>
      </c>
      <c r="R875" s="5">
        <v>33.44</v>
      </c>
      <c r="S875" s="4">
        <v>45529</v>
      </c>
      <c r="T875" s="4">
        <v>45533</v>
      </c>
      <c r="U875" s="5">
        <f t="shared" si="41"/>
        <v>4</v>
      </c>
      <c r="V875" s="5" t="s">
        <v>59</v>
      </c>
      <c r="X875" s="5"/>
    </row>
    <row r="876" spans="1:24">
      <c r="A876" s="4">
        <v>45357</v>
      </c>
      <c r="B876" s="5" t="str">
        <f t="shared" si="39"/>
        <v>March</v>
      </c>
      <c r="C876" s="5" t="s">
        <v>18</v>
      </c>
      <c r="D876" s="5" t="s">
        <v>23</v>
      </c>
      <c r="E876" s="5">
        <v>7</v>
      </c>
      <c r="F876" s="5">
        <v>374.43</v>
      </c>
      <c r="G876" s="6">
        <f t="shared" si="40"/>
        <v>2621.01</v>
      </c>
      <c r="H876" s="5" t="s">
        <v>61</v>
      </c>
      <c r="I876" s="5" t="s">
        <v>62</v>
      </c>
      <c r="J876" s="5">
        <v>0.15</v>
      </c>
      <c r="K876" s="5" t="s">
        <v>78</v>
      </c>
      <c r="L876" s="6">
        <v>2227.8585</v>
      </c>
      <c r="M876" s="5" t="s">
        <v>34</v>
      </c>
      <c r="N876" s="5" t="s">
        <v>64</v>
      </c>
      <c r="O876" s="5">
        <v>0</v>
      </c>
      <c r="P876" s="5" t="s">
        <v>1780</v>
      </c>
      <c r="Q876" s="5" t="s">
        <v>1781</v>
      </c>
      <c r="R876" s="5">
        <v>28.97</v>
      </c>
      <c r="S876" s="4">
        <v>45357</v>
      </c>
      <c r="T876" s="4">
        <v>45363</v>
      </c>
      <c r="U876" s="5">
        <f t="shared" si="41"/>
        <v>6</v>
      </c>
      <c r="V876" s="5" t="s">
        <v>72</v>
      </c>
      <c r="X876" s="5"/>
    </row>
    <row r="877" spans="1:24">
      <c r="A877" s="4">
        <v>45008</v>
      </c>
      <c r="B877" s="5" t="str">
        <f t="shared" si="39"/>
        <v>March</v>
      </c>
      <c r="C877" s="5" t="s">
        <v>16</v>
      </c>
      <c r="D877" s="5" t="s">
        <v>27</v>
      </c>
      <c r="E877" s="5">
        <v>2</v>
      </c>
      <c r="F877" s="5">
        <v>101.87</v>
      </c>
      <c r="G877" s="6">
        <f t="shared" si="40"/>
        <v>203.74</v>
      </c>
      <c r="H877" s="5" t="s">
        <v>77</v>
      </c>
      <c r="I877" s="5" t="s">
        <v>54</v>
      </c>
      <c r="J877" s="5">
        <v>0</v>
      </c>
      <c r="K877" s="5" t="s">
        <v>82</v>
      </c>
      <c r="L877" s="6">
        <v>203.74</v>
      </c>
      <c r="M877" s="5" t="s">
        <v>34</v>
      </c>
      <c r="N877" s="5" t="s">
        <v>56</v>
      </c>
      <c r="O877" s="5">
        <v>0</v>
      </c>
      <c r="P877" s="5" t="s">
        <v>1782</v>
      </c>
      <c r="Q877" s="5" t="s">
        <v>1783</v>
      </c>
      <c r="R877" s="5">
        <v>28.63</v>
      </c>
      <c r="S877" s="4">
        <v>45008</v>
      </c>
      <c r="T877" s="4">
        <v>45011</v>
      </c>
      <c r="U877" s="5">
        <f t="shared" si="41"/>
        <v>3</v>
      </c>
      <c r="V877" s="5" t="s">
        <v>59</v>
      </c>
      <c r="X877" s="5"/>
    </row>
    <row r="878" spans="1:24">
      <c r="A878" s="4">
        <v>45304</v>
      </c>
      <c r="B878" s="5" t="str">
        <f t="shared" si="39"/>
        <v>January</v>
      </c>
      <c r="C878" s="5" t="s">
        <v>19</v>
      </c>
      <c r="D878" s="5" t="s">
        <v>101</v>
      </c>
      <c r="E878" s="5">
        <v>13</v>
      </c>
      <c r="F878" s="5">
        <v>343.45</v>
      </c>
      <c r="G878" s="6">
        <f t="shared" si="40"/>
        <v>4464.85</v>
      </c>
      <c r="H878" s="5" t="s">
        <v>81</v>
      </c>
      <c r="I878" s="5" t="s">
        <v>54</v>
      </c>
      <c r="J878" s="5">
        <v>0.05</v>
      </c>
      <c r="K878" s="5" t="s">
        <v>63</v>
      </c>
      <c r="L878" s="6">
        <v>4241.6075</v>
      </c>
      <c r="M878" s="5" t="s">
        <v>31</v>
      </c>
      <c r="N878" s="5" t="s">
        <v>64</v>
      </c>
      <c r="O878" s="5">
        <v>0</v>
      </c>
      <c r="P878" s="5" t="s">
        <v>1784</v>
      </c>
      <c r="Q878" s="5" t="s">
        <v>1785</v>
      </c>
      <c r="R878" s="5">
        <v>27.26</v>
      </c>
      <c r="S878" s="4">
        <v>45304</v>
      </c>
      <c r="T878" s="4">
        <v>45308</v>
      </c>
      <c r="U878" s="5">
        <f t="shared" si="41"/>
        <v>4</v>
      </c>
      <c r="V878" s="5" t="s">
        <v>76</v>
      </c>
      <c r="X878" s="5"/>
    </row>
    <row r="879" spans="1:24">
      <c r="A879" s="4">
        <v>45125</v>
      </c>
      <c r="B879" s="5" t="str">
        <f t="shared" si="39"/>
        <v>July</v>
      </c>
      <c r="C879" s="5" t="s">
        <v>19</v>
      </c>
      <c r="D879" s="5" t="s">
        <v>27</v>
      </c>
      <c r="E879" s="5">
        <v>15</v>
      </c>
      <c r="F879" s="5">
        <v>144.11</v>
      </c>
      <c r="G879" s="6">
        <f t="shared" si="40"/>
        <v>2161.65</v>
      </c>
      <c r="H879" s="5" t="s">
        <v>77</v>
      </c>
      <c r="I879" s="5" t="s">
        <v>62</v>
      </c>
      <c r="J879" s="5">
        <v>0</v>
      </c>
      <c r="K879" s="5" t="s">
        <v>73</v>
      </c>
      <c r="L879" s="6">
        <v>2161.65</v>
      </c>
      <c r="M879" s="5" t="s">
        <v>31</v>
      </c>
      <c r="N879" s="5"/>
      <c r="O879" s="5">
        <v>0</v>
      </c>
      <c r="P879" s="5" t="s">
        <v>1786</v>
      </c>
      <c r="Q879" s="5" t="s">
        <v>1787</v>
      </c>
      <c r="R879" s="5">
        <v>28.51</v>
      </c>
      <c r="S879" s="4">
        <v>45125</v>
      </c>
      <c r="T879" s="4">
        <v>45131</v>
      </c>
      <c r="U879" s="5">
        <f t="shared" si="41"/>
        <v>6</v>
      </c>
      <c r="V879" s="5" t="s">
        <v>76</v>
      </c>
      <c r="X879" s="5"/>
    </row>
    <row r="880" spans="1:24">
      <c r="A880" s="4">
        <v>45711</v>
      </c>
      <c r="B880" s="5" t="str">
        <f t="shared" si="39"/>
        <v>February</v>
      </c>
      <c r="C880" s="5" t="s">
        <v>20</v>
      </c>
      <c r="D880" s="5" t="s">
        <v>25</v>
      </c>
      <c r="E880" s="5">
        <v>18</v>
      </c>
      <c r="F880" s="5">
        <v>403.68</v>
      </c>
      <c r="G880" s="6">
        <f t="shared" si="40"/>
        <v>7266.24</v>
      </c>
      <c r="H880" s="5" t="s">
        <v>61</v>
      </c>
      <c r="I880" s="5" t="s">
        <v>62</v>
      </c>
      <c r="J880" s="5">
        <v>0.15</v>
      </c>
      <c r="K880" s="5" t="s">
        <v>78</v>
      </c>
      <c r="L880" s="6">
        <v>6176.304</v>
      </c>
      <c r="M880" s="5" t="s">
        <v>34</v>
      </c>
      <c r="N880" s="5" t="s">
        <v>56</v>
      </c>
      <c r="O880" s="5">
        <v>0</v>
      </c>
      <c r="P880" s="5" t="s">
        <v>1788</v>
      </c>
      <c r="Q880" s="5" t="s">
        <v>1789</v>
      </c>
      <c r="R880" s="5">
        <v>13.09</v>
      </c>
      <c r="S880" s="4">
        <v>45711</v>
      </c>
      <c r="T880" s="4">
        <v>45720</v>
      </c>
      <c r="U880" s="5">
        <f t="shared" si="41"/>
        <v>9</v>
      </c>
      <c r="V880" s="5" t="s">
        <v>94</v>
      </c>
      <c r="X880" s="5"/>
    </row>
    <row r="881" spans="1:24">
      <c r="A881" s="4">
        <v>44979</v>
      </c>
      <c r="B881" s="5" t="str">
        <f t="shared" si="39"/>
        <v>February</v>
      </c>
      <c r="C881" s="5" t="s">
        <v>16</v>
      </c>
      <c r="D881" s="5" t="s">
        <v>27</v>
      </c>
      <c r="E881" s="5">
        <v>14</v>
      </c>
      <c r="F881" s="5">
        <v>346.57</v>
      </c>
      <c r="G881" s="6">
        <f t="shared" si="40"/>
        <v>4851.98</v>
      </c>
      <c r="H881" s="5" t="s">
        <v>53</v>
      </c>
      <c r="I881" s="5" t="s">
        <v>62</v>
      </c>
      <c r="J881" s="5">
        <v>0.1</v>
      </c>
      <c r="K881" s="5" t="s">
        <v>78</v>
      </c>
      <c r="L881" s="6">
        <v>4366.782</v>
      </c>
      <c r="M881" s="5" t="s">
        <v>33</v>
      </c>
      <c r="N881" s="5" t="s">
        <v>56</v>
      </c>
      <c r="O881" s="5">
        <v>0</v>
      </c>
      <c r="P881" s="5" t="s">
        <v>1790</v>
      </c>
      <c r="Q881" s="5" t="s">
        <v>1791</v>
      </c>
      <c r="R881" s="5">
        <v>36.83</v>
      </c>
      <c r="S881" s="4">
        <v>44979</v>
      </c>
      <c r="T881" s="4">
        <v>44987</v>
      </c>
      <c r="U881" s="5">
        <f t="shared" si="41"/>
        <v>8</v>
      </c>
      <c r="V881" s="5" t="s">
        <v>59</v>
      </c>
      <c r="X881" s="5"/>
    </row>
    <row r="882" spans="1:24">
      <c r="A882" s="4">
        <v>45583</v>
      </c>
      <c r="B882" s="5" t="str">
        <f t="shared" si="39"/>
        <v>October</v>
      </c>
      <c r="C882" s="5" t="s">
        <v>18</v>
      </c>
      <c r="D882" s="5" t="s">
        <v>27</v>
      </c>
      <c r="E882" s="5">
        <v>7</v>
      </c>
      <c r="F882" s="5">
        <v>392.79</v>
      </c>
      <c r="G882" s="6">
        <f t="shared" si="40"/>
        <v>2749.53</v>
      </c>
      <c r="H882" s="5" t="s">
        <v>77</v>
      </c>
      <c r="I882" s="5" t="s">
        <v>54</v>
      </c>
      <c r="J882" s="5">
        <v>0</v>
      </c>
      <c r="K882" s="5" t="s">
        <v>55</v>
      </c>
      <c r="L882" s="6">
        <v>2749.53</v>
      </c>
      <c r="M882" s="5" t="s">
        <v>31</v>
      </c>
      <c r="N882" s="5" t="s">
        <v>69</v>
      </c>
      <c r="O882" s="5">
        <v>0</v>
      </c>
      <c r="P882" s="5" t="s">
        <v>1792</v>
      </c>
      <c r="Q882" s="5" t="s">
        <v>1793</v>
      </c>
      <c r="R882" s="5">
        <v>45.85</v>
      </c>
      <c r="S882" s="4">
        <v>45583</v>
      </c>
      <c r="T882" s="4">
        <v>45593</v>
      </c>
      <c r="U882" s="5">
        <f t="shared" si="41"/>
        <v>10</v>
      </c>
      <c r="V882" s="5" t="s">
        <v>72</v>
      </c>
      <c r="X882" s="5"/>
    </row>
    <row r="883" spans="1:24">
      <c r="A883" s="4">
        <v>45225</v>
      </c>
      <c r="B883" s="5" t="str">
        <f t="shared" si="39"/>
        <v>October</v>
      </c>
      <c r="C883" s="5" t="s">
        <v>20</v>
      </c>
      <c r="D883" s="5" t="s">
        <v>27</v>
      </c>
      <c r="E883" s="5">
        <v>16</v>
      </c>
      <c r="F883" s="5">
        <v>70.83</v>
      </c>
      <c r="G883" s="6">
        <f t="shared" si="40"/>
        <v>1133.28</v>
      </c>
      <c r="H883" s="5" t="s">
        <v>53</v>
      </c>
      <c r="I883" s="5" t="s">
        <v>54</v>
      </c>
      <c r="J883" s="5">
        <v>0.05</v>
      </c>
      <c r="K883" s="5" t="s">
        <v>78</v>
      </c>
      <c r="L883" s="6">
        <v>1076.616</v>
      </c>
      <c r="M883" s="5" t="s">
        <v>31</v>
      </c>
      <c r="N883" s="5"/>
      <c r="O883" s="5">
        <v>0</v>
      </c>
      <c r="P883" s="5" t="s">
        <v>1794</v>
      </c>
      <c r="Q883" s="5" t="s">
        <v>1795</v>
      </c>
      <c r="R883" s="5">
        <v>5.05</v>
      </c>
      <c r="S883" s="4">
        <v>45225</v>
      </c>
      <c r="T883" s="4">
        <v>45230</v>
      </c>
      <c r="U883" s="5">
        <f t="shared" si="41"/>
        <v>5</v>
      </c>
      <c r="V883" s="5" t="s">
        <v>94</v>
      </c>
      <c r="X883" s="5"/>
    </row>
    <row r="884" spans="1:24">
      <c r="A884" s="4">
        <v>44936</v>
      </c>
      <c r="B884" s="5" t="str">
        <f t="shared" si="39"/>
        <v>January</v>
      </c>
      <c r="C884" s="5" t="s">
        <v>19</v>
      </c>
      <c r="D884" s="5" t="s">
        <v>26</v>
      </c>
      <c r="E884" s="5">
        <v>20</v>
      </c>
      <c r="F884" s="5">
        <v>274.37</v>
      </c>
      <c r="G884" s="6">
        <f t="shared" si="40"/>
        <v>5487.4</v>
      </c>
      <c r="H884" s="5" t="s">
        <v>53</v>
      </c>
      <c r="I884" s="5" t="s">
        <v>62</v>
      </c>
      <c r="J884" s="5">
        <v>0.1</v>
      </c>
      <c r="K884" s="5" t="s">
        <v>55</v>
      </c>
      <c r="L884" s="6">
        <v>4938.66</v>
      </c>
      <c r="M884" s="5" t="s">
        <v>31</v>
      </c>
      <c r="N884" s="5" t="s">
        <v>69</v>
      </c>
      <c r="O884" s="5">
        <v>0</v>
      </c>
      <c r="P884" s="5" t="s">
        <v>1796</v>
      </c>
      <c r="Q884" s="5" t="s">
        <v>628</v>
      </c>
      <c r="R884" s="5">
        <v>12.28</v>
      </c>
      <c r="S884" s="4">
        <v>44936</v>
      </c>
      <c r="T884" s="4">
        <v>44940</v>
      </c>
      <c r="U884" s="5">
        <f t="shared" si="41"/>
        <v>4</v>
      </c>
      <c r="V884" s="5" t="s">
        <v>76</v>
      </c>
      <c r="X884" s="5"/>
    </row>
    <row r="885" spans="1:24">
      <c r="A885" s="4">
        <v>45370</v>
      </c>
      <c r="B885" s="5" t="str">
        <f t="shared" si="39"/>
        <v>March</v>
      </c>
      <c r="C885" s="5" t="s">
        <v>19</v>
      </c>
      <c r="D885" s="5" t="s">
        <v>24</v>
      </c>
      <c r="E885" s="5">
        <v>10</v>
      </c>
      <c r="F885" s="5">
        <v>19.73</v>
      </c>
      <c r="G885" s="6">
        <f t="shared" si="40"/>
        <v>197.3</v>
      </c>
      <c r="H885" s="5" t="s">
        <v>81</v>
      </c>
      <c r="I885" s="5" t="s">
        <v>62</v>
      </c>
      <c r="J885" s="5">
        <v>0.1</v>
      </c>
      <c r="K885" s="5" t="s">
        <v>78</v>
      </c>
      <c r="L885" s="6">
        <v>177.57</v>
      </c>
      <c r="M885" s="5" t="s">
        <v>33</v>
      </c>
      <c r="N885" s="5"/>
      <c r="O885" s="5">
        <v>0</v>
      </c>
      <c r="P885" s="5" t="s">
        <v>1797</v>
      </c>
      <c r="Q885" s="5" t="s">
        <v>1798</v>
      </c>
      <c r="R885" s="5">
        <v>16.06</v>
      </c>
      <c r="S885" s="4">
        <v>45370</v>
      </c>
      <c r="T885" s="4">
        <v>45373</v>
      </c>
      <c r="U885" s="5">
        <f t="shared" si="41"/>
        <v>3</v>
      </c>
      <c r="V885" s="5" t="s">
        <v>76</v>
      </c>
      <c r="X885" s="5"/>
    </row>
    <row r="886" spans="1:24">
      <c r="A886" s="4">
        <v>45280</v>
      </c>
      <c r="B886" s="5" t="str">
        <f t="shared" si="39"/>
        <v>December</v>
      </c>
      <c r="C886" s="5" t="s">
        <v>19</v>
      </c>
      <c r="D886" s="5" t="s">
        <v>27</v>
      </c>
      <c r="E886" s="5">
        <v>10</v>
      </c>
      <c r="F886" s="5">
        <v>465.72</v>
      </c>
      <c r="G886" s="6">
        <f t="shared" si="40"/>
        <v>4657.2</v>
      </c>
      <c r="H886" s="5" t="s">
        <v>53</v>
      </c>
      <c r="I886" s="5" t="s">
        <v>54</v>
      </c>
      <c r="J886" s="5">
        <v>0.05</v>
      </c>
      <c r="K886" s="5" t="s">
        <v>63</v>
      </c>
      <c r="L886" s="6">
        <v>4424.34</v>
      </c>
      <c r="M886" s="5" t="s">
        <v>30</v>
      </c>
      <c r="N886" s="5" t="s">
        <v>56</v>
      </c>
      <c r="O886" s="5">
        <v>0</v>
      </c>
      <c r="P886" s="5" t="s">
        <v>1799</v>
      </c>
      <c r="Q886" s="5" t="s">
        <v>1800</v>
      </c>
      <c r="R886" s="5">
        <v>28.14</v>
      </c>
      <c r="S886" s="4">
        <v>45280</v>
      </c>
      <c r="T886" s="4">
        <v>45286</v>
      </c>
      <c r="U886" s="5">
        <f t="shared" si="41"/>
        <v>6</v>
      </c>
      <c r="V886" s="5" t="s">
        <v>76</v>
      </c>
      <c r="X886" s="5"/>
    </row>
    <row r="887" spans="1:24">
      <c r="A887" s="4">
        <v>45635</v>
      </c>
      <c r="B887" s="5" t="str">
        <f t="shared" si="39"/>
        <v>December</v>
      </c>
      <c r="C887" s="5" t="s">
        <v>19</v>
      </c>
      <c r="D887" s="5" t="s">
        <v>26</v>
      </c>
      <c r="E887" s="5">
        <v>19</v>
      </c>
      <c r="F887" s="5">
        <v>62.07</v>
      </c>
      <c r="G887" s="6">
        <f t="shared" si="40"/>
        <v>1179.33</v>
      </c>
      <c r="H887" s="5" t="s">
        <v>81</v>
      </c>
      <c r="I887" s="5" t="s">
        <v>62</v>
      </c>
      <c r="J887" s="5">
        <v>0.1</v>
      </c>
      <c r="K887" s="5" t="s">
        <v>82</v>
      </c>
      <c r="L887" s="6">
        <v>1061.397</v>
      </c>
      <c r="M887" s="5" t="s">
        <v>33</v>
      </c>
      <c r="N887" s="5" t="s">
        <v>56</v>
      </c>
      <c r="O887" s="5">
        <v>0</v>
      </c>
      <c r="P887" s="5" t="s">
        <v>1801</v>
      </c>
      <c r="Q887" s="5" t="s">
        <v>1802</v>
      </c>
      <c r="R887" s="5">
        <v>14.85</v>
      </c>
      <c r="S887" s="4">
        <v>45635</v>
      </c>
      <c r="T887" s="4">
        <v>45645</v>
      </c>
      <c r="U887" s="5">
        <f t="shared" si="41"/>
        <v>10</v>
      </c>
      <c r="V887" s="5" t="s">
        <v>76</v>
      </c>
      <c r="X887" s="5"/>
    </row>
    <row r="888" spans="1:24">
      <c r="A888" s="4">
        <v>45056</v>
      </c>
      <c r="B888" s="5" t="str">
        <f t="shared" si="39"/>
        <v>May</v>
      </c>
      <c r="C888" s="5" t="s">
        <v>19</v>
      </c>
      <c r="D888" s="5" t="s">
        <v>101</v>
      </c>
      <c r="E888" s="5">
        <v>11</v>
      </c>
      <c r="F888" s="5">
        <v>529.2</v>
      </c>
      <c r="G888" s="6">
        <f t="shared" si="40"/>
        <v>5821.2</v>
      </c>
      <c r="H888" s="5" t="s">
        <v>61</v>
      </c>
      <c r="I888" s="5" t="s">
        <v>54</v>
      </c>
      <c r="J888" s="5">
        <v>0.05</v>
      </c>
      <c r="K888" s="5" t="s">
        <v>89</v>
      </c>
      <c r="L888" s="6">
        <v>5530.14</v>
      </c>
      <c r="M888" s="5" t="s">
        <v>32</v>
      </c>
      <c r="N888" s="5"/>
      <c r="O888" s="5">
        <v>1</v>
      </c>
      <c r="P888" s="5" t="s">
        <v>1803</v>
      </c>
      <c r="Q888" s="5" t="s">
        <v>1804</v>
      </c>
      <c r="R888" s="5">
        <v>16.78</v>
      </c>
      <c r="S888" s="4">
        <v>45056</v>
      </c>
      <c r="T888" s="4">
        <v>45066</v>
      </c>
      <c r="U888" s="5">
        <f t="shared" si="41"/>
        <v>10</v>
      </c>
      <c r="V888" s="5" t="s">
        <v>76</v>
      </c>
      <c r="X888" s="5"/>
    </row>
    <row r="889" spans="1:24">
      <c r="A889" s="4">
        <v>45217</v>
      </c>
      <c r="B889" s="5" t="str">
        <f t="shared" si="39"/>
        <v>October</v>
      </c>
      <c r="C889" s="5" t="s">
        <v>17</v>
      </c>
      <c r="D889" s="5" t="s">
        <v>26</v>
      </c>
      <c r="E889" s="5">
        <v>7</v>
      </c>
      <c r="F889" s="5">
        <v>387.31</v>
      </c>
      <c r="G889" s="6">
        <f t="shared" si="40"/>
        <v>2711.17</v>
      </c>
      <c r="H889" s="5" t="s">
        <v>61</v>
      </c>
      <c r="I889" s="5" t="s">
        <v>62</v>
      </c>
      <c r="J889" s="5">
        <v>0.1</v>
      </c>
      <c r="K889" s="5" t="s">
        <v>89</v>
      </c>
      <c r="L889" s="6">
        <v>2440.053</v>
      </c>
      <c r="M889" s="5" t="s">
        <v>34</v>
      </c>
      <c r="N889" s="5" t="s">
        <v>69</v>
      </c>
      <c r="O889" s="5">
        <v>0</v>
      </c>
      <c r="P889" s="5" t="s">
        <v>1805</v>
      </c>
      <c r="Q889" s="5" t="s">
        <v>1806</v>
      </c>
      <c r="R889" s="5">
        <v>14.76</v>
      </c>
      <c r="S889" s="4">
        <v>45217</v>
      </c>
      <c r="T889" s="4">
        <v>45220</v>
      </c>
      <c r="U889" s="5">
        <f t="shared" si="41"/>
        <v>3</v>
      </c>
      <c r="V889" s="5" t="s">
        <v>67</v>
      </c>
      <c r="X889" s="5"/>
    </row>
    <row r="890" spans="1:24">
      <c r="A890" s="4">
        <v>45629</v>
      </c>
      <c r="B890" s="5" t="str">
        <f t="shared" si="39"/>
        <v>December</v>
      </c>
      <c r="C890" s="5" t="s">
        <v>17</v>
      </c>
      <c r="D890" s="5" t="s">
        <v>23</v>
      </c>
      <c r="E890" s="5">
        <v>1</v>
      </c>
      <c r="F890" s="5">
        <v>152.75</v>
      </c>
      <c r="G890" s="6">
        <f t="shared" si="40"/>
        <v>152.75</v>
      </c>
      <c r="H890" s="5" t="s">
        <v>61</v>
      </c>
      <c r="I890" s="5" t="s">
        <v>54</v>
      </c>
      <c r="J890" s="5">
        <v>0</v>
      </c>
      <c r="K890" s="5" t="s">
        <v>89</v>
      </c>
      <c r="L890" s="6">
        <v>152.75</v>
      </c>
      <c r="M890" s="5" t="s">
        <v>32</v>
      </c>
      <c r="N890" s="5" t="s">
        <v>56</v>
      </c>
      <c r="O890" s="5">
        <v>1</v>
      </c>
      <c r="P890" s="5" t="s">
        <v>1807</v>
      </c>
      <c r="Q890" s="5" t="s">
        <v>1808</v>
      </c>
      <c r="R890" s="5">
        <v>9.61</v>
      </c>
      <c r="S890" s="4">
        <v>45629</v>
      </c>
      <c r="T890" s="4">
        <v>45632</v>
      </c>
      <c r="U890" s="5">
        <f t="shared" si="41"/>
        <v>3</v>
      </c>
      <c r="V890" s="5" t="s">
        <v>67</v>
      </c>
      <c r="X890" s="5"/>
    </row>
    <row r="891" spans="1:24">
      <c r="A891" s="4">
        <v>45575</v>
      </c>
      <c r="B891" s="5" t="str">
        <f t="shared" si="39"/>
        <v>October</v>
      </c>
      <c r="C891" s="5" t="s">
        <v>17</v>
      </c>
      <c r="D891" s="5" t="s">
        <v>25</v>
      </c>
      <c r="E891" s="5">
        <v>8</v>
      </c>
      <c r="F891" s="5">
        <v>72.48</v>
      </c>
      <c r="G891" s="6">
        <f t="shared" si="40"/>
        <v>579.84</v>
      </c>
      <c r="H891" s="5" t="s">
        <v>61</v>
      </c>
      <c r="I891" s="5" t="s">
        <v>54</v>
      </c>
      <c r="J891" s="5">
        <v>0.1</v>
      </c>
      <c r="K891" s="5" t="s">
        <v>78</v>
      </c>
      <c r="L891" s="6">
        <v>521.856</v>
      </c>
      <c r="M891" s="5" t="s">
        <v>33</v>
      </c>
      <c r="N891" s="5"/>
      <c r="O891" s="5">
        <v>1</v>
      </c>
      <c r="P891" s="5" t="s">
        <v>1809</v>
      </c>
      <c r="Q891" s="5" t="s">
        <v>1810</v>
      </c>
      <c r="R891" s="5">
        <v>26.92</v>
      </c>
      <c r="S891" s="4">
        <v>45575</v>
      </c>
      <c r="T891" s="4">
        <v>45582</v>
      </c>
      <c r="U891" s="5">
        <f t="shared" si="41"/>
        <v>7</v>
      </c>
      <c r="V891" s="5" t="s">
        <v>67</v>
      </c>
      <c r="X891" s="5"/>
    </row>
    <row r="892" spans="1:24">
      <c r="A892" s="4">
        <v>45446</v>
      </c>
      <c r="B892" s="5" t="str">
        <f t="shared" si="39"/>
        <v>June</v>
      </c>
      <c r="C892" s="5" t="s">
        <v>16</v>
      </c>
      <c r="D892" s="5" t="s">
        <v>23</v>
      </c>
      <c r="E892" s="5">
        <v>4</v>
      </c>
      <c r="F892" s="5">
        <v>194.09</v>
      </c>
      <c r="G892" s="6">
        <f t="shared" si="40"/>
        <v>776.36</v>
      </c>
      <c r="H892" s="5" t="s">
        <v>81</v>
      </c>
      <c r="I892" s="5" t="s">
        <v>54</v>
      </c>
      <c r="J892" s="5">
        <v>0.1</v>
      </c>
      <c r="K892" s="5" t="s">
        <v>55</v>
      </c>
      <c r="L892" s="6">
        <v>698.724</v>
      </c>
      <c r="M892" s="5" t="s">
        <v>32</v>
      </c>
      <c r="N892" s="5" t="s">
        <v>69</v>
      </c>
      <c r="O892" s="5">
        <v>0</v>
      </c>
      <c r="P892" s="5" t="s">
        <v>1811</v>
      </c>
      <c r="Q892" s="5" t="s">
        <v>1812</v>
      </c>
      <c r="R892" s="5">
        <v>26.35</v>
      </c>
      <c r="S892" s="4">
        <v>45446</v>
      </c>
      <c r="T892" s="4">
        <v>45450</v>
      </c>
      <c r="U892" s="5">
        <f t="shared" si="41"/>
        <v>4</v>
      </c>
      <c r="V892" s="5" t="s">
        <v>59</v>
      </c>
      <c r="X892" s="5"/>
    </row>
    <row r="893" spans="1:24">
      <c r="A893" s="4">
        <v>45742</v>
      </c>
      <c r="B893" s="5" t="str">
        <f t="shared" si="39"/>
        <v>March</v>
      </c>
      <c r="C893" s="5" t="s">
        <v>17</v>
      </c>
      <c r="D893" s="5" t="s">
        <v>23</v>
      </c>
      <c r="E893" s="5">
        <v>3</v>
      </c>
      <c r="F893" s="5">
        <v>159.3</v>
      </c>
      <c r="G893" s="6">
        <f t="shared" si="40"/>
        <v>477.9</v>
      </c>
      <c r="H893" s="5" t="s">
        <v>53</v>
      </c>
      <c r="I893" s="5" t="s">
        <v>54</v>
      </c>
      <c r="J893" s="5">
        <v>0.05</v>
      </c>
      <c r="K893" s="5" t="s">
        <v>55</v>
      </c>
      <c r="L893" s="6">
        <v>454.005</v>
      </c>
      <c r="M893" s="5" t="s">
        <v>32</v>
      </c>
      <c r="N893" s="5" t="s">
        <v>64</v>
      </c>
      <c r="O893" s="5">
        <v>1</v>
      </c>
      <c r="P893" s="5" t="s">
        <v>1813</v>
      </c>
      <c r="Q893" s="5" t="s">
        <v>1814</v>
      </c>
      <c r="R893" s="5">
        <v>45.34</v>
      </c>
      <c r="S893" s="4">
        <v>45742</v>
      </c>
      <c r="T893" s="4">
        <v>45745</v>
      </c>
      <c r="U893" s="5">
        <f t="shared" si="41"/>
        <v>3</v>
      </c>
      <c r="V893" s="5" t="s">
        <v>67</v>
      </c>
      <c r="X893" s="5"/>
    </row>
    <row r="894" spans="1:24">
      <c r="A894" s="4">
        <v>45408</v>
      </c>
      <c r="B894" s="5" t="str">
        <f t="shared" si="39"/>
        <v>April</v>
      </c>
      <c r="C894" s="5" t="s">
        <v>18</v>
      </c>
      <c r="D894" s="5" t="s">
        <v>26</v>
      </c>
      <c r="E894" s="5">
        <v>4</v>
      </c>
      <c r="F894" s="5">
        <v>303.37</v>
      </c>
      <c r="G894" s="6">
        <f t="shared" si="40"/>
        <v>1213.48</v>
      </c>
      <c r="H894" s="5" t="s">
        <v>61</v>
      </c>
      <c r="I894" s="5" t="s">
        <v>62</v>
      </c>
      <c r="J894" s="5">
        <v>0.1</v>
      </c>
      <c r="K894" s="5" t="s">
        <v>78</v>
      </c>
      <c r="L894" s="6">
        <v>1092.132</v>
      </c>
      <c r="M894" s="5" t="s">
        <v>31</v>
      </c>
      <c r="N894" s="5" t="s">
        <v>69</v>
      </c>
      <c r="O894" s="5">
        <v>0</v>
      </c>
      <c r="P894" s="5" t="s">
        <v>1815</v>
      </c>
      <c r="Q894" s="5" t="s">
        <v>1816</v>
      </c>
      <c r="R894" s="5">
        <v>30.19</v>
      </c>
      <c r="S894" s="4">
        <v>45408</v>
      </c>
      <c r="T894" s="4">
        <v>45413</v>
      </c>
      <c r="U894" s="5">
        <f t="shared" si="41"/>
        <v>5</v>
      </c>
      <c r="V894" s="5" t="s">
        <v>72</v>
      </c>
      <c r="X894" s="5"/>
    </row>
    <row r="895" spans="1:24">
      <c r="A895" s="4">
        <v>45051</v>
      </c>
      <c r="B895" s="5" t="str">
        <f t="shared" si="39"/>
        <v>May</v>
      </c>
      <c r="C895" s="5" t="s">
        <v>20</v>
      </c>
      <c r="D895" s="5" t="s">
        <v>25</v>
      </c>
      <c r="E895" s="5">
        <v>16</v>
      </c>
      <c r="F895" s="5">
        <v>541.96</v>
      </c>
      <c r="G895" s="6">
        <f t="shared" si="40"/>
        <v>8671.36</v>
      </c>
      <c r="H895" s="5" t="s">
        <v>77</v>
      </c>
      <c r="I895" s="5" t="s">
        <v>62</v>
      </c>
      <c r="J895" s="5">
        <v>0.1</v>
      </c>
      <c r="K895" s="5" t="s">
        <v>55</v>
      </c>
      <c r="L895" s="6">
        <v>7804.224</v>
      </c>
      <c r="M895" s="5" t="s">
        <v>34</v>
      </c>
      <c r="N895" s="5" t="s">
        <v>64</v>
      </c>
      <c r="O895" s="5">
        <v>1</v>
      </c>
      <c r="P895" s="5" t="s">
        <v>1817</v>
      </c>
      <c r="Q895" s="5" t="s">
        <v>1818</v>
      </c>
      <c r="R895" s="5">
        <v>9.93</v>
      </c>
      <c r="S895" s="4">
        <v>45051</v>
      </c>
      <c r="T895" s="4">
        <v>45059</v>
      </c>
      <c r="U895" s="5">
        <f t="shared" si="41"/>
        <v>8</v>
      </c>
      <c r="V895" s="5" t="s">
        <v>94</v>
      </c>
      <c r="X895" s="5"/>
    </row>
    <row r="896" spans="1:24">
      <c r="A896" s="4">
        <v>45192</v>
      </c>
      <c r="B896" s="5" t="str">
        <f t="shared" si="39"/>
        <v>September</v>
      </c>
      <c r="C896" s="5" t="s">
        <v>20</v>
      </c>
      <c r="D896" s="5" t="s">
        <v>24</v>
      </c>
      <c r="E896" s="5">
        <v>7</v>
      </c>
      <c r="F896" s="5">
        <v>41.57</v>
      </c>
      <c r="G896" s="6">
        <f t="shared" si="40"/>
        <v>290.99</v>
      </c>
      <c r="H896" s="5" t="s">
        <v>81</v>
      </c>
      <c r="I896" s="5" t="s">
        <v>62</v>
      </c>
      <c r="J896" s="5">
        <v>0</v>
      </c>
      <c r="K896" s="5" t="s">
        <v>78</v>
      </c>
      <c r="L896" s="6">
        <v>290.99</v>
      </c>
      <c r="M896" s="5" t="s">
        <v>30</v>
      </c>
      <c r="N896" s="5"/>
      <c r="O896" s="5">
        <v>0</v>
      </c>
      <c r="P896" s="5" t="s">
        <v>1819</v>
      </c>
      <c r="Q896" s="5" t="s">
        <v>1820</v>
      </c>
      <c r="R896" s="5">
        <v>16.59</v>
      </c>
      <c r="S896" s="4">
        <v>45192</v>
      </c>
      <c r="T896" s="4">
        <v>45198</v>
      </c>
      <c r="U896" s="5">
        <f t="shared" si="41"/>
        <v>6</v>
      </c>
      <c r="V896" s="5" t="s">
        <v>94</v>
      </c>
      <c r="X896" s="5"/>
    </row>
    <row r="897" spans="1:24">
      <c r="A897" s="4">
        <v>45724</v>
      </c>
      <c r="B897" s="5" t="str">
        <f t="shared" si="39"/>
        <v>March</v>
      </c>
      <c r="C897" s="5" t="s">
        <v>17</v>
      </c>
      <c r="D897" s="5" t="s">
        <v>26</v>
      </c>
      <c r="E897" s="5">
        <v>16</v>
      </c>
      <c r="F897" s="5">
        <v>217.74</v>
      </c>
      <c r="G897" s="6">
        <f t="shared" si="40"/>
        <v>3483.84</v>
      </c>
      <c r="H897" s="5" t="s">
        <v>61</v>
      </c>
      <c r="I897" s="5" t="s">
        <v>54</v>
      </c>
      <c r="J897" s="5">
        <v>0.15</v>
      </c>
      <c r="K897" s="5" t="s">
        <v>73</v>
      </c>
      <c r="L897" s="6">
        <v>2961.264</v>
      </c>
      <c r="M897" s="5" t="s">
        <v>34</v>
      </c>
      <c r="N897" s="5" t="s">
        <v>56</v>
      </c>
      <c r="O897" s="5">
        <v>1</v>
      </c>
      <c r="P897" s="5" t="s">
        <v>1821</v>
      </c>
      <c r="Q897" s="5" t="s">
        <v>1822</v>
      </c>
      <c r="R897" s="5">
        <v>25.11</v>
      </c>
      <c r="S897" s="4">
        <v>45724</v>
      </c>
      <c r="T897" s="4">
        <v>45731</v>
      </c>
      <c r="U897" s="5">
        <f t="shared" si="41"/>
        <v>7</v>
      </c>
      <c r="V897" s="5" t="s">
        <v>67</v>
      </c>
      <c r="X897" s="5"/>
    </row>
    <row r="898" spans="1:24">
      <c r="A898" s="4">
        <v>44943</v>
      </c>
      <c r="B898" s="5" t="str">
        <f t="shared" si="39"/>
        <v>January</v>
      </c>
      <c r="C898" s="5" t="s">
        <v>18</v>
      </c>
      <c r="D898" s="5" t="s">
        <v>27</v>
      </c>
      <c r="E898" s="5">
        <v>15</v>
      </c>
      <c r="F898" s="5">
        <v>19.17</v>
      </c>
      <c r="G898" s="6">
        <f t="shared" si="40"/>
        <v>287.55</v>
      </c>
      <c r="H898" s="5" t="s">
        <v>61</v>
      </c>
      <c r="I898" s="5" t="s">
        <v>54</v>
      </c>
      <c r="J898" s="5">
        <v>0</v>
      </c>
      <c r="K898" s="5" t="s">
        <v>78</v>
      </c>
      <c r="L898" s="6">
        <v>287.55</v>
      </c>
      <c r="M898" s="5" t="s">
        <v>31</v>
      </c>
      <c r="N898" s="5" t="s">
        <v>56</v>
      </c>
      <c r="O898" s="5">
        <v>1</v>
      </c>
      <c r="P898" s="5" t="s">
        <v>1823</v>
      </c>
      <c r="Q898" s="5" t="s">
        <v>1824</v>
      </c>
      <c r="R898" s="5">
        <v>48.93</v>
      </c>
      <c r="S898" s="4">
        <v>44943</v>
      </c>
      <c r="T898" s="4">
        <v>44953</v>
      </c>
      <c r="U898" s="5">
        <f t="shared" si="41"/>
        <v>10</v>
      </c>
      <c r="V898" s="5" t="s">
        <v>72</v>
      </c>
      <c r="X898" s="5"/>
    </row>
    <row r="899" spans="1:24">
      <c r="A899" s="4">
        <v>45045</v>
      </c>
      <c r="B899" s="5" t="str">
        <f t="shared" ref="B899:B962" si="42">TEXT(A899,"mmmm")</f>
        <v>April</v>
      </c>
      <c r="C899" s="5" t="s">
        <v>19</v>
      </c>
      <c r="D899" s="5" t="s">
        <v>26</v>
      </c>
      <c r="E899" s="5">
        <v>15</v>
      </c>
      <c r="F899" s="5">
        <v>293.34</v>
      </c>
      <c r="G899" s="6">
        <f t="shared" ref="G899:G962" si="43">F899*E899</f>
        <v>4400.1</v>
      </c>
      <c r="H899" s="5" t="s">
        <v>81</v>
      </c>
      <c r="I899" s="5" t="s">
        <v>62</v>
      </c>
      <c r="J899" s="5">
        <v>0.1</v>
      </c>
      <c r="K899" s="5" t="s">
        <v>55</v>
      </c>
      <c r="L899" s="6">
        <v>3960.09</v>
      </c>
      <c r="M899" s="5" t="s">
        <v>32</v>
      </c>
      <c r="N899" s="5" t="s">
        <v>69</v>
      </c>
      <c r="O899" s="5">
        <v>0</v>
      </c>
      <c r="P899" s="5" t="s">
        <v>1825</v>
      </c>
      <c r="Q899" s="5" t="s">
        <v>1826</v>
      </c>
      <c r="R899" s="5">
        <v>21.03</v>
      </c>
      <c r="S899" s="4">
        <v>45045</v>
      </c>
      <c r="T899" s="4">
        <v>45047</v>
      </c>
      <c r="U899" s="5">
        <f t="shared" ref="U899:U962" si="44">T899-S899</f>
        <v>2</v>
      </c>
      <c r="V899" s="5" t="s">
        <v>76</v>
      </c>
      <c r="X899" s="5"/>
    </row>
    <row r="900" spans="1:24">
      <c r="A900" s="4">
        <v>45704</v>
      </c>
      <c r="B900" s="5" t="str">
        <f t="shared" si="42"/>
        <v>February</v>
      </c>
      <c r="C900" s="5" t="s">
        <v>17</v>
      </c>
      <c r="D900" s="5" t="s">
        <v>27</v>
      </c>
      <c r="E900" s="5">
        <v>18</v>
      </c>
      <c r="F900" s="5">
        <v>204.58</v>
      </c>
      <c r="G900" s="6">
        <f t="shared" si="43"/>
        <v>3682.44</v>
      </c>
      <c r="H900" s="5" t="s">
        <v>77</v>
      </c>
      <c r="I900" s="5" t="s">
        <v>62</v>
      </c>
      <c r="J900" s="5">
        <v>0.1</v>
      </c>
      <c r="K900" s="5" t="s">
        <v>82</v>
      </c>
      <c r="L900" s="6">
        <v>3314.196</v>
      </c>
      <c r="M900" s="5" t="s">
        <v>34</v>
      </c>
      <c r="N900" s="5"/>
      <c r="O900" s="5">
        <v>0</v>
      </c>
      <c r="P900" s="5" t="s">
        <v>1827</v>
      </c>
      <c r="Q900" s="5" t="s">
        <v>1828</v>
      </c>
      <c r="R900" s="5">
        <v>16.04</v>
      </c>
      <c r="S900" s="4">
        <v>45704</v>
      </c>
      <c r="T900" s="4">
        <v>45710</v>
      </c>
      <c r="U900" s="5">
        <f t="shared" si="44"/>
        <v>6</v>
      </c>
      <c r="V900" s="5" t="s">
        <v>67</v>
      </c>
      <c r="X900" s="5"/>
    </row>
    <row r="901" spans="1:24">
      <c r="A901" s="4">
        <v>45082</v>
      </c>
      <c r="B901" s="5" t="str">
        <f t="shared" si="42"/>
        <v>June</v>
      </c>
      <c r="C901" s="5" t="s">
        <v>16</v>
      </c>
      <c r="D901" s="5" t="s">
        <v>27</v>
      </c>
      <c r="E901" s="5">
        <v>15</v>
      </c>
      <c r="F901" s="5">
        <v>324.58</v>
      </c>
      <c r="G901" s="6">
        <f t="shared" si="43"/>
        <v>4868.7</v>
      </c>
      <c r="H901" s="5" t="s">
        <v>61</v>
      </c>
      <c r="I901" s="5" t="s">
        <v>62</v>
      </c>
      <c r="J901" s="5">
        <v>0.15</v>
      </c>
      <c r="K901" s="5" t="s">
        <v>82</v>
      </c>
      <c r="L901" s="6">
        <v>4138.395</v>
      </c>
      <c r="M901" s="5" t="s">
        <v>33</v>
      </c>
      <c r="N901" s="5"/>
      <c r="O901" s="5">
        <v>0</v>
      </c>
      <c r="P901" s="5" t="s">
        <v>1829</v>
      </c>
      <c r="Q901" s="5" t="s">
        <v>1830</v>
      </c>
      <c r="R901" s="5">
        <v>24.57</v>
      </c>
      <c r="S901" s="4">
        <v>45082</v>
      </c>
      <c r="T901" s="4">
        <v>45086</v>
      </c>
      <c r="U901" s="5">
        <f t="shared" si="44"/>
        <v>4</v>
      </c>
      <c r="V901" s="5" t="s">
        <v>59</v>
      </c>
      <c r="X901" s="5"/>
    </row>
    <row r="902" spans="1:24">
      <c r="A902" s="4">
        <v>45166</v>
      </c>
      <c r="B902" s="5" t="str">
        <f t="shared" si="42"/>
        <v>August</v>
      </c>
      <c r="C902" s="5" t="s">
        <v>17</v>
      </c>
      <c r="D902" s="5" t="s">
        <v>23</v>
      </c>
      <c r="E902" s="5">
        <v>11</v>
      </c>
      <c r="F902" s="5">
        <v>393.61</v>
      </c>
      <c r="G902" s="6">
        <f t="shared" si="43"/>
        <v>4329.71</v>
      </c>
      <c r="H902" s="5" t="s">
        <v>81</v>
      </c>
      <c r="I902" s="5" t="s">
        <v>54</v>
      </c>
      <c r="J902" s="5">
        <v>0.05</v>
      </c>
      <c r="K902" s="5" t="s">
        <v>73</v>
      </c>
      <c r="L902" s="6">
        <v>4113.2245</v>
      </c>
      <c r="M902" s="5" t="s">
        <v>33</v>
      </c>
      <c r="N902" s="5" t="s">
        <v>69</v>
      </c>
      <c r="O902" s="5">
        <v>0</v>
      </c>
      <c r="P902" s="5" t="s">
        <v>1831</v>
      </c>
      <c r="Q902" s="5" t="s">
        <v>1832</v>
      </c>
      <c r="R902" s="5">
        <v>32.57</v>
      </c>
      <c r="S902" s="4">
        <v>45166</v>
      </c>
      <c r="T902" s="4">
        <v>45175</v>
      </c>
      <c r="U902" s="5">
        <f t="shared" si="44"/>
        <v>9</v>
      </c>
      <c r="V902" s="5" t="s">
        <v>67</v>
      </c>
      <c r="X902" s="5"/>
    </row>
    <row r="903" spans="1:24">
      <c r="A903" s="4">
        <v>45139</v>
      </c>
      <c r="B903" s="5" t="str">
        <f t="shared" si="42"/>
        <v>August</v>
      </c>
      <c r="C903" s="5" t="s">
        <v>18</v>
      </c>
      <c r="D903" s="5" t="s">
        <v>27</v>
      </c>
      <c r="E903" s="5">
        <v>8</v>
      </c>
      <c r="F903" s="5">
        <v>141.28</v>
      </c>
      <c r="G903" s="6">
        <f t="shared" si="43"/>
        <v>1130.24</v>
      </c>
      <c r="H903" s="5" t="s">
        <v>81</v>
      </c>
      <c r="I903" s="5" t="s">
        <v>54</v>
      </c>
      <c r="J903" s="5">
        <v>0.05</v>
      </c>
      <c r="K903" s="5" t="s">
        <v>73</v>
      </c>
      <c r="L903" s="6">
        <v>1073.728</v>
      </c>
      <c r="M903" s="5" t="s">
        <v>30</v>
      </c>
      <c r="N903" s="5" t="s">
        <v>56</v>
      </c>
      <c r="O903" s="5">
        <v>0</v>
      </c>
      <c r="P903" s="5" t="s">
        <v>1833</v>
      </c>
      <c r="Q903" s="5" t="s">
        <v>1510</v>
      </c>
      <c r="R903" s="5">
        <v>28.69</v>
      </c>
      <c r="S903" s="4">
        <v>45139</v>
      </c>
      <c r="T903" s="4">
        <v>45148</v>
      </c>
      <c r="U903" s="5">
        <f t="shared" si="44"/>
        <v>9</v>
      </c>
      <c r="V903" s="5" t="s">
        <v>72</v>
      </c>
      <c r="X903" s="5"/>
    </row>
    <row r="904" spans="1:24">
      <c r="A904" s="4">
        <v>45700</v>
      </c>
      <c r="B904" s="5" t="str">
        <f t="shared" si="42"/>
        <v>February</v>
      </c>
      <c r="C904" s="5" t="s">
        <v>20</v>
      </c>
      <c r="D904" s="5" t="s">
        <v>23</v>
      </c>
      <c r="E904" s="5">
        <v>13</v>
      </c>
      <c r="F904" s="5">
        <v>227.64</v>
      </c>
      <c r="G904" s="6">
        <f t="shared" si="43"/>
        <v>2959.32</v>
      </c>
      <c r="H904" s="5" t="s">
        <v>77</v>
      </c>
      <c r="I904" s="5" t="s">
        <v>62</v>
      </c>
      <c r="J904" s="5">
        <v>0.15</v>
      </c>
      <c r="K904" s="5" t="s">
        <v>73</v>
      </c>
      <c r="L904" s="6">
        <v>2515.422</v>
      </c>
      <c r="M904" s="5" t="s">
        <v>34</v>
      </c>
      <c r="N904" s="5" t="s">
        <v>56</v>
      </c>
      <c r="O904" s="5">
        <v>1</v>
      </c>
      <c r="P904" s="5" t="s">
        <v>1834</v>
      </c>
      <c r="Q904" s="5" t="s">
        <v>1835</v>
      </c>
      <c r="R904" s="5">
        <v>46.67</v>
      </c>
      <c r="S904" s="4">
        <v>45700</v>
      </c>
      <c r="T904" s="4">
        <v>45708</v>
      </c>
      <c r="U904" s="5">
        <f t="shared" si="44"/>
        <v>8</v>
      </c>
      <c r="V904" s="5" t="s">
        <v>94</v>
      </c>
      <c r="X904" s="5"/>
    </row>
    <row r="905" spans="1:24">
      <c r="A905" s="4">
        <v>45110</v>
      </c>
      <c r="B905" s="5" t="str">
        <f t="shared" si="42"/>
        <v>July</v>
      </c>
      <c r="C905" s="5" t="s">
        <v>19</v>
      </c>
      <c r="D905" s="5" t="s">
        <v>22</v>
      </c>
      <c r="E905" s="5">
        <v>19</v>
      </c>
      <c r="F905" s="5">
        <v>341.07</v>
      </c>
      <c r="G905" s="6">
        <f t="shared" si="43"/>
        <v>6480.33</v>
      </c>
      <c r="H905" s="5" t="s">
        <v>77</v>
      </c>
      <c r="I905" s="5" t="s">
        <v>62</v>
      </c>
      <c r="J905" s="5">
        <v>0.1</v>
      </c>
      <c r="K905" s="5" t="s">
        <v>78</v>
      </c>
      <c r="L905" s="6">
        <v>5832.297</v>
      </c>
      <c r="M905" s="5" t="s">
        <v>34</v>
      </c>
      <c r="N905" s="5" t="s">
        <v>69</v>
      </c>
      <c r="O905" s="5">
        <v>0</v>
      </c>
      <c r="P905" s="5" t="s">
        <v>1836</v>
      </c>
      <c r="Q905" s="5" t="s">
        <v>1837</v>
      </c>
      <c r="R905" s="5">
        <v>47.75</v>
      </c>
      <c r="S905" s="4">
        <v>45110</v>
      </c>
      <c r="T905" s="4">
        <v>45113</v>
      </c>
      <c r="U905" s="5">
        <f t="shared" si="44"/>
        <v>3</v>
      </c>
      <c r="V905" s="5" t="s">
        <v>76</v>
      </c>
      <c r="X905" s="5"/>
    </row>
    <row r="906" spans="1:24">
      <c r="A906" s="4">
        <v>45786</v>
      </c>
      <c r="B906" s="5" t="str">
        <f t="shared" si="42"/>
        <v>May</v>
      </c>
      <c r="C906" s="5" t="s">
        <v>19</v>
      </c>
      <c r="D906" s="5" t="s">
        <v>23</v>
      </c>
      <c r="E906" s="5">
        <v>20</v>
      </c>
      <c r="F906" s="5">
        <v>324.55</v>
      </c>
      <c r="G906" s="6">
        <f t="shared" si="43"/>
        <v>6491</v>
      </c>
      <c r="H906" s="5" t="s">
        <v>53</v>
      </c>
      <c r="I906" s="5" t="s">
        <v>54</v>
      </c>
      <c r="J906" s="5">
        <v>0.05</v>
      </c>
      <c r="K906" s="5" t="s">
        <v>55</v>
      </c>
      <c r="L906" s="6">
        <v>6166.45</v>
      </c>
      <c r="M906" s="5" t="s">
        <v>32</v>
      </c>
      <c r="N906" s="5" t="s">
        <v>69</v>
      </c>
      <c r="O906" s="5">
        <v>1</v>
      </c>
      <c r="P906" s="5" t="s">
        <v>1838</v>
      </c>
      <c r="Q906" s="5" t="s">
        <v>1839</v>
      </c>
      <c r="R906" s="5">
        <v>21.21</v>
      </c>
      <c r="S906" s="4">
        <v>45786</v>
      </c>
      <c r="T906" s="4">
        <v>45790</v>
      </c>
      <c r="U906" s="5">
        <f t="shared" si="44"/>
        <v>4</v>
      </c>
      <c r="V906" s="5" t="s">
        <v>76</v>
      </c>
      <c r="X906" s="5"/>
    </row>
    <row r="907" spans="1:24">
      <c r="A907" s="4">
        <v>45417</v>
      </c>
      <c r="B907" s="5" t="str">
        <f t="shared" si="42"/>
        <v>May</v>
      </c>
      <c r="C907" s="5" t="s">
        <v>20</v>
      </c>
      <c r="D907" s="5" t="s">
        <v>24</v>
      </c>
      <c r="E907" s="5">
        <v>16</v>
      </c>
      <c r="F907" s="5">
        <v>301.07</v>
      </c>
      <c r="G907" s="6">
        <f t="shared" si="43"/>
        <v>4817.12</v>
      </c>
      <c r="H907" s="5" t="s">
        <v>53</v>
      </c>
      <c r="I907" s="5" t="s">
        <v>62</v>
      </c>
      <c r="J907" s="5">
        <v>0.1</v>
      </c>
      <c r="K907" s="5" t="s">
        <v>78</v>
      </c>
      <c r="L907" s="6">
        <v>4335.408</v>
      </c>
      <c r="M907" s="5" t="s">
        <v>31</v>
      </c>
      <c r="N907" s="5" t="s">
        <v>69</v>
      </c>
      <c r="O907" s="5">
        <v>0</v>
      </c>
      <c r="P907" s="5" t="s">
        <v>1840</v>
      </c>
      <c r="Q907" s="5" t="s">
        <v>1841</v>
      </c>
      <c r="R907" s="5">
        <v>5.58</v>
      </c>
      <c r="S907" s="4">
        <v>45417</v>
      </c>
      <c r="T907" s="4">
        <v>45426</v>
      </c>
      <c r="U907" s="5">
        <f t="shared" si="44"/>
        <v>9</v>
      </c>
      <c r="V907" s="5" t="s">
        <v>94</v>
      </c>
      <c r="X907" s="5"/>
    </row>
    <row r="908" spans="1:24">
      <c r="A908" s="4">
        <v>45299</v>
      </c>
      <c r="B908" s="5" t="str">
        <f t="shared" si="42"/>
        <v>January</v>
      </c>
      <c r="C908" s="5" t="s">
        <v>17</v>
      </c>
      <c r="D908" s="5" t="s">
        <v>26</v>
      </c>
      <c r="E908" s="5">
        <v>13</v>
      </c>
      <c r="F908" s="5">
        <v>285.28</v>
      </c>
      <c r="G908" s="6">
        <f t="shared" si="43"/>
        <v>3708.64</v>
      </c>
      <c r="H908" s="5" t="s">
        <v>81</v>
      </c>
      <c r="I908" s="5" t="s">
        <v>62</v>
      </c>
      <c r="J908" s="5">
        <v>0</v>
      </c>
      <c r="K908" s="5" t="s">
        <v>55</v>
      </c>
      <c r="L908" s="6">
        <v>3708.64</v>
      </c>
      <c r="M908" s="5" t="s">
        <v>31</v>
      </c>
      <c r="N908" s="5" t="s">
        <v>64</v>
      </c>
      <c r="O908" s="5">
        <v>0</v>
      </c>
      <c r="P908" s="5" t="s">
        <v>1842</v>
      </c>
      <c r="Q908" s="5" t="s">
        <v>1843</v>
      </c>
      <c r="R908" s="5">
        <v>31.2</v>
      </c>
      <c r="S908" s="4">
        <v>45299</v>
      </c>
      <c r="T908" s="4">
        <v>45306</v>
      </c>
      <c r="U908" s="5">
        <f t="shared" si="44"/>
        <v>7</v>
      </c>
      <c r="V908" s="5" t="s">
        <v>67</v>
      </c>
      <c r="X908" s="5"/>
    </row>
    <row r="909" spans="1:24">
      <c r="A909" s="4">
        <v>45670</v>
      </c>
      <c r="B909" s="5" t="str">
        <f t="shared" si="42"/>
        <v>January</v>
      </c>
      <c r="C909" s="5" t="s">
        <v>17</v>
      </c>
      <c r="D909" s="5" t="s">
        <v>23</v>
      </c>
      <c r="E909" s="5">
        <v>15</v>
      </c>
      <c r="F909" s="5">
        <v>18.04</v>
      </c>
      <c r="G909" s="6">
        <f t="shared" si="43"/>
        <v>270.6</v>
      </c>
      <c r="H909" s="5" t="s">
        <v>77</v>
      </c>
      <c r="I909" s="5" t="s">
        <v>54</v>
      </c>
      <c r="J909" s="5">
        <v>0</v>
      </c>
      <c r="K909" s="5" t="s">
        <v>55</v>
      </c>
      <c r="L909" s="6">
        <v>270.6</v>
      </c>
      <c r="M909" s="5" t="s">
        <v>32</v>
      </c>
      <c r="N909" s="5" t="s">
        <v>64</v>
      </c>
      <c r="O909" s="5">
        <v>1</v>
      </c>
      <c r="P909" s="5" t="s">
        <v>1844</v>
      </c>
      <c r="Q909" s="5" t="s">
        <v>1845</v>
      </c>
      <c r="R909" s="5">
        <v>14.35</v>
      </c>
      <c r="S909" s="4">
        <v>45670</v>
      </c>
      <c r="T909" s="4">
        <v>45674</v>
      </c>
      <c r="U909" s="5">
        <f t="shared" si="44"/>
        <v>4</v>
      </c>
      <c r="V909" s="5" t="s">
        <v>67</v>
      </c>
      <c r="X909" s="5"/>
    </row>
    <row r="910" spans="1:24">
      <c r="A910" s="4">
        <v>45820</v>
      </c>
      <c r="B910" s="5" t="str">
        <f t="shared" si="42"/>
        <v>June</v>
      </c>
      <c r="C910" s="5" t="s">
        <v>16</v>
      </c>
      <c r="D910" s="5" t="s">
        <v>27</v>
      </c>
      <c r="E910" s="5">
        <v>11</v>
      </c>
      <c r="F910" s="5">
        <v>495.44</v>
      </c>
      <c r="G910" s="6">
        <f t="shared" si="43"/>
        <v>5449.84</v>
      </c>
      <c r="H910" s="5" t="s">
        <v>61</v>
      </c>
      <c r="I910" s="5" t="s">
        <v>54</v>
      </c>
      <c r="J910" s="5">
        <v>0</v>
      </c>
      <c r="K910" s="5" t="s">
        <v>89</v>
      </c>
      <c r="L910" s="6">
        <v>5449.84</v>
      </c>
      <c r="M910" s="5" t="s">
        <v>31</v>
      </c>
      <c r="N910" s="5" t="s">
        <v>56</v>
      </c>
      <c r="O910" s="5">
        <v>0</v>
      </c>
      <c r="P910" s="5" t="s">
        <v>1846</v>
      </c>
      <c r="Q910" s="5" t="s">
        <v>1847</v>
      </c>
      <c r="R910" s="5">
        <v>44.77</v>
      </c>
      <c r="S910" s="4">
        <v>45820</v>
      </c>
      <c r="T910" s="4">
        <v>45826</v>
      </c>
      <c r="U910" s="5">
        <f t="shared" si="44"/>
        <v>6</v>
      </c>
      <c r="V910" s="5" t="s">
        <v>59</v>
      </c>
      <c r="X910" s="5"/>
    </row>
    <row r="911" spans="1:24">
      <c r="A911" s="4">
        <v>45750</v>
      </c>
      <c r="B911" s="5" t="str">
        <f t="shared" si="42"/>
        <v>April</v>
      </c>
      <c r="C911" s="5" t="s">
        <v>18</v>
      </c>
      <c r="D911" s="5" t="s">
        <v>22</v>
      </c>
      <c r="E911" s="5">
        <v>12</v>
      </c>
      <c r="F911" s="5">
        <v>276.42</v>
      </c>
      <c r="G911" s="6">
        <f t="shared" si="43"/>
        <v>3317.04</v>
      </c>
      <c r="H911" s="5" t="s">
        <v>77</v>
      </c>
      <c r="I911" s="5" t="s">
        <v>62</v>
      </c>
      <c r="J911" s="5">
        <v>0.15</v>
      </c>
      <c r="K911" s="5" t="s">
        <v>78</v>
      </c>
      <c r="L911" s="6">
        <v>2819.484</v>
      </c>
      <c r="M911" s="5" t="s">
        <v>30</v>
      </c>
      <c r="N911" s="5"/>
      <c r="O911" s="5">
        <v>0</v>
      </c>
      <c r="P911" s="5" t="s">
        <v>1848</v>
      </c>
      <c r="Q911" s="5" t="s">
        <v>1849</v>
      </c>
      <c r="R911" s="5">
        <v>30.57</v>
      </c>
      <c r="S911" s="4">
        <v>45750</v>
      </c>
      <c r="T911" s="4">
        <v>45759</v>
      </c>
      <c r="U911" s="5">
        <f t="shared" si="44"/>
        <v>9</v>
      </c>
      <c r="V911" s="5" t="s">
        <v>72</v>
      </c>
      <c r="X911" s="5"/>
    </row>
    <row r="912" spans="1:24">
      <c r="A912" s="4">
        <v>44952</v>
      </c>
      <c r="B912" s="5" t="str">
        <f t="shared" si="42"/>
        <v>January</v>
      </c>
      <c r="C912" s="5" t="s">
        <v>19</v>
      </c>
      <c r="D912" s="5" t="s">
        <v>24</v>
      </c>
      <c r="E912" s="5">
        <v>7</v>
      </c>
      <c r="F912" s="5">
        <v>228.32</v>
      </c>
      <c r="G912" s="6">
        <f t="shared" si="43"/>
        <v>1598.24</v>
      </c>
      <c r="H912" s="5" t="s">
        <v>77</v>
      </c>
      <c r="I912" s="5" t="s">
        <v>54</v>
      </c>
      <c r="J912" s="5">
        <v>0.15</v>
      </c>
      <c r="K912" s="5" t="s">
        <v>55</v>
      </c>
      <c r="L912" s="6">
        <v>1358.504</v>
      </c>
      <c r="M912" s="5" t="s">
        <v>33</v>
      </c>
      <c r="N912" s="5" t="s">
        <v>56</v>
      </c>
      <c r="O912" s="5">
        <v>0</v>
      </c>
      <c r="P912" s="5" t="s">
        <v>1850</v>
      </c>
      <c r="Q912" s="5" t="s">
        <v>1851</v>
      </c>
      <c r="R912" s="5">
        <v>22.16</v>
      </c>
      <c r="S912" s="4">
        <v>44952</v>
      </c>
      <c r="T912" s="4">
        <v>44956</v>
      </c>
      <c r="U912" s="5">
        <f t="shared" si="44"/>
        <v>4</v>
      </c>
      <c r="V912" s="5" t="s">
        <v>76</v>
      </c>
      <c r="X912" s="5"/>
    </row>
    <row r="913" spans="1:24">
      <c r="A913" s="4">
        <v>44933</v>
      </c>
      <c r="B913" s="5" t="str">
        <f t="shared" si="42"/>
        <v>January</v>
      </c>
      <c r="C913" s="5" t="s">
        <v>19</v>
      </c>
      <c r="D913" s="5" t="s">
        <v>26</v>
      </c>
      <c r="E913" s="5">
        <v>1</v>
      </c>
      <c r="F913" s="5">
        <v>498.19</v>
      </c>
      <c r="G913" s="6">
        <f t="shared" si="43"/>
        <v>498.19</v>
      </c>
      <c r="H913" s="5" t="s">
        <v>61</v>
      </c>
      <c r="I913" s="5" t="s">
        <v>54</v>
      </c>
      <c r="J913" s="5">
        <v>0.1</v>
      </c>
      <c r="K913" s="5" t="s">
        <v>89</v>
      </c>
      <c r="L913" s="6">
        <v>448.371</v>
      </c>
      <c r="M913" s="5" t="s">
        <v>31</v>
      </c>
      <c r="N913" s="5" t="s">
        <v>64</v>
      </c>
      <c r="O913" s="5">
        <v>0</v>
      </c>
      <c r="P913" s="5" t="s">
        <v>1852</v>
      </c>
      <c r="Q913" s="5" t="s">
        <v>1853</v>
      </c>
      <c r="R913" s="5">
        <v>25.55</v>
      </c>
      <c r="S913" s="4">
        <v>44933</v>
      </c>
      <c r="T913" s="4">
        <v>44937</v>
      </c>
      <c r="U913" s="5">
        <f t="shared" si="44"/>
        <v>4</v>
      </c>
      <c r="V913" s="5" t="s">
        <v>76</v>
      </c>
      <c r="X913" s="5"/>
    </row>
    <row r="914" spans="1:24">
      <c r="A914" s="4">
        <v>45672</v>
      </c>
      <c r="B914" s="5" t="str">
        <f t="shared" si="42"/>
        <v>January</v>
      </c>
      <c r="C914" s="5" t="s">
        <v>18</v>
      </c>
      <c r="D914" s="5" t="s">
        <v>24</v>
      </c>
      <c r="E914" s="5">
        <v>18</v>
      </c>
      <c r="F914" s="5">
        <v>375.83</v>
      </c>
      <c r="G914" s="6">
        <f t="shared" si="43"/>
        <v>6764.94</v>
      </c>
      <c r="H914" s="5" t="s">
        <v>77</v>
      </c>
      <c r="I914" s="5" t="s">
        <v>62</v>
      </c>
      <c r="J914" s="5">
        <v>0.1</v>
      </c>
      <c r="K914" s="5" t="s">
        <v>78</v>
      </c>
      <c r="L914" s="6">
        <v>6088.446</v>
      </c>
      <c r="M914" s="5" t="s">
        <v>31</v>
      </c>
      <c r="N914" s="5"/>
      <c r="O914" s="5">
        <v>0</v>
      </c>
      <c r="P914" s="5" t="s">
        <v>1854</v>
      </c>
      <c r="Q914" s="5" t="s">
        <v>1855</v>
      </c>
      <c r="R914" s="5">
        <v>15.13</v>
      </c>
      <c r="S914" s="4">
        <v>45672</v>
      </c>
      <c r="T914" s="4">
        <v>45680</v>
      </c>
      <c r="U914" s="5">
        <f t="shared" si="44"/>
        <v>8</v>
      </c>
      <c r="V914" s="5" t="s">
        <v>72</v>
      </c>
      <c r="X914" s="5"/>
    </row>
    <row r="915" spans="1:24">
      <c r="A915" s="4">
        <v>45626</v>
      </c>
      <c r="B915" s="5" t="str">
        <f t="shared" si="42"/>
        <v>November</v>
      </c>
      <c r="C915" s="5" t="s">
        <v>16</v>
      </c>
      <c r="D915" s="5" t="s">
        <v>25</v>
      </c>
      <c r="E915" s="5">
        <v>18</v>
      </c>
      <c r="F915" s="5">
        <v>130.36</v>
      </c>
      <c r="G915" s="6">
        <f t="shared" si="43"/>
        <v>2346.48</v>
      </c>
      <c r="H915" s="5" t="s">
        <v>53</v>
      </c>
      <c r="I915" s="5" t="s">
        <v>54</v>
      </c>
      <c r="J915" s="5">
        <v>0</v>
      </c>
      <c r="K915" s="5" t="s">
        <v>82</v>
      </c>
      <c r="L915" s="6">
        <v>2346.48</v>
      </c>
      <c r="M915" s="5" t="s">
        <v>33</v>
      </c>
      <c r="N915" s="5" t="s">
        <v>64</v>
      </c>
      <c r="O915" s="5">
        <v>0</v>
      </c>
      <c r="P915" s="5" t="s">
        <v>1856</v>
      </c>
      <c r="Q915" s="5" t="s">
        <v>1857</v>
      </c>
      <c r="R915" s="5">
        <v>34.6</v>
      </c>
      <c r="S915" s="4">
        <v>45626</v>
      </c>
      <c r="T915" s="4">
        <v>45631</v>
      </c>
      <c r="U915" s="5">
        <f t="shared" si="44"/>
        <v>5</v>
      </c>
      <c r="V915" s="5" t="s">
        <v>59</v>
      </c>
      <c r="X915" s="5"/>
    </row>
    <row r="916" spans="1:24">
      <c r="A916" s="4">
        <v>45348</v>
      </c>
      <c r="B916" s="5" t="str">
        <f t="shared" si="42"/>
        <v>February</v>
      </c>
      <c r="C916" s="5" t="s">
        <v>16</v>
      </c>
      <c r="D916" s="5" t="s">
        <v>26</v>
      </c>
      <c r="E916" s="5">
        <v>13</v>
      </c>
      <c r="F916" s="5">
        <v>585.88</v>
      </c>
      <c r="G916" s="6">
        <f t="shared" si="43"/>
        <v>7616.44</v>
      </c>
      <c r="H916" s="5" t="s">
        <v>53</v>
      </c>
      <c r="I916" s="5" t="s">
        <v>62</v>
      </c>
      <c r="J916" s="5">
        <v>0.15</v>
      </c>
      <c r="K916" s="5" t="s">
        <v>78</v>
      </c>
      <c r="L916" s="6">
        <v>6473.974</v>
      </c>
      <c r="M916" s="5" t="s">
        <v>32</v>
      </c>
      <c r="N916" s="5" t="s">
        <v>69</v>
      </c>
      <c r="O916" s="5">
        <v>0</v>
      </c>
      <c r="P916" s="5" t="s">
        <v>1858</v>
      </c>
      <c r="Q916" s="5" t="s">
        <v>1859</v>
      </c>
      <c r="R916" s="5">
        <v>42.18</v>
      </c>
      <c r="S916" s="4">
        <v>45348</v>
      </c>
      <c r="T916" s="4">
        <v>45358</v>
      </c>
      <c r="U916" s="5">
        <f t="shared" si="44"/>
        <v>10</v>
      </c>
      <c r="V916" s="5" t="s">
        <v>59</v>
      </c>
      <c r="X916" s="5"/>
    </row>
    <row r="917" spans="1:24">
      <c r="A917" s="4">
        <v>45819</v>
      </c>
      <c r="B917" s="5" t="str">
        <f t="shared" si="42"/>
        <v>June</v>
      </c>
      <c r="C917" s="5" t="s">
        <v>18</v>
      </c>
      <c r="D917" s="5" t="s">
        <v>24</v>
      </c>
      <c r="E917" s="5">
        <v>19</v>
      </c>
      <c r="F917" s="5">
        <v>278.04</v>
      </c>
      <c r="G917" s="6">
        <f t="shared" si="43"/>
        <v>5282.76</v>
      </c>
      <c r="H917" s="5" t="s">
        <v>53</v>
      </c>
      <c r="I917" s="5" t="s">
        <v>62</v>
      </c>
      <c r="J917" s="5">
        <v>0.05</v>
      </c>
      <c r="K917" s="5" t="s">
        <v>89</v>
      </c>
      <c r="L917" s="6">
        <v>5018.622</v>
      </c>
      <c r="M917" s="5" t="s">
        <v>32</v>
      </c>
      <c r="N917" s="5" t="s">
        <v>64</v>
      </c>
      <c r="O917" s="5">
        <v>0</v>
      </c>
      <c r="P917" s="5" t="s">
        <v>1860</v>
      </c>
      <c r="Q917" s="5" t="s">
        <v>1861</v>
      </c>
      <c r="R917" s="5">
        <v>16.4</v>
      </c>
      <c r="S917" s="4">
        <v>45819</v>
      </c>
      <c r="T917" s="4">
        <v>45823</v>
      </c>
      <c r="U917" s="5">
        <f t="shared" si="44"/>
        <v>4</v>
      </c>
      <c r="V917" s="5" t="s">
        <v>72</v>
      </c>
      <c r="X917" s="5"/>
    </row>
    <row r="918" spans="1:24">
      <c r="A918" s="4">
        <v>45259</v>
      </c>
      <c r="B918" s="5" t="str">
        <f t="shared" si="42"/>
        <v>November</v>
      </c>
      <c r="C918" s="5" t="s">
        <v>19</v>
      </c>
      <c r="D918" s="5" t="s">
        <v>23</v>
      </c>
      <c r="E918" s="5">
        <v>11</v>
      </c>
      <c r="F918" s="5">
        <v>267.91</v>
      </c>
      <c r="G918" s="6">
        <f t="shared" si="43"/>
        <v>2947.01</v>
      </c>
      <c r="H918" s="5" t="s">
        <v>53</v>
      </c>
      <c r="I918" s="5" t="s">
        <v>62</v>
      </c>
      <c r="J918" s="5">
        <v>0</v>
      </c>
      <c r="K918" s="5" t="s">
        <v>55</v>
      </c>
      <c r="L918" s="6">
        <v>2947.01</v>
      </c>
      <c r="M918" s="5" t="s">
        <v>33</v>
      </c>
      <c r="N918" s="5"/>
      <c r="O918" s="5">
        <v>0</v>
      </c>
      <c r="P918" s="5" t="s">
        <v>1862</v>
      </c>
      <c r="Q918" s="5" t="s">
        <v>1863</v>
      </c>
      <c r="R918" s="5">
        <v>12.05</v>
      </c>
      <c r="S918" s="4">
        <v>45259</v>
      </c>
      <c r="T918" s="4">
        <v>45264</v>
      </c>
      <c r="U918" s="5">
        <f t="shared" si="44"/>
        <v>5</v>
      </c>
      <c r="V918" s="5" t="s">
        <v>76</v>
      </c>
      <c r="X918" s="5"/>
    </row>
    <row r="919" spans="1:24">
      <c r="A919" s="4">
        <v>45470</v>
      </c>
      <c r="B919" s="5" t="str">
        <f t="shared" si="42"/>
        <v>June</v>
      </c>
      <c r="C919" s="5" t="s">
        <v>17</v>
      </c>
      <c r="D919" s="5" t="s">
        <v>25</v>
      </c>
      <c r="E919" s="5">
        <v>12</v>
      </c>
      <c r="F919" s="5">
        <v>369.54</v>
      </c>
      <c r="G919" s="6">
        <f t="shared" si="43"/>
        <v>4434.48</v>
      </c>
      <c r="H919" s="5" t="s">
        <v>53</v>
      </c>
      <c r="I919" s="5" t="s">
        <v>62</v>
      </c>
      <c r="J919" s="5">
        <v>0.05</v>
      </c>
      <c r="K919" s="5" t="s">
        <v>82</v>
      </c>
      <c r="L919" s="6">
        <v>4212.756</v>
      </c>
      <c r="M919" s="5" t="s">
        <v>33</v>
      </c>
      <c r="N919" s="5" t="s">
        <v>69</v>
      </c>
      <c r="O919" s="5">
        <v>1</v>
      </c>
      <c r="P919" s="5" t="s">
        <v>1864</v>
      </c>
      <c r="Q919" s="5" t="s">
        <v>1865</v>
      </c>
      <c r="R919" s="5">
        <v>39.16</v>
      </c>
      <c r="S919" s="4">
        <v>45470</v>
      </c>
      <c r="T919" s="4">
        <v>45478</v>
      </c>
      <c r="U919" s="5">
        <f t="shared" si="44"/>
        <v>8</v>
      </c>
      <c r="V919" s="5" t="s">
        <v>67</v>
      </c>
      <c r="X919" s="5"/>
    </row>
    <row r="920" spans="1:24">
      <c r="A920" s="4">
        <v>45432</v>
      </c>
      <c r="B920" s="5" t="str">
        <f t="shared" si="42"/>
        <v>May</v>
      </c>
      <c r="C920" s="5" t="s">
        <v>17</v>
      </c>
      <c r="D920" s="5" t="s">
        <v>26</v>
      </c>
      <c r="E920" s="5">
        <v>13</v>
      </c>
      <c r="F920" s="5">
        <v>284.3</v>
      </c>
      <c r="G920" s="6">
        <f t="shared" si="43"/>
        <v>3695.9</v>
      </c>
      <c r="H920" s="5" t="s">
        <v>61</v>
      </c>
      <c r="I920" s="5" t="s">
        <v>54</v>
      </c>
      <c r="J920" s="5">
        <v>0.05</v>
      </c>
      <c r="K920" s="5" t="s">
        <v>89</v>
      </c>
      <c r="L920" s="6">
        <v>3511.105</v>
      </c>
      <c r="M920" s="5" t="s">
        <v>30</v>
      </c>
      <c r="N920" s="5" t="s">
        <v>69</v>
      </c>
      <c r="O920" s="5">
        <v>0</v>
      </c>
      <c r="P920" s="5" t="s">
        <v>1866</v>
      </c>
      <c r="Q920" s="5" t="s">
        <v>1867</v>
      </c>
      <c r="R920" s="5">
        <v>48.73</v>
      </c>
      <c r="S920" s="4">
        <v>45432</v>
      </c>
      <c r="T920" s="4">
        <v>45439</v>
      </c>
      <c r="U920" s="5">
        <f t="shared" si="44"/>
        <v>7</v>
      </c>
      <c r="V920" s="5" t="s">
        <v>67</v>
      </c>
      <c r="X920" s="5"/>
    </row>
    <row r="921" spans="1:24">
      <c r="A921" s="4">
        <v>45094</v>
      </c>
      <c r="B921" s="5" t="str">
        <f t="shared" si="42"/>
        <v>June</v>
      </c>
      <c r="C921" s="5" t="s">
        <v>20</v>
      </c>
      <c r="D921" s="5" t="s">
        <v>25</v>
      </c>
      <c r="E921" s="5">
        <v>12</v>
      </c>
      <c r="F921" s="5">
        <v>427.1</v>
      </c>
      <c r="G921" s="6">
        <f t="shared" si="43"/>
        <v>5125.2</v>
      </c>
      <c r="H921" s="5" t="s">
        <v>77</v>
      </c>
      <c r="I921" s="5" t="s">
        <v>62</v>
      </c>
      <c r="J921" s="5">
        <v>0</v>
      </c>
      <c r="K921" s="5" t="s">
        <v>78</v>
      </c>
      <c r="L921" s="6">
        <v>5125.2</v>
      </c>
      <c r="M921" s="5" t="s">
        <v>31</v>
      </c>
      <c r="N921" s="5" t="s">
        <v>69</v>
      </c>
      <c r="O921" s="5">
        <v>1</v>
      </c>
      <c r="P921" s="5" t="s">
        <v>1868</v>
      </c>
      <c r="Q921" s="5" t="s">
        <v>1869</v>
      </c>
      <c r="R921" s="5">
        <v>8.11</v>
      </c>
      <c r="S921" s="4">
        <v>45094</v>
      </c>
      <c r="T921" s="4">
        <v>45099</v>
      </c>
      <c r="U921" s="5">
        <f t="shared" si="44"/>
        <v>5</v>
      </c>
      <c r="V921" s="5" t="s">
        <v>94</v>
      </c>
      <c r="X921" s="5"/>
    </row>
    <row r="922" spans="1:24">
      <c r="A922" s="4">
        <v>45602</v>
      </c>
      <c r="B922" s="5" t="str">
        <f t="shared" si="42"/>
        <v>November</v>
      </c>
      <c r="C922" s="5" t="s">
        <v>16</v>
      </c>
      <c r="D922" s="5" t="s">
        <v>26</v>
      </c>
      <c r="E922" s="5">
        <v>11</v>
      </c>
      <c r="F922" s="5">
        <v>200.3</v>
      </c>
      <c r="G922" s="6">
        <f t="shared" si="43"/>
        <v>2203.3</v>
      </c>
      <c r="H922" s="5" t="s">
        <v>81</v>
      </c>
      <c r="I922" s="5" t="s">
        <v>62</v>
      </c>
      <c r="J922" s="5">
        <v>0.1</v>
      </c>
      <c r="K922" s="5" t="s">
        <v>55</v>
      </c>
      <c r="L922" s="6">
        <v>1982.97</v>
      </c>
      <c r="M922" s="5" t="s">
        <v>33</v>
      </c>
      <c r="N922" s="5" t="s">
        <v>69</v>
      </c>
      <c r="O922" s="5">
        <v>1</v>
      </c>
      <c r="P922" s="5" t="s">
        <v>1870</v>
      </c>
      <c r="Q922" s="5" t="s">
        <v>1871</v>
      </c>
      <c r="R922" s="5">
        <v>48.27</v>
      </c>
      <c r="S922" s="4">
        <v>45602</v>
      </c>
      <c r="T922" s="4">
        <v>45609</v>
      </c>
      <c r="U922" s="5">
        <f t="shared" si="44"/>
        <v>7</v>
      </c>
      <c r="V922" s="5" t="s">
        <v>59</v>
      </c>
      <c r="X922" s="5"/>
    </row>
    <row r="923" spans="1:24">
      <c r="A923" s="4">
        <v>45700</v>
      </c>
      <c r="B923" s="5" t="str">
        <f t="shared" si="42"/>
        <v>February</v>
      </c>
      <c r="C923" s="5" t="s">
        <v>18</v>
      </c>
      <c r="D923" s="5" t="s">
        <v>27</v>
      </c>
      <c r="E923" s="5">
        <v>4</v>
      </c>
      <c r="F923" s="5">
        <v>75.8</v>
      </c>
      <c r="G923" s="6">
        <f t="shared" si="43"/>
        <v>303.2</v>
      </c>
      <c r="H923" s="5" t="s">
        <v>77</v>
      </c>
      <c r="I923" s="5" t="s">
        <v>62</v>
      </c>
      <c r="J923" s="5">
        <v>0.15</v>
      </c>
      <c r="K923" s="5" t="s">
        <v>78</v>
      </c>
      <c r="L923" s="6">
        <v>257.72</v>
      </c>
      <c r="M923" s="5" t="s">
        <v>32</v>
      </c>
      <c r="N923" s="5" t="s">
        <v>64</v>
      </c>
      <c r="O923" s="5">
        <v>0</v>
      </c>
      <c r="P923" s="5" t="s">
        <v>1872</v>
      </c>
      <c r="Q923" s="5" t="s">
        <v>1873</v>
      </c>
      <c r="R923" s="5">
        <v>12.22</v>
      </c>
      <c r="S923" s="4">
        <v>45700</v>
      </c>
      <c r="T923" s="4">
        <v>45708</v>
      </c>
      <c r="U923" s="5">
        <f t="shared" si="44"/>
        <v>8</v>
      </c>
      <c r="V923" s="5" t="s">
        <v>72</v>
      </c>
      <c r="X923" s="5"/>
    </row>
    <row r="924" spans="1:24">
      <c r="A924" s="4">
        <v>45756</v>
      </c>
      <c r="B924" s="5" t="str">
        <f t="shared" si="42"/>
        <v>April</v>
      </c>
      <c r="C924" s="5" t="s">
        <v>18</v>
      </c>
      <c r="D924" s="5" t="s">
        <v>26</v>
      </c>
      <c r="E924" s="5">
        <v>4</v>
      </c>
      <c r="F924" s="5">
        <v>518.43</v>
      </c>
      <c r="G924" s="6">
        <f t="shared" si="43"/>
        <v>2073.72</v>
      </c>
      <c r="H924" s="5" t="s">
        <v>61</v>
      </c>
      <c r="I924" s="5" t="s">
        <v>54</v>
      </c>
      <c r="J924" s="5">
        <v>0</v>
      </c>
      <c r="K924" s="5" t="s">
        <v>63</v>
      </c>
      <c r="L924" s="6">
        <v>2073.72</v>
      </c>
      <c r="M924" s="5" t="s">
        <v>30</v>
      </c>
      <c r="N924" s="5" t="s">
        <v>64</v>
      </c>
      <c r="O924" s="5">
        <v>0</v>
      </c>
      <c r="P924" s="5" t="s">
        <v>1874</v>
      </c>
      <c r="Q924" s="5" t="s">
        <v>1261</v>
      </c>
      <c r="R924" s="5">
        <v>30.86</v>
      </c>
      <c r="S924" s="4">
        <v>45756</v>
      </c>
      <c r="T924" s="4">
        <v>45761</v>
      </c>
      <c r="U924" s="5">
        <f t="shared" si="44"/>
        <v>5</v>
      </c>
      <c r="V924" s="5" t="s">
        <v>72</v>
      </c>
      <c r="X924" s="5"/>
    </row>
    <row r="925" spans="1:24">
      <c r="A925" s="4">
        <v>45522</v>
      </c>
      <c r="B925" s="5" t="str">
        <f t="shared" si="42"/>
        <v>August</v>
      </c>
      <c r="C925" s="5" t="s">
        <v>18</v>
      </c>
      <c r="D925" s="5" t="s">
        <v>101</v>
      </c>
      <c r="E925" s="5">
        <v>19</v>
      </c>
      <c r="F925" s="5">
        <v>181.18</v>
      </c>
      <c r="G925" s="6">
        <f t="shared" si="43"/>
        <v>3442.42</v>
      </c>
      <c r="H925" s="5" t="s">
        <v>61</v>
      </c>
      <c r="I925" s="5" t="s">
        <v>54</v>
      </c>
      <c r="J925" s="5">
        <v>0.05</v>
      </c>
      <c r="K925" s="5" t="s">
        <v>78</v>
      </c>
      <c r="L925" s="6">
        <v>3270.299</v>
      </c>
      <c r="M925" s="5" t="s">
        <v>32</v>
      </c>
      <c r="N925" s="5" t="s">
        <v>56</v>
      </c>
      <c r="O925" s="5">
        <v>0</v>
      </c>
      <c r="P925" s="5" t="s">
        <v>1875</v>
      </c>
      <c r="Q925" s="5" t="s">
        <v>1876</v>
      </c>
      <c r="R925" s="5">
        <v>12.04</v>
      </c>
      <c r="S925" s="4">
        <v>45522</v>
      </c>
      <c r="T925" s="4">
        <v>45530</v>
      </c>
      <c r="U925" s="5">
        <f t="shared" si="44"/>
        <v>8</v>
      </c>
      <c r="V925" s="5" t="s">
        <v>72</v>
      </c>
      <c r="X925" s="5"/>
    </row>
    <row r="926" spans="1:24">
      <c r="A926" s="4">
        <v>44977</v>
      </c>
      <c r="B926" s="5" t="str">
        <f t="shared" si="42"/>
        <v>February</v>
      </c>
      <c r="C926" s="5" t="s">
        <v>19</v>
      </c>
      <c r="D926" s="5" t="s">
        <v>22</v>
      </c>
      <c r="E926" s="5">
        <v>3</v>
      </c>
      <c r="F926" s="5">
        <v>197.17</v>
      </c>
      <c r="G926" s="6">
        <f t="shared" si="43"/>
        <v>591.51</v>
      </c>
      <c r="H926" s="5" t="s">
        <v>61</v>
      </c>
      <c r="I926" s="5" t="s">
        <v>54</v>
      </c>
      <c r="J926" s="5">
        <v>0.05</v>
      </c>
      <c r="K926" s="5" t="s">
        <v>73</v>
      </c>
      <c r="L926" s="6">
        <v>561.9345</v>
      </c>
      <c r="M926" s="5" t="s">
        <v>31</v>
      </c>
      <c r="N926" s="5" t="s">
        <v>56</v>
      </c>
      <c r="O926" s="5">
        <v>1</v>
      </c>
      <c r="P926" s="5" t="s">
        <v>1877</v>
      </c>
      <c r="Q926" s="5" t="s">
        <v>1224</v>
      </c>
      <c r="R926" s="5">
        <v>30.29</v>
      </c>
      <c r="S926" s="4">
        <v>44977</v>
      </c>
      <c r="T926" s="4">
        <v>44980</v>
      </c>
      <c r="U926" s="5">
        <f t="shared" si="44"/>
        <v>3</v>
      </c>
      <c r="V926" s="5" t="s">
        <v>76</v>
      </c>
      <c r="X926" s="5"/>
    </row>
    <row r="927" spans="1:24">
      <c r="A927" s="4">
        <v>45775</v>
      </c>
      <c r="B927" s="5" t="str">
        <f t="shared" si="42"/>
        <v>April</v>
      </c>
      <c r="C927" s="5" t="s">
        <v>18</v>
      </c>
      <c r="D927" s="5" t="s">
        <v>22</v>
      </c>
      <c r="E927" s="5">
        <v>6</v>
      </c>
      <c r="F927" s="5">
        <v>81.96</v>
      </c>
      <c r="G927" s="6">
        <f t="shared" si="43"/>
        <v>491.76</v>
      </c>
      <c r="H927" s="5" t="s">
        <v>81</v>
      </c>
      <c r="I927" s="5" t="s">
        <v>54</v>
      </c>
      <c r="J927" s="5">
        <v>0.05</v>
      </c>
      <c r="K927" s="5" t="s">
        <v>82</v>
      </c>
      <c r="L927" s="6">
        <v>467.172</v>
      </c>
      <c r="M927" s="5" t="s">
        <v>32</v>
      </c>
      <c r="N927" s="5" t="s">
        <v>69</v>
      </c>
      <c r="O927" s="5">
        <v>0</v>
      </c>
      <c r="P927" s="5" t="s">
        <v>1878</v>
      </c>
      <c r="Q927" s="5" t="s">
        <v>1879</v>
      </c>
      <c r="R927" s="5">
        <v>26.43</v>
      </c>
      <c r="S927" s="4">
        <v>45775</v>
      </c>
      <c r="T927" s="4">
        <v>45785</v>
      </c>
      <c r="U927" s="5">
        <f t="shared" si="44"/>
        <v>10</v>
      </c>
      <c r="V927" s="5" t="s">
        <v>72</v>
      </c>
      <c r="X927" s="5"/>
    </row>
    <row r="928" spans="1:24">
      <c r="A928" s="4">
        <v>45148</v>
      </c>
      <c r="B928" s="5" t="str">
        <f t="shared" si="42"/>
        <v>August</v>
      </c>
      <c r="C928" s="5" t="s">
        <v>19</v>
      </c>
      <c r="D928" s="5" t="s">
        <v>27</v>
      </c>
      <c r="E928" s="5">
        <v>3</v>
      </c>
      <c r="F928" s="5">
        <v>59.78</v>
      </c>
      <c r="G928" s="6">
        <f t="shared" si="43"/>
        <v>179.34</v>
      </c>
      <c r="H928" s="5" t="s">
        <v>77</v>
      </c>
      <c r="I928" s="5" t="s">
        <v>62</v>
      </c>
      <c r="J928" s="5">
        <v>0</v>
      </c>
      <c r="K928" s="5" t="s">
        <v>55</v>
      </c>
      <c r="L928" s="6">
        <v>179.34</v>
      </c>
      <c r="M928" s="5" t="s">
        <v>30</v>
      </c>
      <c r="N928" s="5" t="s">
        <v>64</v>
      </c>
      <c r="O928" s="5">
        <v>0</v>
      </c>
      <c r="P928" s="5" t="s">
        <v>1880</v>
      </c>
      <c r="Q928" s="5" t="s">
        <v>1881</v>
      </c>
      <c r="R928" s="5">
        <v>46.98</v>
      </c>
      <c r="S928" s="4">
        <v>45148</v>
      </c>
      <c r="T928" s="4">
        <v>45151</v>
      </c>
      <c r="U928" s="5">
        <f t="shared" si="44"/>
        <v>3</v>
      </c>
      <c r="V928" s="5" t="s">
        <v>76</v>
      </c>
      <c r="X928" s="5"/>
    </row>
    <row r="929" spans="1:24">
      <c r="A929" s="4">
        <v>45467</v>
      </c>
      <c r="B929" s="5" t="str">
        <f t="shared" si="42"/>
        <v>June</v>
      </c>
      <c r="C929" s="5" t="s">
        <v>18</v>
      </c>
      <c r="D929" s="5" t="s">
        <v>101</v>
      </c>
      <c r="E929" s="5">
        <v>12</v>
      </c>
      <c r="F929" s="5">
        <v>211.66</v>
      </c>
      <c r="G929" s="6">
        <f t="shared" si="43"/>
        <v>2539.92</v>
      </c>
      <c r="H929" s="5" t="s">
        <v>61</v>
      </c>
      <c r="I929" s="5" t="s">
        <v>54</v>
      </c>
      <c r="J929" s="5">
        <v>0.1</v>
      </c>
      <c r="K929" s="5" t="s">
        <v>78</v>
      </c>
      <c r="L929" s="6">
        <v>2285.928</v>
      </c>
      <c r="M929" s="5" t="s">
        <v>32</v>
      </c>
      <c r="N929" s="5" t="s">
        <v>64</v>
      </c>
      <c r="O929" s="5">
        <v>0</v>
      </c>
      <c r="P929" s="5" t="s">
        <v>1882</v>
      </c>
      <c r="Q929" s="5" t="s">
        <v>1883</v>
      </c>
      <c r="R929" s="5">
        <v>10.36</v>
      </c>
      <c r="S929" s="4">
        <v>45467</v>
      </c>
      <c r="T929" s="4">
        <v>45472</v>
      </c>
      <c r="U929" s="5">
        <f t="shared" si="44"/>
        <v>5</v>
      </c>
      <c r="V929" s="5" t="s">
        <v>72</v>
      </c>
      <c r="X929" s="5"/>
    </row>
    <row r="930" spans="1:24">
      <c r="A930" s="4">
        <v>45144</v>
      </c>
      <c r="B930" s="5" t="str">
        <f t="shared" si="42"/>
        <v>August</v>
      </c>
      <c r="C930" s="5" t="s">
        <v>19</v>
      </c>
      <c r="D930" s="5" t="s">
        <v>27</v>
      </c>
      <c r="E930" s="5">
        <v>13</v>
      </c>
      <c r="F930" s="5">
        <v>69.97</v>
      </c>
      <c r="G930" s="6">
        <f t="shared" si="43"/>
        <v>909.61</v>
      </c>
      <c r="H930" s="5" t="s">
        <v>61</v>
      </c>
      <c r="I930" s="5" t="s">
        <v>54</v>
      </c>
      <c r="J930" s="5">
        <v>0.05</v>
      </c>
      <c r="K930" s="5" t="s">
        <v>63</v>
      </c>
      <c r="L930" s="6">
        <v>864.1295</v>
      </c>
      <c r="M930" s="5" t="s">
        <v>33</v>
      </c>
      <c r="N930" s="5"/>
      <c r="O930" s="5">
        <v>0</v>
      </c>
      <c r="P930" s="5" t="s">
        <v>1884</v>
      </c>
      <c r="Q930" s="5" t="s">
        <v>1885</v>
      </c>
      <c r="R930" s="5">
        <v>27.66</v>
      </c>
      <c r="S930" s="4">
        <v>45144</v>
      </c>
      <c r="T930" s="4">
        <v>45150</v>
      </c>
      <c r="U930" s="5">
        <f t="shared" si="44"/>
        <v>6</v>
      </c>
      <c r="V930" s="5" t="s">
        <v>76</v>
      </c>
      <c r="X930" s="5"/>
    </row>
    <row r="931" spans="1:24">
      <c r="A931" s="4">
        <v>45622</v>
      </c>
      <c r="B931" s="5" t="str">
        <f t="shared" si="42"/>
        <v>November</v>
      </c>
      <c r="C931" s="5" t="s">
        <v>16</v>
      </c>
      <c r="D931" s="5" t="s">
        <v>101</v>
      </c>
      <c r="E931" s="5">
        <v>7</v>
      </c>
      <c r="F931" s="5">
        <v>438.33</v>
      </c>
      <c r="G931" s="6">
        <f t="shared" si="43"/>
        <v>3068.31</v>
      </c>
      <c r="H931" s="5" t="s">
        <v>77</v>
      </c>
      <c r="I931" s="5" t="s">
        <v>62</v>
      </c>
      <c r="J931" s="5">
        <v>0.1</v>
      </c>
      <c r="K931" s="5" t="s">
        <v>73</v>
      </c>
      <c r="L931" s="6">
        <v>2761.479</v>
      </c>
      <c r="M931" s="5" t="s">
        <v>34</v>
      </c>
      <c r="N931" s="5"/>
      <c r="O931" s="5">
        <v>1</v>
      </c>
      <c r="P931" s="5" t="s">
        <v>1886</v>
      </c>
      <c r="Q931" s="5" t="s">
        <v>1198</v>
      </c>
      <c r="R931" s="5">
        <v>11.57</v>
      </c>
      <c r="S931" s="4">
        <v>45622</v>
      </c>
      <c r="T931" s="4">
        <v>45626</v>
      </c>
      <c r="U931" s="5">
        <f t="shared" si="44"/>
        <v>4</v>
      </c>
      <c r="V931" s="5" t="s">
        <v>59</v>
      </c>
      <c r="X931" s="5"/>
    </row>
    <row r="932" spans="1:24">
      <c r="A932" s="4">
        <v>45694</v>
      </c>
      <c r="B932" s="5" t="str">
        <f t="shared" si="42"/>
        <v>February</v>
      </c>
      <c r="C932" s="5" t="s">
        <v>16</v>
      </c>
      <c r="D932" s="5" t="s">
        <v>22</v>
      </c>
      <c r="E932" s="5">
        <v>7</v>
      </c>
      <c r="F932" s="5">
        <v>241.81</v>
      </c>
      <c r="G932" s="6">
        <f t="shared" si="43"/>
        <v>1692.67</v>
      </c>
      <c r="H932" s="5" t="s">
        <v>77</v>
      </c>
      <c r="I932" s="5" t="s">
        <v>54</v>
      </c>
      <c r="J932" s="5">
        <v>0.1</v>
      </c>
      <c r="K932" s="5" t="s">
        <v>63</v>
      </c>
      <c r="L932" s="6">
        <v>1523.403</v>
      </c>
      <c r="M932" s="5" t="s">
        <v>33</v>
      </c>
      <c r="N932" s="5" t="s">
        <v>56</v>
      </c>
      <c r="O932" s="5">
        <v>0</v>
      </c>
      <c r="P932" s="5" t="s">
        <v>1887</v>
      </c>
      <c r="Q932" s="5" t="s">
        <v>1888</v>
      </c>
      <c r="R932" s="5">
        <v>32.94</v>
      </c>
      <c r="S932" s="4">
        <v>45694</v>
      </c>
      <c r="T932" s="4">
        <v>45698</v>
      </c>
      <c r="U932" s="5">
        <f t="shared" si="44"/>
        <v>4</v>
      </c>
      <c r="V932" s="5" t="s">
        <v>59</v>
      </c>
      <c r="X932" s="5"/>
    </row>
    <row r="933" spans="1:24">
      <c r="A933" s="4">
        <v>45736</v>
      </c>
      <c r="B933" s="5" t="str">
        <f t="shared" si="42"/>
        <v>March</v>
      </c>
      <c r="C933" s="5" t="s">
        <v>16</v>
      </c>
      <c r="D933" s="5" t="s">
        <v>24</v>
      </c>
      <c r="E933" s="5">
        <v>3</v>
      </c>
      <c r="F933" s="5">
        <v>466.64</v>
      </c>
      <c r="G933" s="6">
        <f t="shared" si="43"/>
        <v>1399.92</v>
      </c>
      <c r="H933" s="5" t="s">
        <v>61</v>
      </c>
      <c r="I933" s="5" t="s">
        <v>62</v>
      </c>
      <c r="J933" s="5">
        <v>0.15</v>
      </c>
      <c r="K933" s="5" t="s">
        <v>89</v>
      </c>
      <c r="L933" s="6">
        <v>1189.932</v>
      </c>
      <c r="M933" s="5" t="s">
        <v>30</v>
      </c>
      <c r="N933" s="5" t="s">
        <v>56</v>
      </c>
      <c r="O933" s="5">
        <v>0</v>
      </c>
      <c r="P933" s="5" t="s">
        <v>1889</v>
      </c>
      <c r="Q933" s="5" t="s">
        <v>1890</v>
      </c>
      <c r="R933" s="5">
        <v>30.33</v>
      </c>
      <c r="S933" s="4">
        <v>45736</v>
      </c>
      <c r="T933" s="4">
        <v>45742</v>
      </c>
      <c r="U933" s="5">
        <f t="shared" si="44"/>
        <v>6</v>
      </c>
      <c r="V933" s="5" t="s">
        <v>59</v>
      </c>
      <c r="X933" s="5"/>
    </row>
    <row r="934" spans="1:24">
      <c r="A934" s="4">
        <v>45545</v>
      </c>
      <c r="B934" s="5" t="str">
        <f t="shared" si="42"/>
        <v>September</v>
      </c>
      <c r="C934" s="5" t="s">
        <v>17</v>
      </c>
      <c r="D934" s="5" t="s">
        <v>26</v>
      </c>
      <c r="E934" s="5">
        <v>9</v>
      </c>
      <c r="F934" s="5">
        <v>472.84</v>
      </c>
      <c r="G934" s="6">
        <f t="shared" si="43"/>
        <v>4255.56</v>
      </c>
      <c r="H934" s="5" t="s">
        <v>81</v>
      </c>
      <c r="I934" s="5" t="s">
        <v>62</v>
      </c>
      <c r="J934" s="5">
        <v>0.05</v>
      </c>
      <c r="K934" s="5" t="s">
        <v>63</v>
      </c>
      <c r="L934" s="6">
        <v>4042.782</v>
      </c>
      <c r="M934" s="5" t="s">
        <v>32</v>
      </c>
      <c r="N934" s="5" t="s">
        <v>69</v>
      </c>
      <c r="O934" s="5">
        <v>0</v>
      </c>
      <c r="P934" s="5" t="s">
        <v>1891</v>
      </c>
      <c r="Q934" s="5" t="s">
        <v>1892</v>
      </c>
      <c r="R934" s="5">
        <v>48.13</v>
      </c>
      <c r="S934" s="4">
        <v>45545</v>
      </c>
      <c r="T934" s="4">
        <v>45547</v>
      </c>
      <c r="U934" s="5">
        <f t="shared" si="44"/>
        <v>2</v>
      </c>
      <c r="V934" s="5" t="s">
        <v>67</v>
      </c>
      <c r="X934" s="5"/>
    </row>
    <row r="935" spans="1:24">
      <c r="A935" s="4">
        <v>45708</v>
      </c>
      <c r="B935" s="5" t="str">
        <f t="shared" si="42"/>
        <v>February</v>
      </c>
      <c r="C935" s="5" t="s">
        <v>17</v>
      </c>
      <c r="D935" s="5" t="s">
        <v>25</v>
      </c>
      <c r="E935" s="5">
        <v>19</v>
      </c>
      <c r="F935" s="5">
        <v>586.49</v>
      </c>
      <c r="G935" s="6">
        <f t="shared" si="43"/>
        <v>11143.31</v>
      </c>
      <c r="H935" s="5" t="s">
        <v>61</v>
      </c>
      <c r="I935" s="5" t="s">
        <v>54</v>
      </c>
      <c r="J935" s="5">
        <v>0.1</v>
      </c>
      <c r="K935" s="5" t="s">
        <v>55</v>
      </c>
      <c r="L935" s="6">
        <v>10028.979</v>
      </c>
      <c r="M935" s="5" t="s">
        <v>34</v>
      </c>
      <c r="N935" s="5" t="s">
        <v>64</v>
      </c>
      <c r="O935" s="5">
        <v>0</v>
      </c>
      <c r="P935" s="5" t="s">
        <v>1893</v>
      </c>
      <c r="Q935" s="5" t="s">
        <v>1894</v>
      </c>
      <c r="R935" s="5">
        <v>19.85</v>
      </c>
      <c r="S935" s="4">
        <v>45708</v>
      </c>
      <c r="T935" s="4">
        <v>45718</v>
      </c>
      <c r="U935" s="5">
        <f t="shared" si="44"/>
        <v>10</v>
      </c>
      <c r="V935" s="5" t="s">
        <v>67</v>
      </c>
      <c r="X935" s="5"/>
    </row>
    <row r="936" spans="1:24">
      <c r="A936" s="4">
        <v>44946</v>
      </c>
      <c r="B936" s="5" t="str">
        <f t="shared" si="42"/>
        <v>January</v>
      </c>
      <c r="C936" s="5" t="s">
        <v>16</v>
      </c>
      <c r="D936" s="5" t="s">
        <v>25</v>
      </c>
      <c r="E936" s="5">
        <v>15</v>
      </c>
      <c r="F936" s="5">
        <v>462.85</v>
      </c>
      <c r="G936" s="6">
        <f t="shared" si="43"/>
        <v>6942.75</v>
      </c>
      <c r="H936" s="5" t="s">
        <v>61</v>
      </c>
      <c r="I936" s="5" t="s">
        <v>62</v>
      </c>
      <c r="J936" s="5">
        <v>0.15</v>
      </c>
      <c r="K936" s="5" t="s">
        <v>82</v>
      </c>
      <c r="L936" s="6">
        <v>5901.3375</v>
      </c>
      <c r="M936" s="5" t="s">
        <v>32</v>
      </c>
      <c r="N936" s="5"/>
      <c r="O936" s="5">
        <v>0</v>
      </c>
      <c r="P936" s="5" t="s">
        <v>1895</v>
      </c>
      <c r="Q936" s="5" t="s">
        <v>1896</v>
      </c>
      <c r="R936" s="5">
        <v>46.12</v>
      </c>
      <c r="S936" s="4">
        <v>44946</v>
      </c>
      <c r="T936" s="4">
        <v>44952</v>
      </c>
      <c r="U936" s="5">
        <f t="shared" si="44"/>
        <v>6</v>
      </c>
      <c r="V936" s="5" t="s">
        <v>59</v>
      </c>
      <c r="X936" s="5"/>
    </row>
    <row r="937" spans="1:24">
      <c r="A937" s="4">
        <v>45354</v>
      </c>
      <c r="B937" s="5" t="str">
        <f t="shared" si="42"/>
        <v>March</v>
      </c>
      <c r="C937" s="5" t="s">
        <v>16</v>
      </c>
      <c r="D937" s="5" t="s">
        <v>22</v>
      </c>
      <c r="E937" s="5">
        <v>1</v>
      </c>
      <c r="F937" s="5">
        <v>176.17</v>
      </c>
      <c r="G937" s="6">
        <f t="shared" si="43"/>
        <v>176.17</v>
      </c>
      <c r="H937" s="5" t="s">
        <v>77</v>
      </c>
      <c r="I937" s="5" t="s">
        <v>62</v>
      </c>
      <c r="J937" s="5">
        <v>0.05</v>
      </c>
      <c r="K937" s="5" t="s">
        <v>63</v>
      </c>
      <c r="L937" s="6">
        <v>167.3615</v>
      </c>
      <c r="M937" s="5" t="s">
        <v>33</v>
      </c>
      <c r="N937" s="5"/>
      <c r="O937" s="5">
        <v>1</v>
      </c>
      <c r="P937" s="5" t="s">
        <v>1897</v>
      </c>
      <c r="Q937" s="5" t="s">
        <v>1898</v>
      </c>
      <c r="R937" s="5">
        <v>35.77</v>
      </c>
      <c r="S937" s="4">
        <v>45354</v>
      </c>
      <c r="T937" s="4">
        <v>45357</v>
      </c>
      <c r="U937" s="5">
        <f t="shared" si="44"/>
        <v>3</v>
      </c>
      <c r="V937" s="5" t="s">
        <v>59</v>
      </c>
      <c r="X937" s="5"/>
    </row>
    <row r="938" spans="1:24">
      <c r="A938" s="4">
        <v>45257</v>
      </c>
      <c r="B938" s="5" t="str">
        <f t="shared" si="42"/>
        <v>November</v>
      </c>
      <c r="C938" s="5" t="s">
        <v>20</v>
      </c>
      <c r="D938" s="5" t="s">
        <v>27</v>
      </c>
      <c r="E938" s="5">
        <v>1</v>
      </c>
      <c r="F938" s="5">
        <v>71.24</v>
      </c>
      <c r="G938" s="6">
        <f t="shared" si="43"/>
        <v>71.24</v>
      </c>
      <c r="H938" s="5" t="s">
        <v>61</v>
      </c>
      <c r="I938" s="5" t="s">
        <v>62</v>
      </c>
      <c r="J938" s="5">
        <v>0.1</v>
      </c>
      <c r="K938" s="5" t="s">
        <v>78</v>
      </c>
      <c r="L938" s="6">
        <v>64.116</v>
      </c>
      <c r="M938" s="5" t="s">
        <v>33</v>
      </c>
      <c r="N938" s="5"/>
      <c r="O938" s="5">
        <v>1</v>
      </c>
      <c r="P938" s="5" t="s">
        <v>1899</v>
      </c>
      <c r="Q938" s="5" t="s">
        <v>1900</v>
      </c>
      <c r="R938" s="5">
        <v>43.69</v>
      </c>
      <c r="S938" s="4">
        <v>45257</v>
      </c>
      <c r="T938" s="4">
        <v>45263</v>
      </c>
      <c r="U938" s="5">
        <f t="shared" si="44"/>
        <v>6</v>
      </c>
      <c r="V938" s="5" t="s">
        <v>94</v>
      </c>
      <c r="X938" s="5"/>
    </row>
    <row r="939" spans="1:24">
      <c r="A939" s="4">
        <v>45606</v>
      </c>
      <c r="B939" s="5" t="str">
        <f t="shared" si="42"/>
        <v>November</v>
      </c>
      <c r="C939" s="5" t="s">
        <v>16</v>
      </c>
      <c r="D939" s="5" t="s">
        <v>22</v>
      </c>
      <c r="E939" s="5">
        <v>6</v>
      </c>
      <c r="F939" s="5">
        <v>62.43</v>
      </c>
      <c r="G939" s="6">
        <f t="shared" si="43"/>
        <v>374.58</v>
      </c>
      <c r="H939" s="5" t="s">
        <v>61</v>
      </c>
      <c r="I939" s="5" t="s">
        <v>54</v>
      </c>
      <c r="J939" s="5">
        <v>0</v>
      </c>
      <c r="K939" s="5" t="s">
        <v>82</v>
      </c>
      <c r="L939" s="6">
        <v>374.58</v>
      </c>
      <c r="M939" s="5" t="s">
        <v>31</v>
      </c>
      <c r="N939" s="5" t="s">
        <v>69</v>
      </c>
      <c r="O939" s="5">
        <v>0</v>
      </c>
      <c r="P939" s="5" t="s">
        <v>1901</v>
      </c>
      <c r="Q939" s="5" t="s">
        <v>1902</v>
      </c>
      <c r="R939" s="5">
        <v>17.85</v>
      </c>
      <c r="S939" s="4">
        <v>45606</v>
      </c>
      <c r="T939" s="4">
        <v>45614</v>
      </c>
      <c r="U939" s="5">
        <f t="shared" si="44"/>
        <v>8</v>
      </c>
      <c r="V939" s="5" t="s">
        <v>59</v>
      </c>
      <c r="X939" s="5"/>
    </row>
    <row r="940" spans="1:24">
      <c r="A940" s="4">
        <v>45692</v>
      </c>
      <c r="B940" s="5" t="str">
        <f t="shared" si="42"/>
        <v>February</v>
      </c>
      <c r="C940" s="5" t="s">
        <v>19</v>
      </c>
      <c r="D940" s="5" t="s">
        <v>101</v>
      </c>
      <c r="E940" s="5">
        <v>7</v>
      </c>
      <c r="F940" s="5">
        <v>569.89</v>
      </c>
      <c r="G940" s="6">
        <f t="shared" si="43"/>
        <v>3989.23</v>
      </c>
      <c r="H940" s="5" t="s">
        <v>81</v>
      </c>
      <c r="I940" s="5" t="s">
        <v>54</v>
      </c>
      <c r="J940" s="5">
        <v>0.1</v>
      </c>
      <c r="K940" s="5" t="s">
        <v>63</v>
      </c>
      <c r="L940" s="6">
        <v>3590.307</v>
      </c>
      <c r="M940" s="5" t="s">
        <v>34</v>
      </c>
      <c r="N940" s="5" t="s">
        <v>64</v>
      </c>
      <c r="O940" s="5">
        <v>0</v>
      </c>
      <c r="P940" s="5" t="s">
        <v>1903</v>
      </c>
      <c r="Q940" s="5" t="s">
        <v>1904</v>
      </c>
      <c r="R940" s="5">
        <v>26.81</v>
      </c>
      <c r="S940" s="4">
        <v>45692</v>
      </c>
      <c r="T940" s="4">
        <v>45696</v>
      </c>
      <c r="U940" s="5">
        <f t="shared" si="44"/>
        <v>4</v>
      </c>
      <c r="V940" s="5" t="s">
        <v>76</v>
      </c>
      <c r="X940" s="5"/>
    </row>
    <row r="941" spans="1:24">
      <c r="A941" s="4">
        <v>45343</v>
      </c>
      <c r="B941" s="5" t="str">
        <f t="shared" si="42"/>
        <v>February</v>
      </c>
      <c r="C941" s="5" t="s">
        <v>16</v>
      </c>
      <c r="D941" s="5" t="s">
        <v>24</v>
      </c>
      <c r="E941" s="5">
        <v>5</v>
      </c>
      <c r="F941" s="5">
        <v>34.06</v>
      </c>
      <c r="G941" s="6">
        <f t="shared" si="43"/>
        <v>170.3</v>
      </c>
      <c r="H941" s="5" t="s">
        <v>81</v>
      </c>
      <c r="I941" s="5" t="s">
        <v>54</v>
      </c>
      <c r="J941" s="5">
        <v>0.05</v>
      </c>
      <c r="K941" s="5" t="s">
        <v>82</v>
      </c>
      <c r="L941" s="6">
        <v>161.785</v>
      </c>
      <c r="M941" s="5" t="s">
        <v>31</v>
      </c>
      <c r="N941" s="5"/>
      <c r="O941" s="5">
        <v>0</v>
      </c>
      <c r="P941" s="5" t="s">
        <v>1905</v>
      </c>
      <c r="Q941" s="5" t="s">
        <v>1906</v>
      </c>
      <c r="R941" s="5">
        <v>19.72</v>
      </c>
      <c r="S941" s="4">
        <v>45343</v>
      </c>
      <c r="T941" s="4">
        <v>45353</v>
      </c>
      <c r="U941" s="5">
        <f t="shared" si="44"/>
        <v>10</v>
      </c>
      <c r="V941" s="5" t="s">
        <v>59</v>
      </c>
      <c r="X941" s="5"/>
    </row>
    <row r="942" spans="1:24">
      <c r="A942" s="4">
        <v>45009</v>
      </c>
      <c r="B942" s="5" t="str">
        <f t="shared" si="42"/>
        <v>March</v>
      </c>
      <c r="C942" s="5" t="s">
        <v>16</v>
      </c>
      <c r="D942" s="5" t="s">
        <v>24</v>
      </c>
      <c r="E942" s="5">
        <v>17</v>
      </c>
      <c r="F942" s="5">
        <v>502.6</v>
      </c>
      <c r="G942" s="6">
        <f t="shared" si="43"/>
        <v>8544.2</v>
      </c>
      <c r="H942" s="5" t="s">
        <v>61</v>
      </c>
      <c r="I942" s="5" t="s">
        <v>54</v>
      </c>
      <c r="J942" s="5">
        <v>0.1</v>
      </c>
      <c r="K942" s="5" t="s">
        <v>73</v>
      </c>
      <c r="L942" s="6">
        <v>7689.78</v>
      </c>
      <c r="M942" s="5" t="s">
        <v>34</v>
      </c>
      <c r="N942" s="5"/>
      <c r="O942" s="5">
        <v>0</v>
      </c>
      <c r="P942" s="5" t="s">
        <v>1907</v>
      </c>
      <c r="Q942" s="5" t="s">
        <v>1908</v>
      </c>
      <c r="R942" s="5">
        <v>15.38</v>
      </c>
      <c r="S942" s="4">
        <v>45009</v>
      </c>
      <c r="T942" s="4">
        <v>45014</v>
      </c>
      <c r="U942" s="5">
        <f t="shared" si="44"/>
        <v>5</v>
      </c>
      <c r="V942" s="5" t="s">
        <v>59</v>
      </c>
      <c r="X942" s="5"/>
    </row>
    <row r="943" spans="1:24">
      <c r="A943" s="4">
        <v>45417</v>
      </c>
      <c r="B943" s="5" t="str">
        <f t="shared" si="42"/>
        <v>May</v>
      </c>
      <c r="C943" s="5" t="s">
        <v>17</v>
      </c>
      <c r="D943" s="5" t="s">
        <v>27</v>
      </c>
      <c r="E943" s="5">
        <v>3</v>
      </c>
      <c r="F943" s="5">
        <v>89.72</v>
      </c>
      <c r="G943" s="6">
        <f t="shared" si="43"/>
        <v>269.16</v>
      </c>
      <c r="H943" s="5" t="s">
        <v>81</v>
      </c>
      <c r="I943" s="5" t="s">
        <v>54</v>
      </c>
      <c r="J943" s="5">
        <v>0.1</v>
      </c>
      <c r="K943" s="5" t="s">
        <v>63</v>
      </c>
      <c r="L943" s="6">
        <v>242.244</v>
      </c>
      <c r="M943" s="5" t="s">
        <v>31</v>
      </c>
      <c r="N943" s="5" t="s">
        <v>69</v>
      </c>
      <c r="O943" s="5">
        <v>0</v>
      </c>
      <c r="P943" s="5" t="s">
        <v>1909</v>
      </c>
      <c r="Q943" s="5" t="s">
        <v>1910</v>
      </c>
      <c r="R943" s="5">
        <v>32.67</v>
      </c>
      <c r="S943" s="4">
        <v>45417</v>
      </c>
      <c r="T943" s="4">
        <v>45425</v>
      </c>
      <c r="U943" s="5">
        <f t="shared" si="44"/>
        <v>8</v>
      </c>
      <c r="V943" s="5" t="s">
        <v>67</v>
      </c>
      <c r="X943" s="5"/>
    </row>
    <row r="944" spans="1:24">
      <c r="A944" s="4">
        <v>45569</v>
      </c>
      <c r="B944" s="5" t="str">
        <f t="shared" si="42"/>
        <v>October</v>
      </c>
      <c r="C944" s="5" t="s">
        <v>17</v>
      </c>
      <c r="D944" s="5" t="s">
        <v>22</v>
      </c>
      <c r="E944" s="5">
        <v>18</v>
      </c>
      <c r="F944" s="5">
        <v>403.53</v>
      </c>
      <c r="G944" s="6">
        <f t="shared" si="43"/>
        <v>7263.54</v>
      </c>
      <c r="H944" s="5" t="s">
        <v>81</v>
      </c>
      <c r="I944" s="5" t="s">
        <v>54</v>
      </c>
      <c r="J944" s="5">
        <v>0.1</v>
      </c>
      <c r="K944" s="5" t="s">
        <v>63</v>
      </c>
      <c r="L944" s="6">
        <v>6537.186</v>
      </c>
      <c r="M944" s="5" t="s">
        <v>30</v>
      </c>
      <c r="N944" s="5"/>
      <c r="O944" s="5">
        <v>0</v>
      </c>
      <c r="P944" s="5" t="s">
        <v>1911</v>
      </c>
      <c r="Q944" s="5" t="s">
        <v>1912</v>
      </c>
      <c r="R944" s="5">
        <v>35.73</v>
      </c>
      <c r="S944" s="4">
        <v>45569</v>
      </c>
      <c r="T944" s="4">
        <v>45572</v>
      </c>
      <c r="U944" s="5">
        <f t="shared" si="44"/>
        <v>3</v>
      </c>
      <c r="V944" s="5" t="s">
        <v>67</v>
      </c>
      <c r="X944" s="5"/>
    </row>
    <row r="945" spans="1:24">
      <c r="A945" s="4">
        <v>45661</v>
      </c>
      <c r="B945" s="5" t="str">
        <f t="shared" si="42"/>
        <v>January</v>
      </c>
      <c r="C945" s="5" t="s">
        <v>17</v>
      </c>
      <c r="D945" s="5" t="s">
        <v>25</v>
      </c>
      <c r="E945" s="5">
        <v>2</v>
      </c>
      <c r="F945" s="5">
        <v>194.97</v>
      </c>
      <c r="G945" s="6">
        <f t="shared" si="43"/>
        <v>389.94</v>
      </c>
      <c r="H945" s="5" t="s">
        <v>61</v>
      </c>
      <c r="I945" s="5" t="s">
        <v>62</v>
      </c>
      <c r="J945" s="5">
        <v>0</v>
      </c>
      <c r="K945" s="5" t="s">
        <v>82</v>
      </c>
      <c r="L945" s="6">
        <v>389.94</v>
      </c>
      <c r="M945" s="5" t="s">
        <v>32</v>
      </c>
      <c r="N945" s="5" t="s">
        <v>64</v>
      </c>
      <c r="O945" s="5">
        <v>0</v>
      </c>
      <c r="P945" s="5" t="s">
        <v>1913</v>
      </c>
      <c r="Q945" s="5" t="s">
        <v>848</v>
      </c>
      <c r="R945" s="5">
        <v>9.89</v>
      </c>
      <c r="S945" s="4">
        <v>45661</v>
      </c>
      <c r="T945" s="4">
        <v>45671</v>
      </c>
      <c r="U945" s="5">
        <f t="shared" si="44"/>
        <v>10</v>
      </c>
      <c r="V945" s="5" t="s">
        <v>67</v>
      </c>
      <c r="X945" s="5"/>
    </row>
    <row r="946" spans="1:24">
      <c r="A946" s="4">
        <v>45649</v>
      </c>
      <c r="B946" s="5" t="str">
        <f t="shared" si="42"/>
        <v>December</v>
      </c>
      <c r="C946" s="5" t="s">
        <v>19</v>
      </c>
      <c r="D946" s="5" t="s">
        <v>27</v>
      </c>
      <c r="E946" s="5">
        <v>12</v>
      </c>
      <c r="F946" s="5">
        <v>171.91</v>
      </c>
      <c r="G946" s="6">
        <f t="shared" si="43"/>
        <v>2062.92</v>
      </c>
      <c r="H946" s="5" t="s">
        <v>53</v>
      </c>
      <c r="I946" s="5" t="s">
        <v>62</v>
      </c>
      <c r="J946" s="5">
        <v>0.05</v>
      </c>
      <c r="K946" s="5" t="s">
        <v>55</v>
      </c>
      <c r="L946" s="6">
        <v>1959.774</v>
      </c>
      <c r="M946" s="5" t="s">
        <v>32</v>
      </c>
      <c r="N946" s="5" t="s">
        <v>69</v>
      </c>
      <c r="O946" s="5">
        <v>0</v>
      </c>
      <c r="P946" s="5" t="s">
        <v>1914</v>
      </c>
      <c r="Q946" s="5" t="s">
        <v>1915</v>
      </c>
      <c r="R946" s="5">
        <v>34.36</v>
      </c>
      <c r="S946" s="4">
        <v>45649</v>
      </c>
      <c r="T946" s="4">
        <v>45659</v>
      </c>
      <c r="U946" s="5">
        <f t="shared" si="44"/>
        <v>10</v>
      </c>
      <c r="V946" s="5" t="s">
        <v>76</v>
      </c>
      <c r="X946" s="5"/>
    </row>
    <row r="947" spans="1:24">
      <c r="A947" s="4">
        <v>44955</v>
      </c>
      <c r="B947" s="5" t="str">
        <f t="shared" si="42"/>
        <v>January</v>
      </c>
      <c r="C947" s="5" t="s">
        <v>19</v>
      </c>
      <c r="D947" s="5" t="s">
        <v>22</v>
      </c>
      <c r="E947" s="5">
        <v>17</v>
      </c>
      <c r="F947" s="5">
        <v>535.88</v>
      </c>
      <c r="G947" s="6">
        <f t="shared" si="43"/>
        <v>9109.96</v>
      </c>
      <c r="H947" s="5" t="s">
        <v>61</v>
      </c>
      <c r="I947" s="5" t="s">
        <v>54</v>
      </c>
      <c r="J947" s="5">
        <v>0.05</v>
      </c>
      <c r="K947" s="5" t="s">
        <v>89</v>
      </c>
      <c r="L947" s="6">
        <v>8654.462</v>
      </c>
      <c r="M947" s="5" t="s">
        <v>31</v>
      </c>
      <c r="N947" s="5"/>
      <c r="O947" s="5">
        <v>0</v>
      </c>
      <c r="P947" s="5" t="s">
        <v>1916</v>
      </c>
      <c r="Q947" s="5" t="s">
        <v>1917</v>
      </c>
      <c r="R947" s="5">
        <v>26.12</v>
      </c>
      <c r="S947" s="4">
        <v>44955</v>
      </c>
      <c r="T947" s="4">
        <v>44965</v>
      </c>
      <c r="U947" s="5">
        <f t="shared" si="44"/>
        <v>10</v>
      </c>
      <c r="V947" s="5" t="s">
        <v>76</v>
      </c>
      <c r="X947" s="5"/>
    </row>
    <row r="948" spans="1:24">
      <c r="A948" s="4">
        <v>45515</v>
      </c>
      <c r="B948" s="5" t="str">
        <f t="shared" si="42"/>
        <v>August</v>
      </c>
      <c r="C948" s="5" t="s">
        <v>20</v>
      </c>
      <c r="D948" s="5" t="s">
        <v>25</v>
      </c>
      <c r="E948" s="5">
        <v>12</v>
      </c>
      <c r="F948" s="5">
        <v>248.13</v>
      </c>
      <c r="G948" s="6">
        <f t="shared" si="43"/>
        <v>2977.56</v>
      </c>
      <c r="H948" s="5" t="s">
        <v>61</v>
      </c>
      <c r="I948" s="5" t="s">
        <v>62</v>
      </c>
      <c r="J948" s="5">
        <v>0.05</v>
      </c>
      <c r="K948" s="5" t="s">
        <v>63</v>
      </c>
      <c r="L948" s="6">
        <v>2828.682</v>
      </c>
      <c r="M948" s="5" t="s">
        <v>34</v>
      </c>
      <c r="N948" s="5" t="s">
        <v>56</v>
      </c>
      <c r="O948" s="5">
        <v>0</v>
      </c>
      <c r="P948" s="5" t="s">
        <v>1918</v>
      </c>
      <c r="Q948" s="5" t="s">
        <v>1919</v>
      </c>
      <c r="R948" s="5">
        <v>26.03</v>
      </c>
      <c r="S948" s="4">
        <v>45515</v>
      </c>
      <c r="T948" s="4">
        <v>45521</v>
      </c>
      <c r="U948" s="5">
        <f t="shared" si="44"/>
        <v>6</v>
      </c>
      <c r="V948" s="5" t="s">
        <v>94</v>
      </c>
      <c r="X948" s="5"/>
    </row>
    <row r="949" spans="1:24">
      <c r="A949" s="4">
        <v>45255</v>
      </c>
      <c r="B949" s="5" t="str">
        <f t="shared" si="42"/>
        <v>November</v>
      </c>
      <c r="C949" s="5" t="s">
        <v>18</v>
      </c>
      <c r="D949" s="5" t="s">
        <v>23</v>
      </c>
      <c r="E949" s="5">
        <v>2</v>
      </c>
      <c r="F949" s="5">
        <v>482.1</v>
      </c>
      <c r="G949" s="6">
        <f t="shared" si="43"/>
        <v>964.2</v>
      </c>
      <c r="H949" s="5" t="s">
        <v>77</v>
      </c>
      <c r="I949" s="5" t="s">
        <v>62</v>
      </c>
      <c r="J949" s="5">
        <v>0</v>
      </c>
      <c r="K949" s="5" t="s">
        <v>78</v>
      </c>
      <c r="L949" s="6">
        <v>964.2</v>
      </c>
      <c r="M949" s="5" t="s">
        <v>30</v>
      </c>
      <c r="N949" s="5" t="s">
        <v>56</v>
      </c>
      <c r="O949" s="5">
        <v>0</v>
      </c>
      <c r="P949" s="5" t="s">
        <v>1920</v>
      </c>
      <c r="Q949" s="5" t="s">
        <v>1921</v>
      </c>
      <c r="R949" s="5">
        <v>45.35</v>
      </c>
      <c r="S949" s="4">
        <v>45255</v>
      </c>
      <c r="T949" s="4">
        <v>45260</v>
      </c>
      <c r="U949" s="5">
        <f t="shared" si="44"/>
        <v>5</v>
      </c>
      <c r="V949" s="5" t="s">
        <v>72</v>
      </c>
      <c r="X949" s="5"/>
    </row>
    <row r="950" spans="1:24">
      <c r="A950" s="4">
        <v>45720</v>
      </c>
      <c r="B950" s="5" t="str">
        <f t="shared" si="42"/>
        <v>March</v>
      </c>
      <c r="C950" s="5" t="s">
        <v>18</v>
      </c>
      <c r="D950" s="5" t="s">
        <v>26</v>
      </c>
      <c r="E950" s="5">
        <v>18</v>
      </c>
      <c r="F950" s="5">
        <v>382.01</v>
      </c>
      <c r="G950" s="6">
        <f t="shared" si="43"/>
        <v>6876.18</v>
      </c>
      <c r="H950" s="5" t="s">
        <v>81</v>
      </c>
      <c r="I950" s="5" t="s">
        <v>54</v>
      </c>
      <c r="J950" s="5">
        <v>0.1</v>
      </c>
      <c r="K950" s="5" t="s">
        <v>63</v>
      </c>
      <c r="L950" s="6">
        <v>6188.562</v>
      </c>
      <c r="M950" s="5" t="s">
        <v>30</v>
      </c>
      <c r="N950" s="5" t="s">
        <v>64</v>
      </c>
      <c r="O950" s="5">
        <v>0</v>
      </c>
      <c r="P950" s="5" t="s">
        <v>1922</v>
      </c>
      <c r="Q950" s="5" t="s">
        <v>1923</v>
      </c>
      <c r="R950" s="5">
        <v>36.55</v>
      </c>
      <c r="S950" s="4">
        <v>45720</v>
      </c>
      <c r="T950" s="4">
        <v>45724</v>
      </c>
      <c r="U950" s="5">
        <f t="shared" si="44"/>
        <v>4</v>
      </c>
      <c r="V950" s="5" t="s">
        <v>72</v>
      </c>
      <c r="X950" s="5"/>
    </row>
    <row r="951" spans="1:24">
      <c r="A951" s="4">
        <v>45709</v>
      </c>
      <c r="B951" s="5" t="str">
        <f t="shared" si="42"/>
        <v>February</v>
      </c>
      <c r="C951" s="5" t="s">
        <v>18</v>
      </c>
      <c r="D951" s="5" t="s">
        <v>23</v>
      </c>
      <c r="E951" s="5">
        <v>13</v>
      </c>
      <c r="F951" s="5">
        <v>135.98</v>
      </c>
      <c r="G951" s="6">
        <f t="shared" si="43"/>
        <v>1767.74</v>
      </c>
      <c r="H951" s="5" t="s">
        <v>77</v>
      </c>
      <c r="I951" s="5" t="s">
        <v>54</v>
      </c>
      <c r="J951" s="5">
        <v>0</v>
      </c>
      <c r="K951" s="5" t="s">
        <v>73</v>
      </c>
      <c r="L951" s="6">
        <v>1767.74</v>
      </c>
      <c r="M951" s="5" t="s">
        <v>30</v>
      </c>
      <c r="N951" s="5" t="s">
        <v>69</v>
      </c>
      <c r="O951" s="5">
        <v>0</v>
      </c>
      <c r="P951" s="5" t="s">
        <v>1924</v>
      </c>
      <c r="Q951" s="5" t="s">
        <v>1612</v>
      </c>
      <c r="R951" s="5">
        <v>28.35</v>
      </c>
      <c r="S951" s="4">
        <v>45709</v>
      </c>
      <c r="T951" s="4">
        <v>45717</v>
      </c>
      <c r="U951" s="5">
        <f t="shared" si="44"/>
        <v>8</v>
      </c>
      <c r="V951" s="5" t="s">
        <v>72</v>
      </c>
      <c r="X951" s="5"/>
    </row>
    <row r="952" spans="1:24">
      <c r="A952" s="4">
        <v>45714</v>
      </c>
      <c r="B952" s="5" t="str">
        <f t="shared" si="42"/>
        <v>February</v>
      </c>
      <c r="C952" s="5" t="s">
        <v>16</v>
      </c>
      <c r="D952" s="5" t="s">
        <v>24</v>
      </c>
      <c r="E952" s="5">
        <v>9</v>
      </c>
      <c r="F952" s="5">
        <v>562.54</v>
      </c>
      <c r="G952" s="6">
        <f t="shared" si="43"/>
        <v>5062.86</v>
      </c>
      <c r="H952" s="5" t="s">
        <v>61</v>
      </c>
      <c r="I952" s="5" t="s">
        <v>54</v>
      </c>
      <c r="J952" s="5">
        <v>0</v>
      </c>
      <c r="K952" s="5" t="s">
        <v>63</v>
      </c>
      <c r="L952" s="6">
        <v>5062.86</v>
      </c>
      <c r="M952" s="5" t="s">
        <v>32</v>
      </c>
      <c r="N952" s="5" t="s">
        <v>56</v>
      </c>
      <c r="O952" s="5">
        <v>0</v>
      </c>
      <c r="P952" s="5" t="s">
        <v>1925</v>
      </c>
      <c r="Q952" s="5" t="s">
        <v>1926</v>
      </c>
      <c r="R952" s="5">
        <v>30.27</v>
      </c>
      <c r="S952" s="4">
        <v>45714</v>
      </c>
      <c r="T952" s="4">
        <v>45716</v>
      </c>
      <c r="U952" s="5">
        <f t="shared" si="44"/>
        <v>2</v>
      </c>
      <c r="V952" s="5" t="s">
        <v>59</v>
      </c>
      <c r="X952" s="5"/>
    </row>
    <row r="953" spans="1:24">
      <c r="A953" s="4">
        <v>45380</v>
      </c>
      <c r="B953" s="5" t="str">
        <f t="shared" si="42"/>
        <v>March</v>
      </c>
      <c r="C953" s="5" t="s">
        <v>16</v>
      </c>
      <c r="D953" s="5" t="s">
        <v>26</v>
      </c>
      <c r="E953" s="5">
        <v>6</v>
      </c>
      <c r="F953" s="5">
        <v>509.48</v>
      </c>
      <c r="G953" s="6">
        <f t="shared" si="43"/>
        <v>3056.88</v>
      </c>
      <c r="H953" s="5" t="s">
        <v>53</v>
      </c>
      <c r="I953" s="5" t="s">
        <v>54</v>
      </c>
      <c r="J953" s="5">
        <v>0</v>
      </c>
      <c r="K953" s="5" t="s">
        <v>63</v>
      </c>
      <c r="L953" s="6">
        <v>3056.88</v>
      </c>
      <c r="M953" s="5" t="s">
        <v>33</v>
      </c>
      <c r="N953" s="5" t="s">
        <v>69</v>
      </c>
      <c r="O953" s="5">
        <v>0</v>
      </c>
      <c r="P953" s="5" t="s">
        <v>1927</v>
      </c>
      <c r="Q953" s="5" t="s">
        <v>1928</v>
      </c>
      <c r="R953" s="5">
        <v>35.92</v>
      </c>
      <c r="S953" s="4">
        <v>45380</v>
      </c>
      <c r="T953" s="4">
        <v>45388</v>
      </c>
      <c r="U953" s="5">
        <f t="shared" si="44"/>
        <v>8</v>
      </c>
      <c r="V953" s="5" t="s">
        <v>59</v>
      </c>
      <c r="X953" s="5"/>
    </row>
    <row r="954" spans="1:24">
      <c r="A954" s="4">
        <v>45805</v>
      </c>
      <c r="B954" s="5" t="str">
        <f t="shared" si="42"/>
        <v>May</v>
      </c>
      <c r="C954" s="5" t="s">
        <v>20</v>
      </c>
      <c r="D954" s="5" t="s">
        <v>24</v>
      </c>
      <c r="E954" s="5">
        <v>3</v>
      </c>
      <c r="F954" s="5">
        <v>470.09</v>
      </c>
      <c r="G954" s="6">
        <f t="shared" si="43"/>
        <v>1410.27</v>
      </c>
      <c r="H954" s="5" t="s">
        <v>53</v>
      </c>
      <c r="I954" s="5" t="s">
        <v>54</v>
      </c>
      <c r="J954" s="5">
        <v>0</v>
      </c>
      <c r="K954" s="5" t="s">
        <v>55</v>
      </c>
      <c r="L954" s="6">
        <v>1410.27</v>
      </c>
      <c r="M954" s="5" t="s">
        <v>31</v>
      </c>
      <c r="N954" s="5"/>
      <c r="O954" s="5">
        <v>0</v>
      </c>
      <c r="P954" s="5" t="s">
        <v>1929</v>
      </c>
      <c r="Q954" s="5" t="s">
        <v>1930</v>
      </c>
      <c r="R954" s="5">
        <v>38.29</v>
      </c>
      <c r="S954" s="4">
        <v>45805</v>
      </c>
      <c r="T954" s="4">
        <v>45809</v>
      </c>
      <c r="U954" s="5">
        <f t="shared" si="44"/>
        <v>4</v>
      </c>
      <c r="V954" s="5" t="s">
        <v>94</v>
      </c>
      <c r="X954" s="5"/>
    </row>
    <row r="955" spans="1:24">
      <c r="A955" s="4">
        <v>45436</v>
      </c>
      <c r="B955" s="5" t="str">
        <f t="shared" si="42"/>
        <v>May</v>
      </c>
      <c r="C955" s="5" t="s">
        <v>20</v>
      </c>
      <c r="D955" s="5" t="s">
        <v>27</v>
      </c>
      <c r="E955" s="5">
        <v>10</v>
      </c>
      <c r="F955" s="5">
        <v>280.8</v>
      </c>
      <c r="G955" s="6">
        <f t="shared" si="43"/>
        <v>2808</v>
      </c>
      <c r="H955" s="5" t="s">
        <v>77</v>
      </c>
      <c r="I955" s="5" t="s">
        <v>62</v>
      </c>
      <c r="J955" s="5">
        <v>0</v>
      </c>
      <c r="K955" s="5" t="s">
        <v>63</v>
      </c>
      <c r="L955" s="6">
        <v>2808</v>
      </c>
      <c r="M955" s="5" t="s">
        <v>32</v>
      </c>
      <c r="N955" s="5" t="s">
        <v>64</v>
      </c>
      <c r="O955" s="5">
        <v>0</v>
      </c>
      <c r="P955" s="5" t="s">
        <v>1931</v>
      </c>
      <c r="Q955" s="5" t="s">
        <v>1932</v>
      </c>
      <c r="R955" s="5">
        <v>49.98</v>
      </c>
      <c r="S955" s="4">
        <v>45436</v>
      </c>
      <c r="T955" s="4">
        <v>45442</v>
      </c>
      <c r="U955" s="5">
        <f t="shared" si="44"/>
        <v>6</v>
      </c>
      <c r="V955" s="5" t="s">
        <v>94</v>
      </c>
      <c r="X955" s="5"/>
    </row>
    <row r="956" spans="1:24">
      <c r="A956" s="4">
        <v>45058</v>
      </c>
      <c r="B956" s="5" t="str">
        <f t="shared" si="42"/>
        <v>May</v>
      </c>
      <c r="C956" s="5" t="s">
        <v>17</v>
      </c>
      <c r="D956" s="5" t="s">
        <v>25</v>
      </c>
      <c r="E956" s="5">
        <v>9</v>
      </c>
      <c r="F956" s="5">
        <v>251.43</v>
      </c>
      <c r="G956" s="6">
        <f t="shared" si="43"/>
        <v>2262.87</v>
      </c>
      <c r="H956" s="5" t="s">
        <v>77</v>
      </c>
      <c r="I956" s="5" t="s">
        <v>62</v>
      </c>
      <c r="J956" s="5">
        <v>0.1</v>
      </c>
      <c r="K956" s="5" t="s">
        <v>73</v>
      </c>
      <c r="L956" s="6">
        <v>2036.583</v>
      </c>
      <c r="M956" s="5" t="s">
        <v>32</v>
      </c>
      <c r="N956" s="5"/>
      <c r="O956" s="5">
        <v>0</v>
      </c>
      <c r="P956" s="5" t="s">
        <v>1933</v>
      </c>
      <c r="Q956" s="5" t="s">
        <v>1934</v>
      </c>
      <c r="R956" s="5">
        <v>22.57</v>
      </c>
      <c r="S956" s="4">
        <v>45058</v>
      </c>
      <c r="T956" s="4">
        <v>45063</v>
      </c>
      <c r="U956" s="5">
        <f t="shared" si="44"/>
        <v>5</v>
      </c>
      <c r="V956" s="5" t="s">
        <v>67</v>
      </c>
      <c r="X956" s="5"/>
    </row>
    <row r="957" spans="1:24">
      <c r="A957" s="4">
        <v>45210</v>
      </c>
      <c r="B957" s="5" t="str">
        <f t="shared" si="42"/>
        <v>October</v>
      </c>
      <c r="C957" s="5" t="s">
        <v>17</v>
      </c>
      <c r="D957" s="5" t="s">
        <v>23</v>
      </c>
      <c r="E957" s="5">
        <v>4</v>
      </c>
      <c r="F957" s="5">
        <v>408.28</v>
      </c>
      <c r="G957" s="6">
        <f t="shared" si="43"/>
        <v>1633.12</v>
      </c>
      <c r="H957" s="5" t="s">
        <v>61</v>
      </c>
      <c r="I957" s="5" t="s">
        <v>62</v>
      </c>
      <c r="J957" s="5">
        <v>0.15</v>
      </c>
      <c r="K957" s="5" t="s">
        <v>63</v>
      </c>
      <c r="L957" s="6">
        <v>1388.152</v>
      </c>
      <c r="M957" s="5" t="s">
        <v>34</v>
      </c>
      <c r="N957" s="5" t="s">
        <v>69</v>
      </c>
      <c r="O957" s="5">
        <v>0</v>
      </c>
      <c r="P957" s="5" t="s">
        <v>1935</v>
      </c>
      <c r="Q957" s="5" t="s">
        <v>1474</v>
      </c>
      <c r="R957" s="5">
        <v>5.38</v>
      </c>
      <c r="S957" s="4">
        <v>45210</v>
      </c>
      <c r="T957" s="4">
        <v>45214</v>
      </c>
      <c r="U957" s="5">
        <f t="shared" si="44"/>
        <v>4</v>
      </c>
      <c r="V957" s="5" t="s">
        <v>67</v>
      </c>
      <c r="X957" s="5"/>
    </row>
    <row r="958" spans="1:24">
      <c r="A958" s="4">
        <v>45316</v>
      </c>
      <c r="B958" s="5" t="str">
        <f t="shared" si="42"/>
        <v>January</v>
      </c>
      <c r="C958" s="5" t="s">
        <v>18</v>
      </c>
      <c r="D958" s="5" t="s">
        <v>27</v>
      </c>
      <c r="E958" s="5">
        <v>2</v>
      </c>
      <c r="F958" s="5">
        <v>27.43</v>
      </c>
      <c r="G958" s="6">
        <f t="shared" si="43"/>
        <v>54.86</v>
      </c>
      <c r="H958" s="5" t="s">
        <v>53</v>
      </c>
      <c r="I958" s="5" t="s">
        <v>62</v>
      </c>
      <c r="J958" s="5">
        <v>0.15</v>
      </c>
      <c r="K958" s="5" t="s">
        <v>73</v>
      </c>
      <c r="L958" s="6">
        <v>46.631</v>
      </c>
      <c r="M958" s="5" t="s">
        <v>30</v>
      </c>
      <c r="N958" s="5" t="s">
        <v>69</v>
      </c>
      <c r="O958" s="5">
        <v>0</v>
      </c>
      <c r="P958" s="5" t="s">
        <v>1936</v>
      </c>
      <c r="Q958" s="5" t="s">
        <v>1937</v>
      </c>
      <c r="R958" s="5">
        <v>6.15</v>
      </c>
      <c r="S958" s="4">
        <v>45316</v>
      </c>
      <c r="T958" s="4">
        <v>45323</v>
      </c>
      <c r="U958" s="5">
        <f t="shared" si="44"/>
        <v>7</v>
      </c>
      <c r="V958" s="5" t="s">
        <v>72</v>
      </c>
      <c r="X958" s="5"/>
    </row>
    <row r="959" spans="1:24">
      <c r="A959" s="4">
        <v>44960</v>
      </c>
      <c r="B959" s="5" t="str">
        <f t="shared" si="42"/>
        <v>February</v>
      </c>
      <c r="C959" s="5" t="s">
        <v>16</v>
      </c>
      <c r="D959" s="5" t="s">
        <v>23</v>
      </c>
      <c r="E959" s="5">
        <v>11</v>
      </c>
      <c r="F959" s="5">
        <v>321.72</v>
      </c>
      <c r="G959" s="6">
        <f t="shared" si="43"/>
        <v>3538.92</v>
      </c>
      <c r="H959" s="5" t="s">
        <v>61</v>
      </c>
      <c r="I959" s="5" t="s">
        <v>62</v>
      </c>
      <c r="J959" s="5">
        <v>0.1</v>
      </c>
      <c r="K959" s="5" t="s">
        <v>78</v>
      </c>
      <c r="L959" s="6">
        <v>3185.028</v>
      </c>
      <c r="M959" s="5" t="s">
        <v>30</v>
      </c>
      <c r="N959" s="5" t="s">
        <v>69</v>
      </c>
      <c r="O959" s="5">
        <v>1</v>
      </c>
      <c r="P959" s="5" t="s">
        <v>1938</v>
      </c>
      <c r="Q959" s="5" t="s">
        <v>1939</v>
      </c>
      <c r="R959" s="5">
        <v>17.94</v>
      </c>
      <c r="S959" s="4">
        <v>44960</v>
      </c>
      <c r="T959" s="4">
        <v>44963</v>
      </c>
      <c r="U959" s="5">
        <f t="shared" si="44"/>
        <v>3</v>
      </c>
      <c r="V959" s="5" t="s">
        <v>59</v>
      </c>
      <c r="X959" s="5"/>
    </row>
    <row r="960" spans="1:24">
      <c r="A960" s="4">
        <v>45481</v>
      </c>
      <c r="B960" s="5" t="str">
        <f t="shared" si="42"/>
        <v>July</v>
      </c>
      <c r="C960" s="5" t="s">
        <v>18</v>
      </c>
      <c r="D960" s="5" t="s">
        <v>24</v>
      </c>
      <c r="E960" s="5">
        <v>5</v>
      </c>
      <c r="F960" s="5">
        <v>186.32</v>
      </c>
      <c r="G960" s="6">
        <f t="shared" si="43"/>
        <v>931.6</v>
      </c>
      <c r="H960" s="5" t="s">
        <v>61</v>
      </c>
      <c r="I960" s="5" t="s">
        <v>54</v>
      </c>
      <c r="J960" s="5">
        <v>0.1</v>
      </c>
      <c r="K960" s="5" t="s">
        <v>78</v>
      </c>
      <c r="L960" s="6">
        <v>838.44</v>
      </c>
      <c r="M960" s="5" t="s">
        <v>31</v>
      </c>
      <c r="N960" s="5" t="s">
        <v>69</v>
      </c>
      <c r="O960" s="5">
        <v>0</v>
      </c>
      <c r="P960" s="5" t="s">
        <v>1940</v>
      </c>
      <c r="Q960" s="5" t="s">
        <v>325</v>
      </c>
      <c r="R960" s="5">
        <v>17.09</v>
      </c>
      <c r="S960" s="4">
        <v>45481</v>
      </c>
      <c r="T960" s="4">
        <v>45487</v>
      </c>
      <c r="U960" s="5">
        <f t="shared" si="44"/>
        <v>6</v>
      </c>
      <c r="V960" s="5" t="s">
        <v>72</v>
      </c>
      <c r="X960" s="5"/>
    </row>
    <row r="961" spans="1:24">
      <c r="A961" s="4">
        <v>45808</v>
      </c>
      <c r="B961" s="5" t="str">
        <f t="shared" si="42"/>
        <v>May</v>
      </c>
      <c r="C961" s="5" t="s">
        <v>17</v>
      </c>
      <c r="D961" s="5" t="s">
        <v>26</v>
      </c>
      <c r="E961" s="5">
        <v>3</v>
      </c>
      <c r="F961" s="5">
        <v>390.28</v>
      </c>
      <c r="G961" s="6">
        <f t="shared" si="43"/>
        <v>1170.84</v>
      </c>
      <c r="H961" s="5" t="s">
        <v>53</v>
      </c>
      <c r="I961" s="5" t="s">
        <v>62</v>
      </c>
      <c r="J961" s="5">
        <v>0</v>
      </c>
      <c r="K961" s="5" t="s">
        <v>73</v>
      </c>
      <c r="L961" s="6">
        <v>1170.84</v>
      </c>
      <c r="M961" s="5" t="s">
        <v>30</v>
      </c>
      <c r="N961" s="5" t="s">
        <v>69</v>
      </c>
      <c r="O961" s="5">
        <v>1</v>
      </c>
      <c r="P961" s="5" t="s">
        <v>1941</v>
      </c>
      <c r="Q961" s="5" t="s">
        <v>1942</v>
      </c>
      <c r="R961" s="5">
        <v>45.22</v>
      </c>
      <c r="S961" s="4">
        <v>45808</v>
      </c>
      <c r="T961" s="4">
        <v>45818</v>
      </c>
      <c r="U961" s="5">
        <f t="shared" si="44"/>
        <v>10</v>
      </c>
      <c r="V961" s="5" t="s">
        <v>67</v>
      </c>
      <c r="X961" s="5"/>
    </row>
    <row r="962" spans="1:24">
      <c r="A962" s="4">
        <v>45239</v>
      </c>
      <c r="B962" s="5" t="str">
        <f t="shared" si="42"/>
        <v>November</v>
      </c>
      <c r="C962" s="5" t="s">
        <v>17</v>
      </c>
      <c r="D962" s="5" t="s">
        <v>26</v>
      </c>
      <c r="E962" s="5">
        <v>13</v>
      </c>
      <c r="F962" s="5">
        <v>174.9</v>
      </c>
      <c r="G962" s="6">
        <f t="shared" si="43"/>
        <v>2273.7</v>
      </c>
      <c r="H962" s="5" t="s">
        <v>61</v>
      </c>
      <c r="I962" s="5" t="s">
        <v>54</v>
      </c>
      <c r="J962" s="5">
        <v>0.15</v>
      </c>
      <c r="K962" s="5" t="s">
        <v>78</v>
      </c>
      <c r="L962" s="6">
        <v>1932.645</v>
      </c>
      <c r="M962" s="5" t="s">
        <v>30</v>
      </c>
      <c r="N962" s="5" t="s">
        <v>69</v>
      </c>
      <c r="O962" s="5">
        <v>0</v>
      </c>
      <c r="P962" s="5" t="s">
        <v>1943</v>
      </c>
      <c r="Q962" s="5" t="s">
        <v>1944</v>
      </c>
      <c r="R962" s="5">
        <v>31.26</v>
      </c>
      <c r="S962" s="4">
        <v>45239</v>
      </c>
      <c r="T962" s="4">
        <v>45242</v>
      </c>
      <c r="U962" s="5">
        <f t="shared" si="44"/>
        <v>3</v>
      </c>
      <c r="V962" s="5" t="s">
        <v>67</v>
      </c>
      <c r="X962" s="5"/>
    </row>
    <row r="963" spans="1:24">
      <c r="A963" s="4">
        <v>45113</v>
      </c>
      <c r="B963" s="5" t="str">
        <f t="shared" ref="B963:B1026" si="45">TEXT(A963,"mmmm")</f>
        <v>July</v>
      </c>
      <c r="C963" s="5" t="s">
        <v>18</v>
      </c>
      <c r="D963" s="5" t="s">
        <v>25</v>
      </c>
      <c r="E963" s="5">
        <v>8</v>
      </c>
      <c r="F963" s="5">
        <v>419.13</v>
      </c>
      <c r="G963" s="6">
        <f t="shared" ref="G963:G1026" si="46">F963*E963</f>
        <v>3353.04</v>
      </c>
      <c r="H963" s="5" t="s">
        <v>61</v>
      </c>
      <c r="I963" s="5" t="s">
        <v>62</v>
      </c>
      <c r="J963" s="5">
        <v>0.1</v>
      </c>
      <c r="K963" s="5" t="s">
        <v>63</v>
      </c>
      <c r="L963" s="6">
        <v>3017.736</v>
      </c>
      <c r="M963" s="5" t="s">
        <v>30</v>
      </c>
      <c r="N963" s="5"/>
      <c r="O963" s="5">
        <v>1</v>
      </c>
      <c r="P963" s="5" t="s">
        <v>1945</v>
      </c>
      <c r="Q963" s="5" t="s">
        <v>1946</v>
      </c>
      <c r="R963" s="5">
        <v>11.02</v>
      </c>
      <c r="S963" s="4">
        <v>45113</v>
      </c>
      <c r="T963" s="4">
        <v>45117</v>
      </c>
      <c r="U963" s="5">
        <f t="shared" ref="U963:U1026" si="47">T963-S963</f>
        <v>4</v>
      </c>
      <c r="V963" s="5" t="s">
        <v>72</v>
      </c>
      <c r="X963" s="5"/>
    </row>
    <row r="964" spans="1:24">
      <c r="A964" s="4">
        <v>45121</v>
      </c>
      <c r="B964" s="5" t="str">
        <f t="shared" si="45"/>
        <v>July</v>
      </c>
      <c r="C964" s="5" t="s">
        <v>18</v>
      </c>
      <c r="D964" s="5" t="s">
        <v>25</v>
      </c>
      <c r="E964" s="5">
        <v>12</v>
      </c>
      <c r="F964" s="5">
        <v>116.96</v>
      </c>
      <c r="G964" s="6">
        <f t="shared" si="46"/>
        <v>1403.52</v>
      </c>
      <c r="H964" s="5" t="s">
        <v>81</v>
      </c>
      <c r="I964" s="5" t="s">
        <v>54</v>
      </c>
      <c r="J964" s="5">
        <v>0</v>
      </c>
      <c r="K964" s="5" t="s">
        <v>63</v>
      </c>
      <c r="L964" s="6">
        <v>1403.52</v>
      </c>
      <c r="M964" s="5" t="s">
        <v>31</v>
      </c>
      <c r="N964" s="5" t="s">
        <v>69</v>
      </c>
      <c r="O964" s="5">
        <v>0</v>
      </c>
      <c r="P964" s="5" t="s">
        <v>1947</v>
      </c>
      <c r="Q964" s="5" t="s">
        <v>1948</v>
      </c>
      <c r="R964" s="5">
        <v>22.04</v>
      </c>
      <c r="S964" s="4">
        <v>45121</v>
      </c>
      <c r="T964" s="4">
        <v>45129</v>
      </c>
      <c r="U964" s="5">
        <f t="shared" si="47"/>
        <v>8</v>
      </c>
      <c r="V964" s="5" t="s">
        <v>72</v>
      </c>
      <c r="X964" s="5"/>
    </row>
    <row r="965" spans="1:24">
      <c r="A965" s="4">
        <v>45243</v>
      </c>
      <c r="B965" s="5" t="str">
        <f t="shared" si="45"/>
        <v>November</v>
      </c>
      <c r="C965" s="5" t="s">
        <v>20</v>
      </c>
      <c r="D965" s="5" t="s">
        <v>25</v>
      </c>
      <c r="E965" s="5">
        <v>11</v>
      </c>
      <c r="F965" s="5">
        <v>323.72</v>
      </c>
      <c r="G965" s="6">
        <f t="shared" si="46"/>
        <v>3560.92</v>
      </c>
      <c r="H965" s="5" t="s">
        <v>61</v>
      </c>
      <c r="I965" s="5" t="s">
        <v>54</v>
      </c>
      <c r="J965" s="5">
        <v>0.1</v>
      </c>
      <c r="K965" s="5" t="s">
        <v>89</v>
      </c>
      <c r="L965" s="6">
        <v>3204.828</v>
      </c>
      <c r="M965" s="5" t="s">
        <v>31</v>
      </c>
      <c r="N965" s="5" t="s">
        <v>69</v>
      </c>
      <c r="O965" s="5">
        <v>0</v>
      </c>
      <c r="P965" s="5" t="s">
        <v>1949</v>
      </c>
      <c r="Q965" s="5" t="s">
        <v>1950</v>
      </c>
      <c r="R965" s="5">
        <v>7.52</v>
      </c>
      <c r="S965" s="4">
        <v>45243</v>
      </c>
      <c r="T965" s="4">
        <v>45245</v>
      </c>
      <c r="U965" s="5">
        <f t="shared" si="47"/>
        <v>2</v>
      </c>
      <c r="V965" s="5" t="s">
        <v>94</v>
      </c>
      <c r="X965" s="5"/>
    </row>
    <row r="966" spans="1:24">
      <c r="A966" s="4">
        <v>45690</v>
      </c>
      <c r="B966" s="5" t="str">
        <f t="shared" si="45"/>
        <v>February</v>
      </c>
      <c r="C966" s="5" t="s">
        <v>20</v>
      </c>
      <c r="D966" s="5" t="s">
        <v>101</v>
      </c>
      <c r="E966" s="5">
        <v>11</v>
      </c>
      <c r="F966" s="5">
        <v>155.49</v>
      </c>
      <c r="G966" s="6">
        <f t="shared" si="46"/>
        <v>1710.39</v>
      </c>
      <c r="H966" s="5" t="s">
        <v>81</v>
      </c>
      <c r="I966" s="5" t="s">
        <v>62</v>
      </c>
      <c r="J966" s="5">
        <v>0.05</v>
      </c>
      <c r="K966" s="5" t="s">
        <v>73</v>
      </c>
      <c r="L966" s="6">
        <v>1624.8705</v>
      </c>
      <c r="M966" s="5" t="s">
        <v>34</v>
      </c>
      <c r="N966" s="5"/>
      <c r="O966" s="5">
        <v>0</v>
      </c>
      <c r="P966" s="5" t="s">
        <v>1951</v>
      </c>
      <c r="Q966" s="5" t="s">
        <v>1952</v>
      </c>
      <c r="R966" s="5">
        <v>47.01</v>
      </c>
      <c r="S966" s="4">
        <v>45690</v>
      </c>
      <c r="T966" s="4">
        <v>45700</v>
      </c>
      <c r="U966" s="5">
        <f t="shared" si="47"/>
        <v>10</v>
      </c>
      <c r="V966" s="5" t="s">
        <v>94</v>
      </c>
      <c r="X966" s="5"/>
    </row>
    <row r="967" spans="1:24">
      <c r="A967" s="4">
        <v>45418</v>
      </c>
      <c r="B967" s="5" t="str">
        <f t="shared" si="45"/>
        <v>May</v>
      </c>
      <c r="C967" s="5" t="s">
        <v>17</v>
      </c>
      <c r="D967" s="5" t="s">
        <v>27</v>
      </c>
      <c r="E967" s="5">
        <v>20</v>
      </c>
      <c r="F967" s="5">
        <v>270.2</v>
      </c>
      <c r="G967" s="6">
        <f t="shared" si="46"/>
        <v>5404</v>
      </c>
      <c r="H967" s="5" t="s">
        <v>61</v>
      </c>
      <c r="I967" s="5" t="s">
        <v>54</v>
      </c>
      <c r="J967" s="5">
        <v>0</v>
      </c>
      <c r="K967" s="5" t="s">
        <v>82</v>
      </c>
      <c r="L967" s="6">
        <v>5404</v>
      </c>
      <c r="M967" s="5" t="s">
        <v>32</v>
      </c>
      <c r="N967" s="5" t="s">
        <v>69</v>
      </c>
      <c r="O967" s="5">
        <v>0</v>
      </c>
      <c r="P967" s="5" t="s">
        <v>1953</v>
      </c>
      <c r="Q967" s="5" t="s">
        <v>1954</v>
      </c>
      <c r="R967" s="5">
        <v>6.8</v>
      </c>
      <c r="S967" s="4">
        <v>45418</v>
      </c>
      <c r="T967" s="4">
        <v>45427</v>
      </c>
      <c r="U967" s="5">
        <f t="shared" si="47"/>
        <v>9</v>
      </c>
      <c r="V967" s="5" t="s">
        <v>67</v>
      </c>
      <c r="X967" s="5"/>
    </row>
    <row r="968" spans="1:24">
      <c r="A968" s="4">
        <v>45582</v>
      </c>
      <c r="B968" s="5" t="str">
        <f t="shared" si="45"/>
        <v>October</v>
      </c>
      <c r="C968" s="5" t="s">
        <v>17</v>
      </c>
      <c r="D968" s="5" t="s">
        <v>27</v>
      </c>
      <c r="E968" s="5">
        <v>15</v>
      </c>
      <c r="F968" s="5">
        <v>482.08</v>
      </c>
      <c r="G968" s="6">
        <f t="shared" si="46"/>
        <v>7231.2</v>
      </c>
      <c r="H968" s="5" t="s">
        <v>81</v>
      </c>
      <c r="I968" s="5" t="s">
        <v>62</v>
      </c>
      <c r="J968" s="5">
        <v>0.1</v>
      </c>
      <c r="K968" s="5" t="s">
        <v>55</v>
      </c>
      <c r="L968" s="6">
        <v>6508.08</v>
      </c>
      <c r="M968" s="5" t="s">
        <v>33</v>
      </c>
      <c r="N968" s="5" t="s">
        <v>56</v>
      </c>
      <c r="O968" s="5">
        <v>1</v>
      </c>
      <c r="P968" s="5" t="s">
        <v>1955</v>
      </c>
      <c r="Q968" s="5" t="s">
        <v>1277</v>
      </c>
      <c r="R968" s="5">
        <v>13.35</v>
      </c>
      <c r="S968" s="4">
        <v>45582</v>
      </c>
      <c r="T968" s="4">
        <v>45584</v>
      </c>
      <c r="U968" s="5">
        <f t="shared" si="47"/>
        <v>2</v>
      </c>
      <c r="V968" s="5" t="s">
        <v>67</v>
      </c>
      <c r="X968" s="5"/>
    </row>
    <row r="969" spans="1:24">
      <c r="A969" s="4">
        <v>45686</v>
      </c>
      <c r="B969" s="5" t="str">
        <f t="shared" si="45"/>
        <v>January</v>
      </c>
      <c r="C969" s="5" t="s">
        <v>18</v>
      </c>
      <c r="D969" s="5" t="s">
        <v>22</v>
      </c>
      <c r="E969" s="5">
        <v>11</v>
      </c>
      <c r="F969" s="5">
        <v>431.51</v>
      </c>
      <c r="G969" s="6">
        <f t="shared" si="46"/>
        <v>4746.61</v>
      </c>
      <c r="H969" s="5" t="s">
        <v>77</v>
      </c>
      <c r="I969" s="5" t="s">
        <v>54</v>
      </c>
      <c r="J969" s="5">
        <v>0.1</v>
      </c>
      <c r="K969" s="5" t="s">
        <v>78</v>
      </c>
      <c r="L969" s="6">
        <v>4271.949</v>
      </c>
      <c r="M969" s="5" t="s">
        <v>33</v>
      </c>
      <c r="N969" s="5" t="s">
        <v>64</v>
      </c>
      <c r="O969" s="5">
        <v>0</v>
      </c>
      <c r="P969" s="5" t="s">
        <v>1956</v>
      </c>
      <c r="Q969" s="5" t="s">
        <v>1957</v>
      </c>
      <c r="R969" s="5">
        <v>22.83</v>
      </c>
      <c r="S969" s="4">
        <v>45686</v>
      </c>
      <c r="T969" s="4">
        <v>45693</v>
      </c>
      <c r="U969" s="5">
        <f t="shared" si="47"/>
        <v>7</v>
      </c>
      <c r="V969" s="5" t="s">
        <v>72</v>
      </c>
      <c r="X969" s="5"/>
    </row>
    <row r="970" spans="1:24">
      <c r="A970" s="4">
        <v>45739</v>
      </c>
      <c r="B970" s="5" t="str">
        <f t="shared" si="45"/>
        <v>March</v>
      </c>
      <c r="C970" s="5" t="s">
        <v>19</v>
      </c>
      <c r="D970" s="5" t="s">
        <v>25</v>
      </c>
      <c r="E970" s="5">
        <v>5</v>
      </c>
      <c r="F970" s="5">
        <v>302.76</v>
      </c>
      <c r="G970" s="6">
        <f t="shared" si="46"/>
        <v>1513.8</v>
      </c>
      <c r="H970" s="5" t="s">
        <v>81</v>
      </c>
      <c r="I970" s="5" t="s">
        <v>54</v>
      </c>
      <c r="J970" s="5">
        <v>0</v>
      </c>
      <c r="K970" s="5" t="s">
        <v>78</v>
      </c>
      <c r="L970" s="6">
        <v>1513.8</v>
      </c>
      <c r="M970" s="5" t="s">
        <v>31</v>
      </c>
      <c r="N970" s="5" t="s">
        <v>56</v>
      </c>
      <c r="O970" s="5">
        <v>1</v>
      </c>
      <c r="P970" s="5" t="s">
        <v>1958</v>
      </c>
      <c r="Q970" s="5" t="s">
        <v>1959</v>
      </c>
      <c r="R970" s="5">
        <v>46.69</v>
      </c>
      <c r="S970" s="4">
        <v>45739</v>
      </c>
      <c r="T970" s="4">
        <v>45745</v>
      </c>
      <c r="U970" s="5">
        <f t="shared" si="47"/>
        <v>6</v>
      </c>
      <c r="V970" s="5" t="s">
        <v>76</v>
      </c>
      <c r="X970" s="5"/>
    </row>
    <row r="971" spans="1:24">
      <c r="A971" s="4">
        <v>45393</v>
      </c>
      <c r="B971" s="5" t="str">
        <f t="shared" si="45"/>
        <v>April</v>
      </c>
      <c r="C971" s="5" t="s">
        <v>20</v>
      </c>
      <c r="D971" s="5" t="s">
        <v>25</v>
      </c>
      <c r="E971" s="5">
        <v>19</v>
      </c>
      <c r="F971" s="5">
        <v>344.92</v>
      </c>
      <c r="G971" s="6">
        <f t="shared" si="46"/>
        <v>6553.48</v>
      </c>
      <c r="H971" s="5" t="s">
        <v>77</v>
      </c>
      <c r="I971" s="5" t="s">
        <v>54</v>
      </c>
      <c r="J971" s="5">
        <v>0</v>
      </c>
      <c r="K971" s="5" t="s">
        <v>55</v>
      </c>
      <c r="L971" s="6">
        <v>6553.48</v>
      </c>
      <c r="M971" s="5" t="s">
        <v>34</v>
      </c>
      <c r="N971" s="5" t="s">
        <v>69</v>
      </c>
      <c r="O971" s="5">
        <v>0</v>
      </c>
      <c r="P971" s="5" t="s">
        <v>1960</v>
      </c>
      <c r="Q971" s="5" t="s">
        <v>1961</v>
      </c>
      <c r="R971" s="5">
        <v>6.91</v>
      </c>
      <c r="S971" s="4">
        <v>45393</v>
      </c>
      <c r="T971" s="4">
        <v>45402</v>
      </c>
      <c r="U971" s="5">
        <f t="shared" si="47"/>
        <v>9</v>
      </c>
      <c r="V971" s="5" t="s">
        <v>94</v>
      </c>
      <c r="X971" s="5"/>
    </row>
    <row r="972" spans="1:24">
      <c r="A972" s="4">
        <v>45415</v>
      </c>
      <c r="B972" s="5" t="str">
        <f t="shared" si="45"/>
        <v>May</v>
      </c>
      <c r="C972" s="5" t="s">
        <v>19</v>
      </c>
      <c r="D972" s="5" t="s">
        <v>25</v>
      </c>
      <c r="E972" s="5">
        <v>7</v>
      </c>
      <c r="F972" s="5">
        <v>511.46</v>
      </c>
      <c r="G972" s="6">
        <f t="shared" si="46"/>
        <v>3580.22</v>
      </c>
      <c r="H972" s="5" t="s">
        <v>77</v>
      </c>
      <c r="I972" s="5" t="s">
        <v>62</v>
      </c>
      <c r="J972" s="5">
        <v>0.1</v>
      </c>
      <c r="K972" s="5" t="s">
        <v>55</v>
      </c>
      <c r="L972" s="6">
        <v>3222.198</v>
      </c>
      <c r="M972" s="5" t="s">
        <v>34</v>
      </c>
      <c r="N972" s="5" t="s">
        <v>56</v>
      </c>
      <c r="O972" s="5">
        <v>0</v>
      </c>
      <c r="P972" s="5" t="s">
        <v>1962</v>
      </c>
      <c r="Q972" s="5" t="s">
        <v>1963</v>
      </c>
      <c r="R972" s="5">
        <v>19.2</v>
      </c>
      <c r="S972" s="4">
        <v>45415</v>
      </c>
      <c r="T972" s="4">
        <v>45424</v>
      </c>
      <c r="U972" s="5">
        <f t="shared" si="47"/>
        <v>9</v>
      </c>
      <c r="V972" s="5" t="s">
        <v>76</v>
      </c>
      <c r="X972" s="5"/>
    </row>
    <row r="973" spans="1:24">
      <c r="A973" s="4">
        <v>45579</v>
      </c>
      <c r="B973" s="5" t="str">
        <f t="shared" si="45"/>
        <v>October</v>
      </c>
      <c r="C973" s="5" t="s">
        <v>16</v>
      </c>
      <c r="D973" s="5" t="s">
        <v>26</v>
      </c>
      <c r="E973" s="5">
        <v>7</v>
      </c>
      <c r="F973" s="5">
        <v>150.6</v>
      </c>
      <c r="G973" s="6">
        <f t="shared" si="46"/>
        <v>1054.2</v>
      </c>
      <c r="H973" s="5" t="s">
        <v>61</v>
      </c>
      <c r="I973" s="5" t="s">
        <v>54</v>
      </c>
      <c r="J973" s="5">
        <v>0.15</v>
      </c>
      <c r="K973" s="5" t="s">
        <v>89</v>
      </c>
      <c r="L973" s="6">
        <v>896.07</v>
      </c>
      <c r="M973" s="5" t="s">
        <v>34</v>
      </c>
      <c r="N973" s="5" t="s">
        <v>69</v>
      </c>
      <c r="O973" s="5">
        <v>1</v>
      </c>
      <c r="P973" s="5" t="s">
        <v>1964</v>
      </c>
      <c r="Q973" s="5" t="s">
        <v>1965</v>
      </c>
      <c r="R973" s="5">
        <v>15.52</v>
      </c>
      <c r="S973" s="4">
        <v>45579</v>
      </c>
      <c r="T973" s="4">
        <v>45586</v>
      </c>
      <c r="U973" s="5">
        <f t="shared" si="47"/>
        <v>7</v>
      </c>
      <c r="V973" s="5" t="s">
        <v>59</v>
      </c>
      <c r="X973" s="5"/>
    </row>
    <row r="974" spans="1:24">
      <c r="A974" s="4">
        <v>45330</v>
      </c>
      <c r="B974" s="5" t="str">
        <f t="shared" si="45"/>
        <v>February</v>
      </c>
      <c r="C974" s="5" t="s">
        <v>20</v>
      </c>
      <c r="D974" s="5" t="s">
        <v>23</v>
      </c>
      <c r="E974" s="5">
        <v>8</v>
      </c>
      <c r="F974" s="5">
        <v>158.02</v>
      </c>
      <c r="G974" s="6">
        <f t="shared" si="46"/>
        <v>1264.16</v>
      </c>
      <c r="H974" s="5" t="s">
        <v>77</v>
      </c>
      <c r="I974" s="5" t="s">
        <v>54</v>
      </c>
      <c r="J974" s="5">
        <v>0.15</v>
      </c>
      <c r="K974" s="5" t="s">
        <v>82</v>
      </c>
      <c r="L974" s="6">
        <v>1074.536</v>
      </c>
      <c r="M974" s="5" t="s">
        <v>32</v>
      </c>
      <c r="N974" s="5" t="s">
        <v>56</v>
      </c>
      <c r="O974" s="5">
        <v>0</v>
      </c>
      <c r="P974" s="5" t="s">
        <v>1966</v>
      </c>
      <c r="Q974" s="5" t="s">
        <v>1967</v>
      </c>
      <c r="R974" s="5">
        <v>47.43</v>
      </c>
      <c r="S974" s="4">
        <v>45330</v>
      </c>
      <c r="T974" s="4">
        <v>45335</v>
      </c>
      <c r="U974" s="5">
        <f t="shared" si="47"/>
        <v>5</v>
      </c>
      <c r="V974" s="5" t="s">
        <v>94</v>
      </c>
      <c r="X974" s="5"/>
    </row>
    <row r="975" spans="1:24">
      <c r="A975" s="4">
        <v>45056</v>
      </c>
      <c r="B975" s="5" t="str">
        <f t="shared" si="45"/>
        <v>May</v>
      </c>
      <c r="C975" s="5" t="s">
        <v>19</v>
      </c>
      <c r="D975" s="5" t="s">
        <v>101</v>
      </c>
      <c r="E975" s="5">
        <v>2</v>
      </c>
      <c r="F975" s="5">
        <v>536.18</v>
      </c>
      <c r="G975" s="6">
        <f t="shared" si="46"/>
        <v>1072.36</v>
      </c>
      <c r="H975" s="5" t="s">
        <v>53</v>
      </c>
      <c r="I975" s="5" t="s">
        <v>62</v>
      </c>
      <c r="J975" s="5">
        <v>0.1</v>
      </c>
      <c r="K975" s="5" t="s">
        <v>73</v>
      </c>
      <c r="L975" s="6">
        <v>965.124</v>
      </c>
      <c r="M975" s="5" t="s">
        <v>32</v>
      </c>
      <c r="N975" s="5" t="s">
        <v>56</v>
      </c>
      <c r="O975" s="5">
        <v>0</v>
      </c>
      <c r="P975" s="5" t="s">
        <v>1968</v>
      </c>
      <c r="Q975" s="5" t="s">
        <v>1969</v>
      </c>
      <c r="R975" s="5">
        <v>34.75</v>
      </c>
      <c r="S975" s="4">
        <v>45056</v>
      </c>
      <c r="T975" s="4">
        <v>45059</v>
      </c>
      <c r="U975" s="5">
        <f t="shared" si="47"/>
        <v>3</v>
      </c>
      <c r="V975" s="5" t="s">
        <v>76</v>
      </c>
      <c r="X975" s="5"/>
    </row>
    <row r="976" spans="1:24">
      <c r="A976" s="4">
        <v>44988</v>
      </c>
      <c r="B976" s="5" t="str">
        <f t="shared" si="45"/>
        <v>March</v>
      </c>
      <c r="C976" s="5" t="s">
        <v>18</v>
      </c>
      <c r="D976" s="5" t="s">
        <v>25</v>
      </c>
      <c r="E976" s="5">
        <v>16</v>
      </c>
      <c r="F976" s="5">
        <v>571.26</v>
      </c>
      <c r="G976" s="6">
        <f t="shared" si="46"/>
        <v>9140.16</v>
      </c>
      <c r="H976" s="5" t="s">
        <v>77</v>
      </c>
      <c r="I976" s="5" t="s">
        <v>54</v>
      </c>
      <c r="J976" s="5">
        <v>0.15</v>
      </c>
      <c r="K976" s="5" t="s">
        <v>89</v>
      </c>
      <c r="L976" s="6">
        <v>7769.136</v>
      </c>
      <c r="M976" s="5" t="s">
        <v>31</v>
      </c>
      <c r="N976" s="5" t="s">
        <v>64</v>
      </c>
      <c r="O976" s="5">
        <v>0</v>
      </c>
      <c r="P976" s="5" t="s">
        <v>1970</v>
      </c>
      <c r="Q976" s="5" t="s">
        <v>1971</v>
      </c>
      <c r="R976" s="5">
        <v>6.13</v>
      </c>
      <c r="S976" s="4">
        <v>44988</v>
      </c>
      <c r="T976" s="4">
        <v>44997</v>
      </c>
      <c r="U976" s="5">
        <f t="shared" si="47"/>
        <v>9</v>
      </c>
      <c r="V976" s="5" t="s">
        <v>72</v>
      </c>
      <c r="X976" s="5"/>
    </row>
    <row r="977" spans="1:24">
      <c r="A977" s="4">
        <v>45798</v>
      </c>
      <c r="B977" s="5" t="str">
        <f t="shared" si="45"/>
        <v>May</v>
      </c>
      <c r="C977" s="5" t="s">
        <v>19</v>
      </c>
      <c r="D977" s="5" t="s">
        <v>101</v>
      </c>
      <c r="E977" s="5">
        <v>12</v>
      </c>
      <c r="F977" s="5">
        <v>134.42</v>
      </c>
      <c r="G977" s="6">
        <f t="shared" si="46"/>
        <v>1613.04</v>
      </c>
      <c r="H977" s="5" t="s">
        <v>81</v>
      </c>
      <c r="I977" s="5" t="s">
        <v>62</v>
      </c>
      <c r="J977" s="5">
        <v>0.1</v>
      </c>
      <c r="K977" s="5" t="s">
        <v>82</v>
      </c>
      <c r="L977" s="6">
        <v>1451.736</v>
      </c>
      <c r="M977" s="5" t="s">
        <v>31</v>
      </c>
      <c r="N977" s="5" t="s">
        <v>56</v>
      </c>
      <c r="O977" s="5">
        <v>0</v>
      </c>
      <c r="P977" s="5" t="s">
        <v>1972</v>
      </c>
      <c r="Q977" s="5" t="s">
        <v>1535</v>
      </c>
      <c r="R977" s="5">
        <v>33.98</v>
      </c>
      <c r="S977" s="4">
        <v>45798</v>
      </c>
      <c r="T977" s="4">
        <v>45804</v>
      </c>
      <c r="U977" s="5">
        <f t="shared" si="47"/>
        <v>6</v>
      </c>
      <c r="V977" s="5" t="s">
        <v>76</v>
      </c>
      <c r="X977" s="5"/>
    </row>
    <row r="978" spans="1:24">
      <c r="A978" s="4">
        <v>45777</v>
      </c>
      <c r="B978" s="5" t="str">
        <f t="shared" si="45"/>
        <v>April</v>
      </c>
      <c r="C978" s="5" t="s">
        <v>19</v>
      </c>
      <c r="D978" s="5" t="s">
        <v>22</v>
      </c>
      <c r="E978" s="5">
        <v>5</v>
      </c>
      <c r="F978" s="5">
        <v>563.7</v>
      </c>
      <c r="G978" s="6">
        <f t="shared" si="46"/>
        <v>2818.5</v>
      </c>
      <c r="H978" s="5" t="s">
        <v>61</v>
      </c>
      <c r="I978" s="5" t="s">
        <v>62</v>
      </c>
      <c r="J978" s="5">
        <v>0</v>
      </c>
      <c r="K978" s="5" t="s">
        <v>89</v>
      </c>
      <c r="L978" s="6">
        <v>2818.5</v>
      </c>
      <c r="M978" s="5" t="s">
        <v>30</v>
      </c>
      <c r="N978" s="5" t="s">
        <v>64</v>
      </c>
      <c r="O978" s="5">
        <v>0</v>
      </c>
      <c r="P978" s="5" t="s">
        <v>1973</v>
      </c>
      <c r="Q978" s="5" t="s">
        <v>1974</v>
      </c>
      <c r="R978" s="5">
        <v>29.28</v>
      </c>
      <c r="S978" s="4">
        <v>45777</v>
      </c>
      <c r="T978" s="4">
        <v>45784</v>
      </c>
      <c r="U978" s="5">
        <f t="shared" si="47"/>
        <v>7</v>
      </c>
      <c r="V978" s="5" t="s">
        <v>76</v>
      </c>
      <c r="X978" s="5"/>
    </row>
    <row r="979" spans="1:24">
      <c r="A979" s="4">
        <v>45018</v>
      </c>
      <c r="B979" s="5" t="str">
        <f t="shared" si="45"/>
        <v>April</v>
      </c>
      <c r="C979" s="5" t="s">
        <v>18</v>
      </c>
      <c r="D979" s="5" t="s">
        <v>23</v>
      </c>
      <c r="E979" s="5">
        <v>11</v>
      </c>
      <c r="F979" s="5">
        <v>546.57</v>
      </c>
      <c r="G979" s="6">
        <f t="shared" si="46"/>
        <v>6012.27</v>
      </c>
      <c r="H979" s="5" t="s">
        <v>81</v>
      </c>
      <c r="I979" s="5" t="s">
        <v>62</v>
      </c>
      <c r="J979" s="5">
        <v>0.15</v>
      </c>
      <c r="K979" s="5" t="s">
        <v>89</v>
      </c>
      <c r="L979" s="6">
        <v>5110.4295</v>
      </c>
      <c r="M979" s="5" t="s">
        <v>32</v>
      </c>
      <c r="N979" s="5" t="s">
        <v>64</v>
      </c>
      <c r="O979" s="5">
        <v>1</v>
      </c>
      <c r="P979" s="5" t="s">
        <v>1975</v>
      </c>
      <c r="Q979" s="5" t="s">
        <v>1976</v>
      </c>
      <c r="R979" s="5">
        <v>24.77</v>
      </c>
      <c r="S979" s="4">
        <v>45018</v>
      </c>
      <c r="T979" s="4">
        <v>45020</v>
      </c>
      <c r="U979" s="5">
        <f t="shared" si="47"/>
        <v>2</v>
      </c>
      <c r="V979" s="5" t="s">
        <v>72</v>
      </c>
      <c r="X979" s="5"/>
    </row>
    <row r="980" spans="1:24">
      <c r="A980" s="4">
        <v>45530</v>
      </c>
      <c r="B980" s="5" t="str">
        <f t="shared" si="45"/>
        <v>August</v>
      </c>
      <c r="C980" s="5" t="s">
        <v>18</v>
      </c>
      <c r="D980" s="5" t="s">
        <v>26</v>
      </c>
      <c r="E980" s="5">
        <v>9</v>
      </c>
      <c r="F980" s="5">
        <v>364.88</v>
      </c>
      <c r="G980" s="6">
        <f t="shared" si="46"/>
        <v>3283.92</v>
      </c>
      <c r="H980" s="5" t="s">
        <v>77</v>
      </c>
      <c r="I980" s="5" t="s">
        <v>54</v>
      </c>
      <c r="J980" s="5">
        <v>0.05</v>
      </c>
      <c r="K980" s="5" t="s">
        <v>89</v>
      </c>
      <c r="L980" s="6">
        <v>3119.724</v>
      </c>
      <c r="M980" s="5" t="s">
        <v>34</v>
      </c>
      <c r="N980" s="5" t="s">
        <v>64</v>
      </c>
      <c r="O980" s="5">
        <v>0</v>
      </c>
      <c r="P980" s="5" t="s">
        <v>1977</v>
      </c>
      <c r="Q980" s="5" t="s">
        <v>641</v>
      </c>
      <c r="R980" s="5">
        <v>40.26</v>
      </c>
      <c r="S980" s="4">
        <v>45530</v>
      </c>
      <c r="T980" s="4">
        <v>45540</v>
      </c>
      <c r="U980" s="5">
        <f t="shared" si="47"/>
        <v>10</v>
      </c>
      <c r="V980" s="5" t="s">
        <v>72</v>
      </c>
      <c r="X980" s="5"/>
    </row>
    <row r="981" spans="1:24">
      <c r="A981" s="4">
        <v>45240</v>
      </c>
      <c r="B981" s="5" t="str">
        <f t="shared" si="45"/>
        <v>November</v>
      </c>
      <c r="C981" s="5" t="s">
        <v>17</v>
      </c>
      <c r="D981" s="5" t="s">
        <v>26</v>
      </c>
      <c r="E981" s="5">
        <v>7</v>
      </c>
      <c r="F981" s="5">
        <v>368.27</v>
      </c>
      <c r="G981" s="6">
        <f t="shared" si="46"/>
        <v>2577.89</v>
      </c>
      <c r="H981" s="5" t="s">
        <v>77</v>
      </c>
      <c r="I981" s="5" t="s">
        <v>54</v>
      </c>
      <c r="J981" s="5">
        <v>0.15</v>
      </c>
      <c r="K981" s="5" t="s">
        <v>78</v>
      </c>
      <c r="L981" s="6">
        <v>2191.2065</v>
      </c>
      <c r="M981" s="5" t="s">
        <v>30</v>
      </c>
      <c r="N981" s="5" t="s">
        <v>69</v>
      </c>
      <c r="O981" s="5">
        <v>0</v>
      </c>
      <c r="P981" s="5" t="s">
        <v>1978</v>
      </c>
      <c r="Q981" s="5" t="s">
        <v>1979</v>
      </c>
      <c r="R981" s="5">
        <v>28.98</v>
      </c>
      <c r="S981" s="4">
        <v>45240</v>
      </c>
      <c r="T981" s="4">
        <v>45250</v>
      </c>
      <c r="U981" s="5">
        <f t="shared" si="47"/>
        <v>10</v>
      </c>
      <c r="V981" s="5" t="s">
        <v>67</v>
      </c>
      <c r="X981" s="5"/>
    </row>
    <row r="982" spans="1:24">
      <c r="A982" s="4">
        <v>45684</v>
      </c>
      <c r="B982" s="5" t="str">
        <f t="shared" si="45"/>
        <v>January</v>
      </c>
      <c r="C982" s="5" t="s">
        <v>19</v>
      </c>
      <c r="D982" s="5" t="s">
        <v>27</v>
      </c>
      <c r="E982" s="5">
        <v>20</v>
      </c>
      <c r="F982" s="5">
        <v>537.28</v>
      </c>
      <c r="G982" s="6">
        <f t="shared" si="46"/>
        <v>10745.6</v>
      </c>
      <c r="H982" s="5" t="s">
        <v>77</v>
      </c>
      <c r="I982" s="5" t="s">
        <v>54</v>
      </c>
      <c r="J982" s="5">
        <v>0</v>
      </c>
      <c r="K982" s="5" t="s">
        <v>73</v>
      </c>
      <c r="L982" s="6">
        <v>10745.6</v>
      </c>
      <c r="M982" s="5" t="s">
        <v>30</v>
      </c>
      <c r="N982" s="5"/>
      <c r="O982" s="5">
        <v>1</v>
      </c>
      <c r="P982" s="5" t="s">
        <v>1980</v>
      </c>
      <c r="Q982" s="5" t="s">
        <v>1981</v>
      </c>
      <c r="R982" s="5">
        <v>15.6</v>
      </c>
      <c r="S982" s="4">
        <v>45684</v>
      </c>
      <c r="T982" s="4">
        <v>45690</v>
      </c>
      <c r="U982" s="5">
        <f t="shared" si="47"/>
        <v>6</v>
      </c>
      <c r="V982" s="5" t="s">
        <v>76</v>
      </c>
      <c r="X982" s="5"/>
    </row>
    <row r="983" spans="1:24">
      <c r="A983" s="4">
        <v>45408</v>
      </c>
      <c r="B983" s="5" t="str">
        <f t="shared" si="45"/>
        <v>April</v>
      </c>
      <c r="C983" s="5" t="s">
        <v>17</v>
      </c>
      <c r="D983" s="5" t="s">
        <v>23</v>
      </c>
      <c r="E983" s="5">
        <v>3</v>
      </c>
      <c r="F983" s="5">
        <v>103.09</v>
      </c>
      <c r="G983" s="6">
        <f t="shared" si="46"/>
        <v>309.27</v>
      </c>
      <c r="H983" s="5" t="s">
        <v>81</v>
      </c>
      <c r="I983" s="5" t="s">
        <v>54</v>
      </c>
      <c r="J983" s="5">
        <v>0</v>
      </c>
      <c r="K983" s="5" t="s">
        <v>78</v>
      </c>
      <c r="L983" s="6">
        <v>309.27</v>
      </c>
      <c r="M983" s="5" t="s">
        <v>31</v>
      </c>
      <c r="N983" s="5" t="s">
        <v>64</v>
      </c>
      <c r="O983" s="5">
        <v>1</v>
      </c>
      <c r="P983" s="5" t="s">
        <v>1982</v>
      </c>
      <c r="Q983" s="5" t="s">
        <v>1983</v>
      </c>
      <c r="R983" s="5">
        <v>46.47</v>
      </c>
      <c r="S983" s="4">
        <v>45408</v>
      </c>
      <c r="T983" s="4">
        <v>45412</v>
      </c>
      <c r="U983" s="5">
        <f t="shared" si="47"/>
        <v>4</v>
      </c>
      <c r="V983" s="5" t="s">
        <v>67</v>
      </c>
      <c r="X983" s="5"/>
    </row>
    <row r="984" spans="1:24">
      <c r="A984" s="4">
        <v>45257</v>
      </c>
      <c r="B984" s="5" t="str">
        <f t="shared" si="45"/>
        <v>November</v>
      </c>
      <c r="C984" s="5" t="s">
        <v>16</v>
      </c>
      <c r="D984" s="5" t="s">
        <v>101</v>
      </c>
      <c r="E984" s="5">
        <v>9</v>
      </c>
      <c r="F984" s="5">
        <v>97.56</v>
      </c>
      <c r="G984" s="6">
        <f t="shared" si="46"/>
        <v>878.04</v>
      </c>
      <c r="H984" s="5" t="s">
        <v>61</v>
      </c>
      <c r="I984" s="5" t="s">
        <v>54</v>
      </c>
      <c r="J984" s="5">
        <v>0</v>
      </c>
      <c r="K984" s="5" t="s">
        <v>63</v>
      </c>
      <c r="L984" s="6">
        <v>878.04</v>
      </c>
      <c r="M984" s="5" t="s">
        <v>30</v>
      </c>
      <c r="N984" s="5"/>
      <c r="O984" s="5">
        <v>0</v>
      </c>
      <c r="P984" s="5" t="s">
        <v>1984</v>
      </c>
      <c r="Q984" s="5" t="s">
        <v>1985</v>
      </c>
      <c r="R984" s="5">
        <v>48.84</v>
      </c>
      <c r="S984" s="4">
        <v>45257</v>
      </c>
      <c r="T984" s="4">
        <v>45261</v>
      </c>
      <c r="U984" s="5">
        <f t="shared" si="47"/>
        <v>4</v>
      </c>
      <c r="V984" s="5" t="s">
        <v>59</v>
      </c>
      <c r="X984" s="5"/>
    </row>
    <row r="985" spans="1:24">
      <c r="A985" s="4">
        <v>45015</v>
      </c>
      <c r="B985" s="5" t="str">
        <f t="shared" si="45"/>
        <v>March</v>
      </c>
      <c r="C985" s="5" t="s">
        <v>19</v>
      </c>
      <c r="D985" s="5" t="s">
        <v>101</v>
      </c>
      <c r="E985" s="5">
        <v>10</v>
      </c>
      <c r="F985" s="5">
        <v>338.75</v>
      </c>
      <c r="G985" s="6">
        <f t="shared" si="46"/>
        <v>3387.5</v>
      </c>
      <c r="H985" s="5" t="s">
        <v>61</v>
      </c>
      <c r="I985" s="5" t="s">
        <v>54</v>
      </c>
      <c r="J985" s="5">
        <v>0.15</v>
      </c>
      <c r="K985" s="5" t="s">
        <v>78</v>
      </c>
      <c r="L985" s="6">
        <v>2879.375</v>
      </c>
      <c r="M985" s="5" t="s">
        <v>34</v>
      </c>
      <c r="N985" s="5" t="s">
        <v>69</v>
      </c>
      <c r="O985" s="5">
        <v>1</v>
      </c>
      <c r="P985" s="5" t="s">
        <v>1986</v>
      </c>
      <c r="Q985" s="5" t="s">
        <v>1987</v>
      </c>
      <c r="R985" s="5">
        <v>36.56</v>
      </c>
      <c r="S985" s="4">
        <v>45015</v>
      </c>
      <c r="T985" s="4">
        <v>45022</v>
      </c>
      <c r="U985" s="5">
        <f t="shared" si="47"/>
        <v>7</v>
      </c>
      <c r="V985" s="5" t="s">
        <v>76</v>
      </c>
      <c r="X985" s="5"/>
    </row>
    <row r="986" spans="1:24">
      <c r="A986" s="4">
        <v>45355</v>
      </c>
      <c r="B986" s="5" t="str">
        <f t="shared" si="45"/>
        <v>March</v>
      </c>
      <c r="C986" s="5" t="s">
        <v>18</v>
      </c>
      <c r="D986" s="5" t="s">
        <v>24</v>
      </c>
      <c r="E986" s="5">
        <v>2</v>
      </c>
      <c r="F986" s="5">
        <v>239.04</v>
      </c>
      <c r="G986" s="6">
        <f t="shared" si="46"/>
        <v>478.08</v>
      </c>
      <c r="H986" s="5" t="s">
        <v>61</v>
      </c>
      <c r="I986" s="5" t="s">
        <v>54</v>
      </c>
      <c r="J986" s="5">
        <v>0</v>
      </c>
      <c r="K986" s="5" t="s">
        <v>89</v>
      </c>
      <c r="L986" s="6">
        <v>478.08</v>
      </c>
      <c r="M986" s="5" t="s">
        <v>33</v>
      </c>
      <c r="N986" s="5" t="s">
        <v>64</v>
      </c>
      <c r="O986" s="5">
        <v>1</v>
      </c>
      <c r="P986" s="5" t="s">
        <v>1988</v>
      </c>
      <c r="Q986" s="5" t="s">
        <v>1989</v>
      </c>
      <c r="R986" s="5">
        <v>43.84</v>
      </c>
      <c r="S986" s="4">
        <v>45355</v>
      </c>
      <c r="T986" s="4">
        <v>45362</v>
      </c>
      <c r="U986" s="5">
        <f t="shared" si="47"/>
        <v>7</v>
      </c>
      <c r="V986" s="5" t="s">
        <v>72</v>
      </c>
      <c r="X986" s="5"/>
    </row>
    <row r="987" spans="1:24">
      <c r="A987" s="4">
        <v>45118</v>
      </c>
      <c r="B987" s="5" t="str">
        <f t="shared" si="45"/>
        <v>July</v>
      </c>
      <c r="C987" s="5" t="s">
        <v>17</v>
      </c>
      <c r="D987" s="5" t="s">
        <v>22</v>
      </c>
      <c r="E987" s="5">
        <v>14</v>
      </c>
      <c r="F987" s="5">
        <v>362.44</v>
      </c>
      <c r="G987" s="6">
        <f t="shared" si="46"/>
        <v>5074.16</v>
      </c>
      <c r="H987" s="5" t="s">
        <v>77</v>
      </c>
      <c r="I987" s="5" t="s">
        <v>54</v>
      </c>
      <c r="J987" s="5">
        <v>0.1</v>
      </c>
      <c r="K987" s="5" t="s">
        <v>89</v>
      </c>
      <c r="L987" s="6">
        <v>4566.744</v>
      </c>
      <c r="M987" s="5" t="s">
        <v>34</v>
      </c>
      <c r="N987" s="5" t="s">
        <v>69</v>
      </c>
      <c r="O987" s="5">
        <v>0</v>
      </c>
      <c r="P987" s="5" t="s">
        <v>1990</v>
      </c>
      <c r="Q987" s="5" t="s">
        <v>1991</v>
      </c>
      <c r="R987" s="5">
        <v>36.73</v>
      </c>
      <c r="S987" s="4">
        <v>45118</v>
      </c>
      <c r="T987" s="4">
        <v>45122</v>
      </c>
      <c r="U987" s="5">
        <f t="shared" si="47"/>
        <v>4</v>
      </c>
      <c r="V987" s="5" t="s">
        <v>67</v>
      </c>
      <c r="X987" s="5"/>
    </row>
    <row r="988" spans="1:24">
      <c r="A988" s="4">
        <v>45555</v>
      </c>
      <c r="B988" s="5" t="str">
        <f t="shared" si="45"/>
        <v>September</v>
      </c>
      <c r="C988" s="5" t="s">
        <v>20</v>
      </c>
      <c r="D988" s="5" t="s">
        <v>26</v>
      </c>
      <c r="E988" s="5">
        <v>6</v>
      </c>
      <c r="F988" s="5">
        <v>551.13</v>
      </c>
      <c r="G988" s="6">
        <f t="shared" si="46"/>
        <v>3306.78</v>
      </c>
      <c r="H988" s="5" t="s">
        <v>81</v>
      </c>
      <c r="I988" s="5" t="s">
        <v>62</v>
      </c>
      <c r="J988" s="5">
        <v>0</v>
      </c>
      <c r="K988" s="5" t="s">
        <v>78</v>
      </c>
      <c r="L988" s="6">
        <v>3306.78</v>
      </c>
      <c r="M988" s="5" t="s">
        <v>31</v>
      </c>
      <c r="N988" s="5" t="s">
        <v>56</v>
      </c>
      <c r="O988" s="5">
        <v>0</v>
      </c>
      <c r="P988" s="5" t="s">
        <v>1992</v>
      </c>
      <c r="Q988" s="5" t="s">
        <v>1993</v>
      </c>
      <c r="R988" s="5">
        <v>14.67</v>
      </c>
      <c r="S988" s="4">
        <v>45555</v>
      </c>
      <c r="T988" s="4">
        <v>45564</v>
      </c>
      <c r="U988" s="5">
        <f t="shared" si="47"/>
        <v>9</v>
      </c>
      <c r="V988" s="5" t="s">
        <v>94</v>
      </c>
      <c r="X988" s="5"/>
    </row>
    <row r="989" spans="1:24">
      <c r="A989" s="4">
        <v>45706</v>
      </c>
      <c r="B989" s="5" t="str">
        <f t="shared" si="45"/>
        <v>February</v>
      </c>
      <c r="C989" s="5" t="s">
        <v>20</v>
      </c>
      <c r="D989" s="5" t="s">
        <v>22</v>
      </c>
      <c r="E989" s="5">
        <v>1</v>
      </c>
      <c r="F989" s="5">
        <v>82.06</v>
      </c>
      <c r="G989" s="6">
        <f t="shared" si="46"/>
        <v>82.06</v>
      </c>
      <c r="H989" s="5" t="s">
        <v>81</v>
      </c>
      <c r="I989" s="5" t="s">
        <v>62</v>
      </c>
      <c r="J989" s="5">
        <v>0.1</v>
      </c>
      <c r="K989" s="5" t="s">
        <v>55</v>
      </c>
      <c r="L989" s="6">
        <v>73.854</v>
      </c>
      <c r="M989" s="5" t="s">
        <v>32</v>
      </c>
      <c r="N989" s="5" t="s">
        <v>56</v>
      </c>
      <c r="O989" s="5">
        <v>0</v>
      </c>
      <c r="P989" s="5" t="s">
        <v>1994</v>
      </c>
      <c r="Q989" s="5" t="s">
        <v>1995</v>
      </c>
      <c r="R989" s="5">
        <v>11.11</v>
      </c>
      <c r="S989" s="4">
        <v>45706</v>
      </c>
      <c r="T989" s="4">
        <v>45712</v>
      </c>
      <c r="U989" s="5">
        <f t="shared" si="47"/>
        <v>6</v>
      </c>
      <c r="V989" s="5" t="s">
        <v>94</v>
      </c>
      <c r="X989" s="5"/>
    </row>
    <row r="990" spans="1:24">
      <c r="A990" s="4">
        <v>45489</v>
      </c>
      <c r="B990" s="5" t="str">
        <f t="shared" si="45"/>
        <v>July</v>
      </c>
      <c r="C990" s="5" t="s">
        <v>16</v>
      </c>
      <c r="D990" s="5" t="s">
        <v>101</v>
      </c>
      <c r="E990" s="5">
        <v>7</v>
      </c>
      <c r="F990" s="5">
        <v>498.46</v>
      </c>
      <c r="G990" s="6">
        <f t="shared" si="46"/>
        <v>3489.22</v>
      </c>
      <c r="H990" s="5" t="s">
        <v>77</v>
      </c>
      <c r="I990" s="5" t="s">
        <v>54</v>
      </c>
      <c r="J990" s="5">
        <v>0.15</v>
      </c>
      <c r="K990" s="5" t="s">
        <v>78</v>
      </c>
      <c r="L990" s="6">
        <v>2965.837</v>
      </c>
      <c r="M990" s="5" t="s">
        <v>31</v>
      </c>
      <c r="N990" s="5"/>
      <c r="O990" s="5">
        <v>0</v>
      </c>
      <c r="P990" s="5" t="s">
        <v>1996</v>
      </c>
      <c r="Q990" s="5" t="s">
        <v>1997</v>
      </c>
      <c r="R990" s="5">
        <v>42.72</v>
      </c>
      <c r="S990" s="4">
        <v>45489</v>
      </c>
      <c r="T990" s="4">
        <v>45493</v>
      </c>
      <c r="U990" s="5">
        <f t="shared" si="47"/>
        <v>4</v>
      </c>
      <c r="V990" s="5" t="s">
        <v>59</v>
      </c>
      <c r="X990" s="5"/>
    </row>
    <row r="991" spans="1:24">
      <c r="A991" s="4">
        <v>45253</v>
      </c>
      <c r="B991" s="5" t="str">
        <f t="shared" si="45"/>
        <v>November</v>
      </c>
      <c r="C991" s="5" t="s">
        <v>16</v>
      </c>
      <c r="D991" s="5" t="s">
        <v>25</v>
      </c>
      <c r="E991" s="5">
        <v>2</v>
      </c>
      <c r="F991" s="5">
        <v>253.41</v>
      </c>
      <c r="G991" s="6">
        <f t="shared" si="46"/>
        <v>506.82</v>
      </c>
      <c r="H991" s="5" t="s">
        <v>81</v>
      </c>
      <c r="I991" s="5" t="s">
        <v>62</v>
      </c>
      <c r="J991" s="5">
        <v>0.1</v>
      </c>
      <c r="K991" s="5" t="s">
        <v>73</v>
      </c>
      <c r="L991" s="6">
        <v>456.138</v>
      </c>
      <c r="M991" s="5" t="s">
        <v>34</v>
      </c>
      <c r="N991" s="5" t="s">
        <v>56</v>
      </c>
      <c r="O991" s="5">
        <v>0</v>
      </c>
      <c r="P991" s="5" t="s">
        <v>1998</v>
      </c>
      <c r="Q991" s="5" t="s">
        <v>1999</v>
      </c>
      <c r="R991" s="5">
        <v>49.64</v>
      </c>
      <c r="S991" s="4">
        <v>45253</v>
      </c>
      <c r="T991" s="4">
        <v>45255</v>
      </c>
      <c r="U991" s="5">
        <f t="shared" si="47"/>
        <v>2</v>
      </c>
      <c r="V991" s="5" t="s">
        <v>59</v>
      </c>
      <c r="X991" s="5"/>
    </row>
    <row r="992" spans="1:24">
      <c r="A992" s="4">
        <v>45176</v>
      </c>
      <c r="B992" s="5" t="str">
        <f t="shared" si="45"/>
        <v>September</v>
      </c>
      <c r="C992" s="5" t="s">
        <v>17</v>
      </c>
      <c r="D992" s="5" t="s">
        <v>23</v>
      </c>
      <c r="E992" s="5">
        <v>16</v>
      </c>
      <c r="F992" s="5">
        <v>144.07</v>
      </c>
      <c r="G992" s="6">
        <f t="shared" si="46"/>
        <v>2305.12</v>
      </c>
      <c r="H992" s="5" t="s">
        <v>81</v>
      </c>
      <c r="I992" s="5" t="s">
        <v>54</v>
      </c>
      <c r="J992" s="5">
        <v>0.1</v>
      </c>
      <c r="K992" s="5" t="s">
        <v>55</v>
      </c>
      <c r="L992" s="6">
        <v>2074.608</v>
      </c>
      <c r="M992" s="5" t="s">
        <v>33</v>
      </c>
      <c r="N992" s="5" t="s">
        <v>56</v>
      </c>
      <c r="O992" s="5">
        <v>0</v>
      </c>
      <c r="P992" s="5" t="s">
        <v>2000</v>
      </c>
      <c r="Q992" s="5" t="s">
        <v>2001</v>
      </c>
      <c r="R992" s="5">
        <v>7.33</v>
      </c>
      <c r="S992" s="4">
        <v>45176</v>
      </c>
      <c r="T992" s="4">
        <v>45178</v>
      </c>
      <c r="U992" s="5">
        <f t="shared" si="47"/>
        <v>2</v>
      </c>
      <c r="V992" s="5" t="s">
        <v>67</v>
      </c>
      <c r="X992" s="5"/>
    </row>
    <row r="993" spans="1:24">
      <c r="A993" s="4">
        <v>45323</v>
      </c>
      <c r="B993" s="5" t="str">
        <f t="shared" si="45"/>
        <v>February</v>
      </c>
      <c r="C993" s="5" t="s">
        <v>20</v>
      </c>
      <c r="D993" s="5" t="s">
        <v>26</v>
      </c>
      <c r="E993" s="5">
        <v>11</v>
      </c>
      <c r="F993" s="5">
        <v>201.09</v>
      </c>
      <c r="G993" s="6">
        <f t="shared" si="46"/>
        <v>2211.99</v>
      </c>
      <c r="H993" s="5" t="s">
        <v>77</v>
      </c>
      <c r="I993" s="5" t="s">
        <v>62</v>
      </c>
      <c r="J993" s="5">
        <v>0.15</v>
      </c>
      <c r="K993" s="5" t="s">
        <v>78</v>
      </c>
      <c r="L993" s="6">
        <v>1880.1915</v>
      </c>
      <c r="M993" s="5" t="s">
        <v>34</v>
      </c>
      <c r="N993" s="5"/>
      <c r="O993" s="5">
        <v>1</v>
      </c>
      <c r="P993" s="5" t="s">
        <v>2002</v>
      </c>
      <c r="Q993" s="5" t="s">
        <v>2003</v>
      </c>
      <c r="R993" s="5">
        <v>48.42</v>
      </c>
      <c r="S993" s="4">
        <v>45323</v>
      </c>
      <c r="T993" s="4">
        <v>45326</v>
      </c>
      <c r="U993" s="5">
        <f t="shared" si="47"/>
        <v>3</v>
      </c>
      <c r="V993" s="5" t="s">
        <v>94</v>
      </c>
      <c r="X993" s="5"/>
    </row>
    <row r="994" spans="1:24">
      <c r="A994" s="4">
        <v>45785</v>
      </c>
      <c r="B994" s="5" t="str">
        <f t="shared" si="45"/>
        <v>May</v>
      </c>
      <c r="C994" s="5" t="s">
        <v>17</v>
      </c>
      <c r="D994" s="5" t="s">
        <v>25</v>
      </c>
      <c r="E994" s="5">
        <v>11</v>
      </c>
      <c r="F994" s="5">
        <v>585.45</v>
      </c>
      <c r="G994" s="6">
        <f t="shared" si="46"/>
        <v>6439.95</v>
      </c>
      <c r="H994" s="5" t="s">
        <v>81</v>
      </c>
      <c r="I994" s="5" t="s">
        <v>54</v>
      </c>
      <c r="J994" s="5">
        <v>0.1</v>
      </c>
      <c r="K994" s="5" t="s">
        <v>63</v>
      </c>
      <c r="L994" s="6">
        <v>5795.955</v>
      </c>
      <c r="M994" s="5" t="s">
        <v>32</v>
      </c>
      <c r="N994" s="5" t="s">
        <v>69</v>
      </c>
      <c r="O994" s="5">
        <v>0</v>
      </c>
      <c r="P994" s="5" t="s">
        <v>2004</v>
      </c>
      <c r="Q994" s="5" t="s">
        <v>2005</v>
      </c>
      <c r="R994" s="5">
        <v>36.59</v>
      </c>
      <c r="S994" s="4">
        <v>45785</v>
      </c>
      <c r="T994" s="4">
        <v>45789</v>
      </c>
      <c r="U994" s="5">
        <f t="shared" si="47"/>
        <v>4</v>
      </c>
      <c r="V994" s="5" t="s">
        <v>67</v>
      </c>
      <c r="X994" s="5"/>
    </row>
    <row r="995" spans="1:24">
      <c r="A995" s="4">
        <v>45674</v>
      </c>
      <c r="B995" s="5" t="str">
        <f t="shared" si="45"/>
        <v>January</v>
      </c>
      <c r="C995" s="5" t="s">
        <v>18</v>
      </c>
      <c r="D995" s="5" t="s">
        <v>22</v>
      </c>
      <c r="E995" s="5">
        <v>3</v>
      </c>
      <c r="F995" s="5">
        <v>448.77</v>
      </c>
      <c r="G995" s="6">
        <f t="shared" si="46"/>
        <v>1346.31</v>
      </c>
      <c r="H995" s="5" t="s">
        <v>61</v>
      </c>
      <c r="I995" s="5" t="s">
        <v>62</v>
      </c>
      <c r="J995" s="5">
        <v>0</v>
      </c>
      <c r="K995" s="5" t="s">
        <v>63</v>
      </c>
      <c r="L995" s="6">
        <v>1346.31</v>
      </c>
      <c r="M995" s="5" t="s">
        <v>30</v>
      </c>
      <c r="N995" s="5" t="s">
        <v>56</v>
      </c>
      <c r="O995" s="5">
        <v>0</v>
      </c>
      <c r="P995" s="5" t="s">
        <v>2006</v>
      </c>
      <c r="Q995" s="5" t="s">
        <v>1265</v>
      </c>
      <c r="R995" s="5">
        <v>28.5</v>
      </c>
      <c r="S995" s="4">
        <v>45674</v>
      </c>
      <c r="T995" s="4">
        <v>45681</v>
      </c>
      <c r="U995" s="5">
        <f t="shared" si="47"/>
        <v>7</v>
      </c>
      <c r="V995" s="5" t="s">
        <v>72</v>
      </c>
      <c r="X995" s="5"/>
    </row>
    <row r="996" spans="1:24">
      <c r="A996" s="4">
        <v>45171</v>
      </c>
      <c r="B996" s="5" t="str">
        <f t="shared" si="45"/>
        <v>September</v>
      </c>
      <c r="C996" s="5" t="s">
        <v>16</v>
      </c>
      <c r="D996" s="5" t="s">
        <v>26</v>
      </c>
      <c r="E996" s="5">
        <v>9</v>
      </c>
      <c r="F996" s="5">
        <v>184.43</v>
      </c>
      <c r="G996" s="6">
        <f t="shared" si="46"/>
        <v>1659.87</v>
      </c>
      <c r="H996" s="5" t="s">
        <v>81</v>
      </c>
      <c r="I996" s="5" t="s">
        <v>54</v>
      </c>
      <c r="J996" s="5">
        <v>0</v>
      </c>
      <c r="K996" s="5" t="s">
        <v>78</v>
      </c>
      <c r="L996" s="6">
        <v>1659.87</v>
      </c>
      <c r="M996" s="5" t="s">
        <v>30</v>
      </c>
      <c r="N996" s="5" t="s">
        <v>69</v>
      </c>
      <c r="O996" s="5">
        <v>0</v>
      </c>
      <c r="P996" s="5" t="s">
        <v>2007</v>
      </c>
      <c r="Q996" s="5" t="s">
        <v>2008</v>
      </c>
      <c r="R996" s="5">
        <v>30.78</v>
      </c>
      <c r="S996" s="4">
        <v>45171</v>
      </c>
      <c r="T996" s="4">
        <v>45177</v>
      </c>
      <c r="U996" s="5">
        <f t="shared" si="47"/>
        <v>6</v>
      </c>
      <c r="V996" s="5" t="s">
        <v>59</v>
      </c>
      <c r="X996" s="5"/>
    </row>
    <row r="997" spans="1:24">
      <c r="A997" s="4">
        <v>45100</v>
      </c>
      <c r="B997" s="5" t="str">
        <f t="shared" si="45"/>
        <v>June</v>
      </c>
      <c r="C997" s="5" t="s">
        <v>19</v>
      </c>
      <c r="D997" s="5" t="s">
        <v>22</v>
      </c>
      <c r="E997" s="5">
        <v>16</v>
      </c>
      <c r="F997" s="5">
        <v>594.1</v>
      </c>
      <c r="G997" s="6">
        <f t="shared" si="46"/>
        <v>9505.6</v>
      </c>
      <c r="H997" s="5" t="s">
        <v>81</v>
      </c>
      <c r="I997" s="5" t="s">
        <v>62</v>
      </c>
      <c r="J997" s="5">
        <v>0</v>
      </c>
      <c r="K997" s="5" t="s">
        <v>89</v>
      </c>
      <c r="L997" s="6">
        <v>9505.6</v>
      </c>
      <c r="M997" s="5" t="s">
        <v>31</v>
      </c>
      <c r="N997" s="5" t="s">
        <v>56</v>
      </c>
      <c r="O997" s="5">
        <v>0</v>
      </c>
      <c r="P997" s="5" t="s">
        <v>2009</v>
      </c>
      <c r="Q997" s="5" t="s">
        <v>2010</v>
      </c>
      <c r="R997" s="5">
        <v>18.2</v>
      </c>
      <c r="S997" s="4">
        <v>45100</v>
      </c>
      <c r="T997" s="4">
        <v>45108</v>
      </c>
      <c r="U997" s="5">
        <f t="shared" si="47"/>
        <v>8</v>
      </c>
      <c r="V997" s="5" t="s">
        <v>76</v>
      </c>
      <c r="X997" s="5"/>
    </row>
    <row r="998" spans="1:24">
      <c r="A998" s="4">
        <v>45311</v>
      </c>
      <c r="B998" s="5" t="str">
        <f t="shared" si="45"/>
        <v>January</v>
      </c>
      <c r="C998" s="5" t="s">
        <v>16</v>
      </c>
      <c r="D998" s="5" t="s">
        <v>22</v>
      </c>
      <c r="E998" s="5">
        <v>19</v>
      </c>
      <c r="F998" s="5">
        <v>482.07</v>
      </c>
      <c r="G998" s="6">
        <f t="shared" si="46"/>
        <v>9159.33</v>
      </c>
      <c r="H998" s="5" t="s">
        <v>53</v>
      </c>
      <c r="I998" s="5" t="s">
        <v>54</v>
      </c>
      <c r="J998" s="5">
        <v>0.1</v>
      </c>
      <c r="K998" s="5" t="s">
        <v>89</v>
      </c>
      <c r="L998" s="6">
        <v>8243.397</v>
      </c>
      <c r="M998" s="5" t="s">
        <v>32</v>
      </c>
      <c r="N998" s="5"/>
      <c r="O998" s="5">
        <v>0</v>
      </c>
      <c r="P998" s="5" t="s">
        <v>2011</v>
      </c>
      <c r="Q998" s="5" t="s">
        <v>2012</v>
      </c>
      <c r="R998" s="5">
        <v>25.96</v>
      </c>
      <c r="S998" s="4">
        <v>45311</v>
      </c>
      <c r="T998" s="4">
        <v>45317</v>
      </c>
      <c r="U998" s="5">
        <f t="shared" si="47"/>
        <v>6</v>
      </c>
      <c r="V998" s="5" t="s">
        <v>59</v>
      </c>
      <c r="X998" s="5"/>
    </row>
    <row r="999" spans="1:24">
      <c r="A999" s="4">
        <v>45469</v>
      </c>
      <c r="B999" s="5" t="str">
        <f t="shared" si="45"/>
        <v>June</v>
      </c>
      <c r="C999" s="5" t="s">
        <v>16</v>
      </c>
      <c r="D999" s="5" t="s">
        <v>25</v>
      </c>
      <c r="E999" s="5">
        <v>20</v>
      </c>
      <c r="F999" s="5">
        <v>75.45</v>
      </c>
      <c r="G999" s="6">
        <f t="shared" si="46"/>
        <v>1509</v>
      </c>
      <c r="H999" s="5" t="s">
        <v>53</v>
      </c>
      <c r="I999" s="5" t="s">
        <v>54</v>
      </c>
      <c r="J999" s="5">
        <v>0.05</v>
      </c>
      <c r="K999" s="5" t="s">
        <v>55</v>
      </c>
      <c r="L999" s="6">
        <v>1433.55</v>
      </c>
      <c r="M999" s="5" t="s">
        <v>32</v>
      </c>
      <c r="N999" s="5" t="s">
        <v>64</v>
      </c>
      <c r="O999" s="5">
        <v>0</v>
      </c>
      <c r="P999" s="5" t="s">
        <v>2013</v>
      </c>
      <c r="Q999" s="5" t="s">
        <v>295</v>
      </c>
      <c r="R999" s="5">
        <v>44.77</v>
      </c>
      <c r="S999" s="4">
        <v>45469</v>
      </c>
      <c r="T999" s="4">
        <v>45479</v>
      </c>
      <c r="U999" s="5">
        <f t="shared" si="47"/>
        <v>10</v>
      </c>
      <c r="V999" s="5" t="s">
        <v>59</v>
      </c>
      <c r="X999" s="5"/>
    </row>
    <row r="1000" spans="1:24">
      <c r="A1000" s="4">
        <v>45638</v>
      </c>
      <c r="B1000" s="5" t="str">
        <f t="shared" si="45"/>
        <v>December</v>
      </c>
      <c r="C1000" s="5" t="s">
        <v>19</v>
      </c>
      <c r="D1000" s="5" t="s">
        <v>26</v>
      </c>
      <c r="E1000" s="5">
        <v>2</v>
      </c>
      <c r="F1000" s="5">
        <v>494.22</v>
      </c>
      <c r="G1000" s="6">
        <f t="shared" si="46"/>
        <v>988.44</v>
      </c>
      <c r="H1000" s="5" t="s">
        <v>77</v>
      </c>
      <c r="I1000" s="5" t="s">
        <v>62</v>
      </c>
      <c r="J1000" s="5">
        <v>0.1</v>
      </c>
      <c r="K1000" s="5" t="s">
        <v>78</v>
      </c>
      <c r="L1000" s="6">
        <v>889.596</v>
      </c>
      <c r="M1000" s="5" t="s">
        <v>31</v>
      </c>
      <c r="N1000" s="5" t="s">
        <v>56</v>
      </c>
      <c r="O1000" s="5">
        <v>0</v>
      </c>
      <c r="P1000" s="5" t="s">
        <v>2014</v>
      </c>
      <c r="Q1000" s="5" t="s">
        <v>2015</v>
      </c>
      <c r="R1000" s="5">
        <v>13.45</v>
      </c>
      <c r="S1000" s="4">
        <v>45638</v>
      </c>
      <c r="T1000" s="4">
        <v>45643</v>
      </c>
      <c r="U1000" s="5">
        <f t="shared" si="47"/>
        <v>5</v>
      </c>
      <c r="V1000" s="5" t="s">
        <v>76</v>
      </c>
      <c r="X1000" s="5"/>
    </row>
    <row r="1001" spans="1:24">
      <c r="A1001" s="4">
        <v>45343</v>
      </c>
      <c r="B1001" s="5" t="str">
        <f t="shared" si="45"/>
        <v>February</v>
      </c>
      <c r="C1001" s="5" t="s">
        <v>16</v>
      </c>
      <c r="D1001" s="5" t="s">
        <v>22</v>
      </c>
      <c r="E1001" s="5">
        <v>15</v>
      </c>
      <c r="F1001" s="5">
        <v>112.82</v>
      </c>
      <c r="G1001" s="6">
        <f t="shared" si="46"/>
        <v>1692.3</v>
      </c>
      <c r="H1001" s="5" t="s">
        <v>53</v>
      </c>
      <c r="I1001" s="5" t="s">
        <v>54</v>
      </c>
      <c r="J1001" s="5">
        <v>0.05</v>
      </c>
      <c r="K1001" s="5" t="s">
        <v>73</v>
      </c>
      <c r="L1001" s="6">
        <v>1607.685</v>
      </c>
      <c r="M1001" s="5" t="s">
        <v>32</v>
      </c>
      <c r="N1001" s="5" t="s">
        <v>69</v>
      </c>
      <c r="O1001" s="5">
        <v>0</v>
      </c>
      <c r="P1001" s="5" t="s">
        <v>2016</v>
      </c>
      <c r="Q1001" s="5" t="s">
        <v>2017</v>
      </c>
      <c r="R1001" s="5">
        <v>18.21</v>
      </c>
      <c r="S1001" s="4">
        <v>45343</v>
      </c>
      <c r="T1001" s="4">
        <v>45352</v>
      </c>
      <c r="U1001" s="5">
        <f t="shared" si="47"/>
        <v>9</v>
      </c>
      <c r="V1001" s="5" t="s">
        <v>59</v>
      </c>
      <c r="X1001" s="5"/>
    </row>
    <row r="1002" spans="1:24">
      <c r="A1002" s="4">
        <v>45125</v>
      </c>
      <c r="B1002" s="5" t="str">
        <f t="shared" si="45"/>
        <v>July</v>
      </c>
      <c r="C1002" s="5" t="s">
        <v>16</v>
      </c>
      <c r="D1002" s="5" t="s">
        <v>24</v>
      </c>
      <c r="E1002" s="5">
        <v>3</v>
      </c>
      <c r="F1002" s="5">
        <v>121.56</v>
      </c>
      <c r="G1002" s="6">
        <f t="shared" si="46"/>
        <v>364.68</v>
      </c>
      <c r="H1002" s="5" t="s">
        <v>81</v>
      </c>
      <c r="I1002" s="5" t="s">
        <v>54</v>
      </c>
      <c r="J1002" s="5">
        <v>0</v>
      </c>
      <c r="K1002" s="5" t="s">
        <v>55</v>
      </c>
      <c r="L1002" s="6">
        <v>364.68</v>
      </c>
      <c r="M1002" s="5" t="s">
        <v>33</v>
      </c>
      <c r="N1002" s="5" t="s">
        <v>69</v>
      </c>
      <c r="O1002" s="5">
        <v>0</v>
      </c>
      <c r="P1002" s="5" t="s">
        <v>2018</v>
      </c>
      <c r="Q1002" s="5" t="s">
        <v>2019</v>
      </c>
      <c r="R1002" s="5">
        <v>29.06</v>
      </c>
      <c r="S1002" s="4">
        <v>45125</v>
      </c>
      <c r="T1002" s="4">
        <v>45132</v>
      </c>
      <c r="U1002" s="5">
        <f t="shared" si="47"/>
        <v>7</v>
      </c>
      <c r="V1002" s="5" t="s">
        <v>59</v>
      </c>
      <c r="X1002" s="5"/>
    </row>
    <row r="1003" spans="1:24">
      <c r="A1003" s="4">
        <v>45567</v>
      </c>
      <c r="B1003" s="5" t="str">
        <f t="shared" si="45"/>
        <v>October</v>
      </c>
      <c r="C1003" s="5" t="s">
        <v>18</v>
      </c>
      <c r="D1003" s="5" t="s">
        <v>24</v>
      </c>
      <c r="E1003" s="5">
        <v>12</v>
      </c>
      <c r="F1003" s="5">
        <v>465.94</v>
      </c>
      <c r="G1003" s="6">
        <f t="shared" si="46"/>
        <v>5591.28</v>
      </c>
      <c r="H1003" s="5" t="s">
        <v>81</v>
      </c>
      <c r="I1003" s="5" t="s">
        <v>54</v>
      </c>
      <c r="J1003" s="5">
        <v>0</v>
      </c>
      <c r="K1003" s="5" t="s">
        <v>63</v>
      </c>
      <c r="L1003" s="6">
        <v>5591.28</v>
      </c>
      <c r="M1003" s="5" t="s">
        <v>32</v>
      </c>
      <c r="N1003" s="5" t="s">
        <v>69</v>
      </c>
      <c r="O1003" s="5">
        <v>0</v>
      </c>
      <c r="P1003" s="5" t="s">
        <v>2020</v>
      </c>
      <c r="Q1003" s="5" t="s">
        <v>2021</v>
      </c>
      <c r="R1003" s="5">
        <v>34.16</v>
      </c>
      <c r="S1003" s="4">
        <v>45567</v>
      </c>
      <c r="T1003" s="4">
        <v>45571</v>
      </c>
      <c r="U1003" s="5">
        <f t="shared" si="47"/>
        <v>4</v>
      </c>
      <c r="V1003" s="5" t="s">
        <v>72</v>
      </c>
      <c r="X1003" s="5"/>
    </row>
    <row r="1004" spans="1:24">
      <c r="A1004" s="4">
        <v>45627</v>
      </c>
      <c r="B1004" s="5" t="str">
        <f t="shared" si="45"/>
        <v>December</v>
      </c>
      <c r="C1004" s="5" t="s">
        <v>20</v>
      </c>
      <c r="D1004" s="5" t="s">
        <v>23</v>
      </c>
      <c r="E1004" s="5">
        <v>12</v>
      </c>
      <c r="F1004" s="5">
        <v>187.8</v>
      </c>
      <c r="G1004" s="6">
        <f t="shared" si="46"/>
        <v>2253.6</v>
      </c>
      <c r="H1004" s="5" t="s">
        <v>81</v>
      </c>
      <c r="I1004" s="5" t="s">
        <v>54</v>
      </c>
      <c r="J1004" s="5">
        <v>0.15</v>
      </c>
      <c r="K1004" s="5" t="s">
        <v>82</v>
      </c>
      <c r="L1004" s="6">
        <v>1915.56</v>
      </c>
      <c r="M1004" s="5" t="s">
        <v>30</v>
      </c>
      <c r="N1004" s="5" t="s">
        <v>56</v>
      </c>
      <c r="O1004" s="5">
        <v>0</v>
      </c>
      <c r="P1004" s="5" t="s">
        <v>2022</v>
      </c>
      <c r="Q1004" s="5" t="s">
        <v>2023</v>
      </c>
      <c r="R1004" s="5">
        <v>17.74</v>
      </c>
      <c r="S1004" s="4">
        <v>45627</v>
      </c>
      <c r="T1004" s="4">
        <v>45630</v>
      </c>
      <c r="U1004" s="5">
        <f t="shared" si="47"/>
        <v>3</v>
      </c>
      <c r="V1004" s="5" t="s">
        <v>94</v>
      </c>
      <c r="X1004" s="5"/>
    </row>
    <row r="1005" spans="1:24">
      <c r="A1005" s="4">
        <v>45538</v>
      </c>
      <c r="B1005" s="5" t="str">
        <f t="shared" si="45"/>
        <v>September</v>
      </c>
      <c r="C1005" s="5" t="s">
        <v>16</v>
      </c>
      <c r="D1005" s="5" t="s">
        <v>24</v>
      </c>
      <c r="E1005" s="5">
        <v>1</v>
      </c>
      <c r="F1005" s="5">
        <v>561.3</v>
      </c>
      <c r="G1005" s="6">
        <f t="shared" si="46"/>
        <v>561.3</v>
      </c>
      <c r="H1005" s="5" t="s">
        <v>81</v>
      </c>
      <c r="I1005" s="5" t="s">
        <v>62</v>
      </c>
      <c r="J1005" s="5">
        <v>0.15</v>
      </c>
      <c r="K1005" s="5" t="s">
        <v>73</v>
      </c>
      <c r="L1005" s="6">
        <v>477.105</v>
      </c>
      <c r="M1005" s="5" t="s">
        <v>31</v>
      </c>
      <c r="N1005" s="5"/>
      <c r="O1005" s="5">
        <v>0</v>
      </c>
      <c r="P1005" s="5" t="s">
        <v>2024</v>
      </c>
      <c r="Q1005" s="5" t="s">
        <v>2025</v>
      </c>
      <c r="R1005" s="5">
        <v>5.19</v>
      </c>
      <c r="S1005" s="4">
        <v>45538</v>
      </c>
      <c r="T1005" s="4">
        <v>45547</v>
      </c>
      <c r="U1005" s="5">
        <f t="shared" si="47"/>
        <v>9</v>
      </c>
      <c r="V1005" s="5" t="s">
        <v>59</v>
      </c>
      <c r="X1005" s="5"/>
    </row>
    <row r="1006" spans="1:24">
      <c r="A1006" s="4">
        <v>45710</v>
      </c>
      <c r="B1006" s="5" t="str">
        <f t="shared" si="45"/>
        <v>February</v>
      </c>
      <c r="C1006" s="5" t="s">
        <v>20</v>
      </c>
      <c r="D1006" s="5" t="s">
        <v>27</v>
      </c>
      <c r="E1006" s="5">
        <v>7</v>
      </c>
      <c r="F1006" s="5">
        <v>178.26</v>
      </c>
      <c r="G1006" s="6">
        <f t="shared" si="46"/>
        <v>1247.82</v>
      </c>
      <c r="H1006" s="5" t="s">
        <v>77</v>
      </c>
      <c r="I1006" s="5" t="s">
        <v>62</v>
      </c>
      <c r="J1006" s="5">
        <v>0.15</v>
      </c>
      <c r="K1006" s="5" t="s">
        <v>89</v>
      </c>
      <c r="L1006" s="6">
        <v>1060.647</v>
      </c>
      <c r="M1006" s="5" t="s">
        <v>30</v>
      </c>
      <c r="N1006" s="5" t="s">
        <v>56</v>
      </c>
      <c r="O1006" s="5">
        <v>0</v>
      </c>
      <c r="P1006" s="5" t="s">
        <v>2026</v>
      </c>
      <c r="Q1006" s="5" t="s">
        <v>2027</v>
      </c>
      <c r="R1006" s="5">
        <v>44.91</v>
      </c>
      <c r="S1006" s="4">
        <v>45710</v>
      </c>
      <c r="T1006" s="4">
        <v>45717</v>
      </c>
      <c r="U1006" s="5">
        <f t="shared" si="47"/>
        <v>7</v>
      </c>
      <c r="V1006" s="5" t="s">
        <v>94</v>
      </c>
      <c r="X1006" s="5"/>
    </row>
    <row r="1007" spans="1:24">
      <c r="A1007" s="4">
        <v>45788</v>
      </c>
      <c r="B1007" s="5" t="str">
        <f t="shared" si="45"/>
        <v>May</v>
      </c>
      <c r="C1007" s="5" t="s">
        <v>20</v>
      </c>
      <c r="D1007" s="5" t="s">
        <v>26</v>
      </c>
      <c r="E1007" s="5">
        <v>20</v>
      </c>
      <c r="F1007" s="5">
        <v>552.83</v>
      </c>
      <c r="G1007" s="6">
        <f t="shared" si="46"/>
        <v>11056.6</v>
      </c>
      <c r="H1007" s="5" t="s">
        <v>81</v>
      </c>
      <c r="I1007" s="5" t="s">
        <v>62</v>
      </c>
      <c r="J1007" s="5">
        <v>0.15</v>
      </c>
      <c r="K1007" s="5" t="s">
        <v>55</v>
      </c>
      <c r="L1007" s="6">
        <v>9398.11</v>
      </c>
      <c r="M1007" s="5" t="s">
        <v>30</v>
      </c>
      <c r="N1007" s="5" t="s">
        <v>56</v>
      </c>
      <c r="O1007" s="5">
        <v>1</v>
      </c>
      <c r="P1007" s="5" t="s">
        <v>2028</v>
      </c>
      <c r="Q1007" s="5" t="s">
        <v>2029</v>
      </c>
      <c r="R1007" s="5">
        <v>20.5</v>
      </c>
      <c r="S1007" s="4">
        <v>45788</v>
      </c>
      <c r="T1007" s="4">
        <v>45790</v>
      </c>
      <c r="U1007" s="5">
        <f t="shared" si="47"/>
        <v>2</v>
      </c>
      <c r="V1007" s="5" t="s">
        <v>94</v>
      </c>
      <c r="X1007" s="5"/>
    </row>
    <row r="1008" spans="1:24">
      <c r="A1008" s="4">
        <v>45646</v>
      </c>
      <c r="B1008" s="5" t="str">
        <f t="shared" si="45"/>
        <v>December</v>
      </c>
      <c r="C1008" s="5" t="s">
        <v>19</v>
      </c>
      <c r="D1008" s="5" t="s">
        <v>101</v>
      </c>
      <c r="E1008" s="5">
        <v>2</v>
      </c>
      <c r="F1008" s="5">
        <v>458.25</v>
      </c>
      <c r="G1008" s="6">
        <f t="shared" si="46"/>
        <v>916.5</v>
      </c>
      <c r="H1008" s="5" t="s">
        <v>53</v>
      </c>
      <c r="I1008" s="5" t="s">
        <v>54</v>
      </c>
      <c r="J1008" s="5">
        <v>0</v>
      </c>
      <c r="K1008" s="5" t="s">
        <v>55</v>
      </c>
      <c r="L1008" s="6">
        <v>916.5</v>
      </c>
      <c r="M1008" s="5" t="s">
        <v>31</v>
      </c>
      <c r="N1008" s="5" t="s">
        <v>64</v>
      </c>
      <c r="O1008" s="5">
        <v>0</v>
      </c>
      <c r="P1008" s="5" t="s">
        <v>2030</v>
      </c>
      <c r="Q1008" s="5" t="s">
        <v>2031</v>
      </c>
      <c r="R1008" s="5">
        <v>25.94</v>
      </c>
      <c r="S1008" s="4">
        <v>45646</v>
      </c>
      <c r="T1008" s="4">
        <v>45655</v>
      </c>
      <c r="U1008" s="5">
        <f t="shared" si="47"/>
        <v>9</v>
      </c>
      <c r="V1008" s="5" t="s">
        <v>76</v>
      </c>
      <c r="X1008" s="5"/>
    </row>
    <row r="1009" spans="1:24">
      <c r="A1009" s="4">
        <v>45034</v>
      </c>
      <c r="B1009" s="5" t="str">
        <f t="shared" si="45"/>
        <v>April</v>
      </c>
      <c r="C1009" s="5" t="s">
        <v>16</v>
      </c>
      <c r="D1009" s="5" t="s">
        <v>22</v>
      </c>
      <c r="E1009" s="5">
        <v>2</v>
      </c>
      <c r="F1009" s="5">
        <v>129.43</v>
      </c>
      <c r="G1009" s="6">
        <f t="shared" si="46"/>
        <v>258.86</v>
      </c>
      <c r="H1009" s="5" t="s">
        <v>81</v>
      </c>
      <c r="I1009" s="5" t="s">
        <v>62</v>
      </c>
      <c r="J1009" s="5">
        <v>0.05</v>
      </c>
      <c r="K1009" s="5" t="s">
        <v>63</v>
      </c>
      <c r="L1009" s="6">
        <v>245.917</v>
      </c>
      <c r="M1009" s="5" t="s">
        <v>33</v>
      </c>
      <c r="N1009" s="5" t="s">
        <v>56</v>
      </c>
      <c r="O1009" s="5">
        <v>0</v>
      </c>
      <c r="P1009" s="5" t="s">
        <v>2032</v>
      </c>
      <c r="Q1009" s="5" t="s">
        <v>2033</v>
      </c>
      <c r="R1009" s="5">
        <v>6.91</v>
      </c>
      <c r="S1009" s="4">
        <v>45034</v>
      </c>
      <c r="T1009" s="4">
        <v>45037</v>
      </c>
      <c r="U1009" s="5">
        <f t="shared" si="47"/>
        <v>3</v>
      </c>
      <c r="V1009" s="5" t="s">
        <v>59</v>
      </c>
      <c r="X1009" s="5"/>
    </row>
    <row r="1010" spans="1:24">
      <c r="A1010" s="4">
        <v>45533</v>
      </c>
      <c r="B1010" s="5" t="str">
        <f t="shared" si="45"/>
        <v>August</v>
      </c>
      <c r="C1010" s="5" t="s">
        <v>16</v>
      </c>
      <c r="D1010" s="5" t="s">
        <v>27</v>
      </c>
      <c r="E1010" s="5">
        <v>19</v>
      </c>
      <c r="F1010" s="5">
        <v>448.21</v>
      </c>
      <c r="G1010" s="6">
        <f t="shared" si="46"/>
        <v>8515.99</v>
      </c>
      <c r="H1010" s="5" t="s">
        <v>77</v>
      </c>
      <c r="I1010" s="5" t="s">
        <v>54</v>
      </c>
      <c r="J1010" s="5">
        <v>0.1</v>
      </c>
      <c r="K1010" s="5" t="s">
        <v>63</v>
      </c>
      <c r="L1010" s="6">
        <v>7664.391</v>
      </c>
      <c r="M1010" s="5" t="s">
        <v>33</v>
      </c>
      <c r="N1010" s="5" t="s">
        <v>69</v>
      </c>
      <c r="O1010" s="5">
        <v>0</v>
      </c>
      <c r="P1010" s="5" t="s">
        <v>2034</v>
      </c>
      <c r="Q1010" s="5" t="s">
        <v>997</v>
      </c>
      <c r="R1010" s="5">
        <v>30.71</v>
      </c>
      <c r="S1010" s="4">
        <v>45533</v>
      </c>
      <c r="T1010" s="4">
        <v>45538</v>
      </c>
      <c r="U1010" s="5">
        <f t="shared" si="47"/>
        <v>5</v>
      </c>
      <c r="V1010" s="5" t="s">
        <v>59</v>
      </c>
      <c r="X1010" s="5"/>
    </row>
    <row r="1011" spans="1:24">
      <c r="A1011" s="4">
        <v>45172</v>
      </c>
      <c r="B1011" s="5" t="str">
        <f t="shared" si="45"/>
        <v>September</v>
      </c>
      <c r="C1011" s="5" t="s">
        <v>18</v>
      </c>
      <c r="D1011" s="5" t="s">
        <v>24</v>
      </c>
      <c r="E1011" s="5">
        <v>16</v>
      </c>
      <c r="F1011" s="5">
        <v>440.48</v>
      </c>
      <c r="G1011" s="6">
        <f t="shared" si="46"/>
        <v>7047.68</v>
      </c>
      <c r="H1011" s="5" t="s">
        <v>53</v>
      </c>
      <c r="I1011" s="5" t="s">
        <v>62</v>
      </c>
      <c r="J1011" s="5">
        <v>0.05</v>
      </c>
      <c r="K1011" s="5" t="s">
        <v>73</v>
      </c>
      <c r="L1011" s="6">
        <v>6695.296</v>
      </c>
      <c r="M1011" s="5" t="s">
        <v>34</v>
      </c>
      <c r="N1011" s="5" t="s">
        <v>56</v>
      </c>
      <c r="O1011" s="5">
        <v>1</v>
      </c>
      <c r="P1011" s="5" t="s">
        <v>2035</v>
      </c>
      <c r="Q1011" s="5" t="s">
        <v>2036</v>
      </c>
      <c r="R1011" s="5">
        <v>26.87</v>
      </c>
      <c r="S1011" s="4">
        <v>45172</v>
      </c>
      <c r="T1011" s="4">
        <v>45179</v>
      </c>
      <c r="U1011" s="5">
        <f t="shared" si="47"/>
        <v>7</v>
      </c>
      <c r="V1011" s="5" t="s">
        <v>72</v>
      </c>
      <c r="X1011" s="5"/>
    </row>
    <row r="1012" spans="1:24">
      <c r="A1012" s="4">
        <v>45796</v>
      </c>
      <c r="B1012" s="5" t="str">
        <f t="shared" si="45"/>
        <v>May</v>
      </c>
      <c r="C1012" s="5" t="s">
        <v>16</v>
      </c>
      <c r="D1012" s="5" t="s">
        <v>22</v>
      </c>
      <c r="E1012" s="5">
        <v>8</v>
      </c>
      <c r="F1012" s="5">
        <v>262.62</v>
      </c>
      <c r="G1012" s="6">
        <f t="shared" si="46"/>
        <v>2100.96</v>
      </c>
      <c r="H1012" s="5" t="s">
        <v>77</v>
      </c>
      <c r="I1012" s="5" t="s">
        <v>54</v>
      </c>
      <c r="J1012" s="5">
        <v>0</v>
      </c>
      <c r="K1012" s="5" t="s">
        <v>63</v>
      </c>
      <c r="L1012" s="6">
        <v>2100.96</v>
      </c>
      <c r="M1012" s="5" t="s">
        <v>34</v>
      </c>
      <c r="N1012" s="5" t="s">
        <v>56</v>
      </c>
      <c r="O1012" s="5">
        <v>1</v>
      </c>
      <c r="P1012" s="5" t="s">
        <v>2037</v>
      </c>
      <c r="Q1012" s="5" t="s">
        <v>2038</v>
      </c>
      <c r="R1012" s="5">
        <v>36.73</v>
      </c>
      <c r="S1012" s="4">
        <v>45796</v>
      </c>
      <c r="T1012" s="4">
        <v>45801</v>
      </c>
      <c r="U1012" s="5">
        <f t="shared" si="47"/>
        <v>5</v>
      </c>
      <c r="V1012" s="5" t="s">
        <v>59</v>
      </c>
      <c r="X1012" s="5"/>
    </row>
    <row r="1013" spans="1:24">
      <c r="A1013" s="4">
        <v>45095</v>
      </c>
      <c r="B1013" s="5" t="str">
        <f t="shared" si="45"/>
        <v>June</v>
      </c>
      <c r="C1013" s="5" t="s">
        <v>16</v>
      </c>
      <c r="D1013" s="5" t="s">
        <v>101</v>
      </c>
      <c r="E1013" s="5">
        <v>15</v>
      </c>
      <c r="F1013" s="5">
        <v>124.91</v>
      </c>
      <c r="G1013" s="6">
        <f t="shared" si="46"/>
        <v>1873.65</v>
      </c>
      <c r="H1013" s="5" t="s">
        <v>61</v>
      </c>
      <c r="I1013" s="5" t="s">
        <v>54</v>
      </c>
      <c r="J1013" s="5">
        <v>0.1</v>
      </c>
      <c r="K1013" s="5" t="s">
        <v>55</v>
      </c>
      <c r="L1013" s="6">
        <v>1686.285</v>
      </c>
      <c r="M1013" s="5" t="s">
        <v>31</v>
      </c>
      <c r="N1013" s="5" t="s">
        <v>56</v>
      </c>
      <c r="O1013" s="5">
        <v>0</v>
      </c>
      <c r="P1013" s="5" t="s">
        <v>2039</v>
      </c>
      <c r="Q1013" s="5" t="s">
        <v>2040</v>
      </c>
      <c r="R1013" s="5">
        <v>31.95</v>
      </c>
      <c r="S1013" s="4">
        <v>45095</v>
      </c>
      <c r="T1013" s="4">
        <v>45103</v>
      </c>
      <c r="U1013" s="5">
        <f t="shared" si="47"/>
        <v>8</v>
      </c>
      <c r="V1013" s="5" t="s">
        <v>59</v>
      </c>
      <c r="X1013" s="5"/>
    </row>
    <row r="1014" spans="1:24">
      <c r="A1014" s="4">
        <v>45826</v>
      </c>
      <c r="B1014" s="5" t="str">
        <f t="shared" si="45"/>
        <v>June</v>
      </c>
      <c r="C1014" s="5" t="s">
        <v>20</v>
      </c>
      <c r="D1014" s="5" t="s">
        <v>26</v>
      </c>
      <c r="E1014" s="5">
        <v>9</v>
      </c>
      <c r="F1014" s="5">
        <v>391</v>
      </c>
      <c r="G1014" s="6">
        <f t="shared" si="46"/>
        <v>3519</v>
      </c>
      <c r="H1014" s="5" t="s">
        <v>81</v>
      </c>
      <c r="I1014" s="5" t="s">
        <v>54</v>
      </c>
      <c r="J1014" s="5">
        <v>0.1</v>
      </c>
      <c r="K1014" s="5" t="s">
        <v>55</v>
      </c>
      <c r="L1014" s="6">
        <v>3167.1</v>
      </c>
      <c r="M1014" s="5" t="s">
        <v>33</v>
      </c>
      <c r="N1014" s="5" t="s">
        <v>69</v>
      </c>
      <c r="O1014" s="5">
        <v>0</v>
      </c>
      <c r="P1014" s="5" t="s">
        <v>2041</v>
      </c>
      <c r="Q1014" s="5" t="s">
        <v>2042</v>
      </c>
      <c r="R1014" s="5">
        <v>46.76</v>
      </c>
      <c r="S1014" s="4">
        <v>45826</v>
      </c>
      <c r="T1014" s="4">
        <v>45830</v>
      </c>
      <c r="U1014" s="5">
        <f t="shared" si="47"/>
        <v>4</v>
      </c>
      <c r="V1014" s="5" t="s">
        <v>94</v>
      </c>
      <c r="X1014" s="5"/>
    </row>
    <row r="1015" spans="1:24">
      <c r="A1015" s="4">
        <v>45564</v>
      </c>
      <c r="B1015" s="5" t="str">
        <f t="shared" si="45"/>
        <v>September</v>
      </c>
      <c r="C1015" s="5" t="s">
        <v>17</v>
      </c>
      <c r="D1015" s="5" t="s">
        <v>22</v>
      </c>
      <c r="E1015" s="5">
        <v>12</v>
      </c>
      <c r="F1015" s="5">
        <v>204.15</v>
      </c>
      <c r="G1015" s="6">
        <f t="shared" si="46"/>
        <v>2449.8</v>
      </c>
      <c r="H1015" s="5" t="s">
        <v>77</v>
      </c>
      <c r="I1015" s="5" t="s">
        <v>62</v>
      </c>
      <c r="J1015" s="5">
        <v>0.05</v>
      </c>
      <c r="K1015" s="5" t="s">
        <v>63</v>
      </c>
      <c r="L1015" s="6">
        <v>2327.31</v>
      </c>
      <c r="M1015" s="5" t="s">
        <v>33</v>
      </c>
      <c r="N1015" s="5" t="s">
        <v>56</v>
      </c>
      <c r="O1015" s="5">
        <v>1</v>
      </c>
      <c r="P1015" s="5" t="s">
        <v>2043</v>
      </c>
      <c r="Q1015" s="5" t="s">
        <v>2044</v>
      </c>
      <c r="R1015" s="5">
        <v>26.4</v>
      </c>
      <c r="S1015" s="4">
        <v>45564</v>
      </c>
      <c r="T1015" s="4">
        <v>45572</v>
      </c>
      <c r="U1015" s="5">
        <f t="shared" si="47"/>
        <v>8</v>
      </c>
      <c r="V1015" s="5" t="s">
        <v>67</v>
      </c>
      <c r="X1015" s="5"/>
    </row>
    <row r="1016" spans="1:24">
      <c r="A1016" s="4">
        <v>45347</v>
      </c>
      <c r="B1016" s="5" t="str">
        <f t="shared" si="45"/>
        <v>February</v>
      </c>
      <c r="C1016" s="5" t="s">
        <v>16</v>
      </c>
      <c r="D1016" s="5" t="s">
        <v>22</v>
      </c>
      <c r="E1016" s="5">
        <v>20</v>
      </c>
      <c r="F1016" s="5">
        <v>13.64</v>
      </c>
      <c r="G1016" s="6">
        <f t="shared" si="46"/>
        <v>272.8</v>
      </c>
      <c r="H1016" s="5" t="s">
        <v>77</v>
      </c>
      <c r="I1016" s="5" t="s">
        <v>62</v>
      </c>
      <c r="J1016" s="5">
        <v>0.15</v>
      </c>
      <c r="K1016" s="5" t="s">
        <v>73</v>
      </c>
      <c r="L1016" s="6">
        <v>231.88</v>
      </c>
      <c r="M1016" s="5" t="s">
        <v>32</v>
      </c>
      <c r="N1016" s="5" t="s">
        <v>64</v>
      </c>
      <c r="O1016" s="5">
        <v>0</v>
      </c>
      <c r="P1016" s="5" t="s">
        <v>2045</v>
      </c>
      <c r="Q1016" s="5" t="s">
        <v>2046</v>
      </c>
      <c r="R1016" s="5">
        <v>33.6</v>
      </c>
      <c r="S1016" s="4">
        <v>45347</v>
      </c>
      <c r="T1016" s="4">
        <v>45355</v>
      </c>
      <c r="U1016" s="5">
        <f t="shared" si="47"/>
        <v>8</v>
      </c>
      <c r="V1016" s="5" t="s">
        <v>59</v>
      </c>
      <c r="X1016" s="5"/>
    </row>
    <row r="1017" spans="1:24">
      <c r="A1017" s="4">
        <v>45372</v>
      </c>
      <c r="B1017" s="5" t="str">
        <f t="shared" si="45"/>
        <v>March</v>
      </c>
      <c r="C1017" s="5" t="s">
        <v>18</v>
      </c>
      <c r="D1017" s="5" t="s">
        <v>27</v>
      </c>
      <c r="E1017" s="5">
        <v>14</v>
      </c>
      <c r="F1017" s="5">
        <v>524.9</v>
      </c>
      <c r="G1017" s="6">
        <f t="shared" si="46"/>
        <v>7348.6</v>
      </c>
      <c r="H1017" s="5" t="s">
        <v>77</v>
      </c>
      <c r="I1017" s="5" t="s">
        <v>54</v>
      </c>
      <c r="J1017" s="5">
        <v>0.05</v>
      </c>
      <c r="K1017" s="5" t="s">
        <v>63</v>
      </c>
      <c r="L1017" s="6">
        <v>6981.17</v>
      </c>
      <c r="M1017" s="5" t="s">
        <v>34</v>
      </c>
      <c r="N1017" s="5" t="s">
        <v>56</v>
      </c>
      <c r="O1017" s="5">
        <v>1</v>
      </c>
      <c r="P1017" s="5" t="s">
        <v>2047</v>
      </c>
      <c r="Q1017" s="5" t="s">
        <v>2048</v>
      </c>
      <c r="R1017" s="5">
        <v>20.23</v>
      </c>
      <c r="S1017" s="4">
        <v>45372</v>
      </c>
      <c r="T1017" s="4">
        <v>45381</v>
      </c>
      <c r="U1017" s="5">
        <f t="shared" si="47"/>
        <v>9</v>
      </c>
      <c r="V1017" s="5" t="s">
        <v>72</v>
      </c>
      <c r="X1017" s="5"/>
    </row>
    <row r="1018" spans="1:24">
      <c r="A1018" s="4">
        <v>45325</v>
      </c>
      <c r="B1018" s="5" t="str">
        <f t="shared" si="45"/>
        <v>February</v>
      </c>
      <c r="C1018" s="5" t="s">
        <v>18</v>
      </c>
      <c r="D1018" s="5" t="s">
        <v>22</v>
      </c>
      <c r="E1018" s="5">
        <v>8</v>
      </c>
      <c r="F1018" s="5">
        <v>143.95</v>
      </c>
      <c r="G1018" s="6">
        <f t="shared" si="46"/>
        <v>1151.6</v>
      </c>
      <c r="H1018" s="5" t="s">
        <v>53</v>
      </c>
      <c r="I1018" s="5" t="s">
        <v>62</v>
      </c>
      <c r="J1018" s="5">
        <v>0.1</v>
      </c>
      <c r="K1018" s="5" t="s">
        <v>82</v>
      </c>
      <c r="L1018" s="6">
        <v>1036.44</v>
      </c>
      <c r="M1018" s="5" t="s">
        <v>34</v>
      </c>
      <c r="N1018" s="5" t="s">
        <v>64</v>
      </c>
      <c r="O1018" s="5">
        <v>0</v>
      </c>
      <c r="P1018" s="5" t="s">
        <v>2049</v>
      </c>
      <c r="Q1018" s="5" t="s">
        <v>2050</v>
      </c>
      <c r="R1018" s="5">
        <v>28.09</v>
      </c>
      <c r="S1018" s="4">
        <v>45325</v>
      </c>
      <c r="T1018" s="4">
        <v>45331</v>
      </c>
      <c r="U1018" s="5">
        <f t="shared" si="47"/>
        <v>6</v>
      </c>
      <c r="V1018" s="5" t="s">
        <v>72</v>
      </c>
      <c r="X1018" s="5"/>
    </row>
    <row r="1019" spans="1:24">
      <c r="A1019" s="4">
        <v>45251</v>
      </c>
      <c r="B1019" s="5" t="str">
        <f t="shared" si="45"/>
        <v>November</v>
      </c>
      <c r="C1019" s="5" t="s">
        <v>17</v>
      </c>
      <c r="D1019" s="5" t="s">
        <v>22</v>
      </c>
      <c r="E1019" s="5">
        <v>2</v>
      </c>
      <c r="F1019" s="5">
        <v>576.84</v>
      </c>
      <c r="G1019" s="6">
        <f t="shared" si="46"/>
        <v>1153.68</v>
      </c>
      <c r="H1019" s="5" t="s">
        <v>81</v>
      </c>
      <c r="I1019" s="5" t="s">
        <v>62</v>
      </c>
      <c r="J1019" s="5">
        <v>0.1</v>
      </c>
      <c r="K1019" s="5" t="s">
        <v>73</v>
      </c>
      <c r="L1019" s="6">
        <v>1038.312</v>
      </c>
      <c r="M1019" s="5" t="s">
        <v>32</v>
      </c>
      <c r="N1019" s="5" t="s">
        <v>56</v>
      </c>
      <c r="O1019" s="5">
        <v>0</v>
      </c>
      <c r="P1019" s="5" t="s">
        <v>2051</v>
      </c>
      <c r="Q1019" s="5" t="s">
        <v>2052</v>
      </c>
      <c r="R1019" s="5">
        <v>43.32</v>
      </c>
      <c r="S1019" s="4">
        <v>45251</v>
      </c>
      <c r="T1019" s="4">
        <v>45254</v>
      </c>
      <c r="U1019" s="5">
        <f t="shared" si="47"/>
        <v>3</v>
      </c>
      <c r="V1019" s="5" t="s">
        <v>67</v>
      </c>
      <c r="X1019" s="5"/>
    </row>
    <row r="1020" spans="1:24">
      <c r="A1020" s="4">
        <v>44936</v>
      </c>
      <c r="B1020" s="5" t="str">
        <f t="shared" si="45"/>
        <v>January</v>
      </c>
      <c r="C1020" s="5" t="s">
        <v>20</v>
      </c>
      <c r="D1020" s="5" t="s">
        <v>25</v>
      </c>
      <c r="E1020" s="5">
        <v>14</v>
      </c>
      <c r="F1020" s="5">
        <v>250.98</v>
      </c>
      <c r="G1020" s="6">
        <f t="shared" si="46"/>
        <v>3513.72</v>
      </c>
      <c r="H1020" s="5" t="s">
        <v>77</v>
      </c>
      <c r="I1020" s="5" t="s">
        <v>62</v>
      </c>
      <c r="J1020" s="5">
        <v>0</v>
      </c>
      <c r="K1020" s="5" t="s">
        <v>55</v>
      </c>
      <c r="L1020" s="6">
        <v>3513.72</v>
      </c>
      <c r="M1020" s="5" t="s">
        <v>33</v>
      </c>
      <c r="N1020" s="5"/>
      <c r="O1020" s="5">
        <v>0</v>
      </c>
      <c r="P1020" s="5" t="s">
        <v>2053</v>
      </c>
      <c r="Q1020" s="5" t="s">
        <v>2054</v>
      </c>
      <c r="R1020" s="5">
        <v>14.94</v>
      </c>
      <c r="S1020" s="4">
        <v>44936</v>
      </c>
      <c r="T1020" s="4">
        <v>44944</v>
      </c>
      <c r="U1020" s="5">
        <f t="shared" si="47"/>
        <v>8</v>
      </c>
      <c r="V1020" s="5" t="s">
        <v>94</v>
      </c>
      <c r="X1020" s="5"/>
    </row>
    <row r="1021" spans="1:24">
      <c r="A1021" s="4">
        <v>44963</v>
      </c>
      <c r="B1021" s="5" t="str">
        <f t="shared" si="45"/>
        <v>February</v>
      </c>
      <c r="C1021" s="5" t="s">
        <v>19</v>
      </c>
      <c r="D1021" s="5" t="s">
        <v>23</v>
      </c>
      <c r="E1021" s="5">
        <v>7</v>
      </c>
      <c r="F1021" s="5">
        <v>335.41</v>
      </c>
      <c r="G1021" s="6">
        <f t="shared" si="46"/>
        <v>2347.87</v>
      </c>
      <c r="H1021" s="5" t="s">
        <v>77</v>
      </c>
      <c r="I1021" s="5" t="s">
        <v>62</v>
      </c>
      <c r="J1021" s="5">
        <v>0</v>
      </c>
      <c r="K1021" s="5" t="s">
        <v>89</v>
      </c>
      <c r="L1021" s="6">
        <v>2347.87</v>
      </c>
      <c r="M1021" s="5" t="s">
        <v>30</v>
      </c>
      <c r="N1021" s="5" t="s">
        <v>64</v>
      </c>
      <c r="O1021" s="5">
        <v>0</v>
      </c>
      <c r="P1021" s="5" t="s">
        <v>2055</v>
      </c>
      <c r="Q1021" s="5" t="s">
        <v>620</v>
      </c>
      <c r="R1021" s="5">
        <v>18.91</v>
      </c>
      <c r="S1021" s="4">
        <v>44963</v>
      </c>
      <c r="T1021" s="4">
        <v>44967</v>
      </c>
      <c r="U1021" s="5">
        <f t="shared" si="47"/>
        <v>4</v>
      </c>
      <c r="V1021" s="5" t="s">
        <v>76</v>
      </c>
      <c r="X1021" s="5"/>
    </row>
    <row r="1022" spans="1:24">
      <c r="A1022" s="4">
        <v>45757</v>
      </c>
      <c r="B1022" s="5" t="str">
        <f t="shared" si="45"/>
        <v>April</v>
      </c>
      <c r="C1022" s="5" t="s">
        <v>18</v>
      </c>
      <c r="D1022" s="5" t="s">
        <v>27</v>
      </c>
      <c r="E1022" s="5">
        <v>11</v>
      </c>
      <c r="F1022" s="5">
        <v>204.5</v>
      </c>
      <c r="G1022" s="6">
        <f t="shared" si="46"/>
        <v>2249.5</v>
      </c>
      <c r="H1022" s="5" t="s">
        <v>61</v>
      </c>
      <c r="I1022" s="5" t="s">
        <v>62</v>
      </c>
      <c r="J1022" s="5">
        <v>0</v>
      </c>
      <c r="K1022" s="5" t="s">
        <v>55</v>
      </c>
      <c r="L1022" s="6">
        <v>2249.5</v>
      </c>
      <c r="M1022" s="5" t="s">
        <v>33</v>
      </c>
      <c r="N1022" s="5" t="s">
        <v>69</v>
      </c>
      <c r="O1022" s="5">
        <v>0</v>
      </c>
      <c r="P1022" s="5" t="s">
        <v>2056</v>
      </c>
      <c r="Q1022" s="5" t="s">
        <v>1847</v>
      </c>
      <c r="R1022" s="5">
        <v>13.82</v>
      </c>
      <c r="S1022" s="4">
        <v>45757</v>
      </c>
      <c r="T1022" s="4">
        <v>45767</v>
      </c>
      <c r="U1022" s="5">
        <f t="shared" si="47"/>
        <v>10</v>
      </c>
      <c r="V1022" s="5" t="s">
        <v>72</v>
      </c>
      <c r="X1022" s="5"/>
    </row>
    <row r="1023" spans="1:24">
      <c r="A1023" s="4">
        <v>45336</v>
      </c>
      <c r="B1023" s="5" t="str">
        <f t="shared" si="45"/>
        <v>February</v>
      </c>
      <c r="C1023" s="5" t="s">
        <v>16</v>
      </c>
      <c r="D1023" s="5" t="s">
        <v>101</v>
      </c>
      <c r="E1023" s="5">
        <v>1</v>
      </c>
      <c r="F1023" s="5">
        <v>542.63</v>
      </c>
      <c r="G1023" s="6">
        <f t="shared" si="46"/>
        <v>542.63</v>
      </c>
      <c r="H1023" s="5" t="s">
        <v>61</v>
      </c>
      <c r="I1023" s="5" t="s">
        <v>62</v>
      </c>
      <c r="J1023" s="5">
        <v>0.05</v>
      </c>
      <c r="K1023" s="5" t="s">
        <v>78</v>
      </c>
      <c r="L1023" s="6">
        <v>515.4985</v>
      </c>
      <c r="M1023" s="5" t="s">
        <v>32</v>
      </c>
      <c r="N1023" s="5"/>
      <c r="O1023" s="5">
        <v>0</v>
      </c>
      <c r="P1023" s="5" t="s">
        <v>2057</v>
      </c>
      <c r="Q1023" s="5" t="s">
        <v>2058</v>
      </c>
      <c r="R1023" s="5">
        <v>33.2</v>
      </c>
      <c r="S1023" s="4">
        <v>45336</v>
      </c>
      <c r="T1023" s="4">
        <v>45343</v>
      </c>
      <c r="U1023" s="5">
        <f t="shared" si="47"/>
        <v>7</v>
      </c>
      <c r="V1023" s="5" t="s">
        <v>59</v>
      </c>
      <c r="X1023" s="5"/>
    </row>
    <row r="1024" spans="1:24">
      <c r="A1024" s="4">
        <v>45803</v>
      </c>
      <c r="B1024" s="5" t="str">
        <f t="shared" si="45"/>
        <v>May</v>
      </c>
      <c r="C1024" s="5" t="s">
        <v>16</v>
      </c>
      <c r="D1024" s="5" t="s">
        <v>23</v>
      </c>
      <c r="E1024" s="5">
        <v>1</v>
      </c>
      <c r="F1024" s="5">
        <v>204.54</v>
      </c>
      <c r="G1024" s="6">
        <f t="shared" si="46"/>
        <v>204.54</v>
      </c>
      <c r="H1024" s="5" t="s">
        <v>81</v>
      </c>
      <c r="I1024" s="5" t="s">
        <v>62</v>
      </c>
      <c r="J1024" s="5">
        <v>0.1</v>
      </c>
      <c r="K1024" s="5" t="s">
        <v>78</v>
      </c>
      <c r="L1024" s="6">
        <v>184.086</v>
      </c>
      <c r="M1024" s="5" t="s">
        <v>30</v>
      </c>
      <c r="N1024" s="5"/>
      <c r="O1024" s="5">
        <v>1</v>
      </c>
      <c r="P1024" s="5" t="s">
        <v>2059</v>
      </c>
      <c r="Q1024" s="5" t="s">
        <v>2060</v>
      </c>
      <c r="R1024" s="5">
        <v>17.76</v>
      </c>
      <c r="S1024" s="4">
        <v>45803</v>
      </c>
      <c r="T1024" s="4">
        <v>45806</v>
      </c>
      <c r="U1024" s="5">
        <f t="shared" si="47"/>
        <v>3</v>
      </c>
      <c r="V1024" s="5" t="s">
        <v>59</v>
      </c>
      <c r="X1024" s="5"/>
    </row>
    <row r="1025" spans="1:24">
      <c r="A1025" s="4">
        <v>45181</v>
      </c>
      <c r="B1025" s="5" t="str">
        <f t="shared" si="45"/>
        <v>September</v>
      </c>
      <c r="C1025" s="5" t="s">
        <v>20</v>
      </c>
      <c r="D1025" s="5" t="s">
        <v>25</v>
      </c>
      <c r="E1025" s="5">
        <v>10</v>
      </c>
      <c r="F1025" s="5">
        <v>419.58</v>
      </c>
      <c r="G1025" s="6">
        <f t="shared" si="46"/>
        <v>4195.8</v>
      </c>
      <c r="H1025" s="5" t="s">
        <v>61</v>
      </c>
      <c r="I1025" s="5" t="s">
        <v>54</v>
      </c>
      <c r="J1025" s="5">
        <v>0.15</v>
      </c>
      <c r="K1025" s="5" t="s">
        <v>55</v>
      </c>
      <c r="L1025" s="6">
        <v>3566.43</v>
      </c>
      <c r="M1025" s="5" t="s">
        <v>33</v>
      </c>
      <c r="N1025" s="5" t="s">
        <v>56</v>
      </c>
      <c r="O1025" s="5">
        <v>0</v>
      </c>
      <c r="P1025" s="5" t="s">
        <v>2061</v>
      </c>
      <c r="Q1025" s="5" t="s">
        <v>1624</v>
      </c>
      <c r="R1025" s="5">
        <v>13.09</v>
      </c>
      <c r="S1025" s="4">
        <v>45181</v>
      </c>
      <c r="T1025" s="4">
        <v>45188</v>
      </c>
      <c r="U1025" s="5">
        <f t="shared" si="47"/>
        <v>7</v>
      </c>
      <c r="V1025" s="5" t="s">
        <v>94</v>
      </c>
      <c r="X1025" s="5"/>
    </row>
    <row r="1026" spans="1:24">
      <c r="A1026" s="4">
        <v>45063</v>
      </c>
      <c r="B1026" s="5" t="str">
        <f t="shared" si="45"/>
        <v>May</v>
      </c>
      <c r="C1026" s="5" t="s">
        <v>16</v>
      </c>
      <c r="D1026" s="5" t="s">
        <v>24</v>
      </c>
      <c r="E1026" s="5">
        <v>7</v>
      </c>
      <c r="F1026" s="5">
        <v>87.88</v>
      </c>
      <c r="G1026" s="6">
        <f t="shared" si="46"/>
        <v>615.16</v>
      </c>
      <c r="H1026" s="5" t="s">
        <v>77</v>
      </c>
      <c r="I1026" s="5" t="s">
        <v>54</v>
      </c>
      <c r="J1026" s="5">
        <v>0.15</v>
      </c>
      <c r="K1026" s="5" t="s">
        <v>63</v>
      </c>
      <c r="L1026" s="6">
        <v>522.886</v>
      </c>
      <c r="M1026" s="5" t="s">
        <v>30</v>
      </c>
      <c r="N1026" s="5" t="s">
        <v>69</v>
      </c>
      <c r="O1026" s="5">
        <v>1</v>
      </c>
      <c r="P1026" s="5" t="s">
        <v>2062</v>
      </c>
      <c r="Q1026" s="5" t="s">
        <v>2063</v>
      </c>
      <c r="R1026" s="5">
        <v>22.2</v>
      </c>
      <c r="S1026" s="4">
        <v>45063</v>
      </c>
      <c r="T1026" s="4">
        <v>45072</v>
      </c>
      <c r="U1026" s="5">
        <f t="shared" si="47"/>
        <v>9</v>
      </c>
      <c r="V1026" s="5" t="s">
        <v>59</v>
      </c>
      <c r="X1026" s="5"/>
    </row>
    <row r="1027" spans="1:24">
      <c r="A1027" s="4">
        <v>45320</v>
      </c>
      <c r="B1027" s="5" t="str">
        <f t="shared" ref="B1027:B1090" si="48">TEXT(A1027,"mmmm")</f>
        <v>January</v>
      </c>
      <c r="C1027" s="5" t="s">
        <v>20</v>
      </c>
      <c r="D1027" s="5" t="s">
        <v>27</v>
      </c>
      <c r="E1027" s="5">
        <v>7</v>
      </c>
      <c r="F1027" s="5">
        <v>386.88</v>
      </c>
      <c r="G1027" s="6">
        <f t="shared" ref="G1027:G1090" si="49">F1027*E1027</f>
        <v>2708.16</v>
      </c>
      <c r="H1027" s="5" t="s">
        <v>53</v>
      </c>
      <c r="I1027" s="5" t="s">
        <v>54</v>
      </c>
      <c r="J1027" s="5">
        <v>0.05</v>
      </c>
      <c r="K1027" s="5" t="s">
        <v>78</v>
      </c>
      <c r="L1027" s="6">
        <v>2572.752</v>
      </c>
      <c r="M1027" s="5" t="s">
        <v>34</v>
      </c>
      <c r="N1027" s="5" t="s">
        <v>64</v>
      </c>
      <c r="O1027" s="5">
        <v>0</v>
      </c>
      <c r="P1027" s="5" t="s">
        <v>2064</v>
      </c>
      <c r="Q1027" s="5" t="s">
        <v>2065</v>
      </c>
      <c r="R1027" s="5">
        <v>38.46</v>
      </c>
      <c r="S1027" s="4">
        <v>45320</v>
      </c>
      <c r="T1027" s="4">
        <v>45322</v>
      </c>
      <c r="U1027" s="5">
        <f t="shared" ref="U1027:U1090" si="50">T1027-S1027</f>
        <v>2</v>
      </c>
      <c r="V1027" s="5" t="s">
        <v>94</v>
      </c>
      <c r="X1027" s="5"/>
    </row>
    <row r="1028" spans="1:24">
      <c r="A1028" s="4">
        <v>45786</v>
      </c>
      <c r="B1028" s="5" t="str">
        <f t="shared" si="48"/>
        <v>May</v>
      </c>
      <c r="C1028" s="5" t="s">
        <v>18</v>
      </c>
      <c r="D1028" s="5" t="s">
        <v>24</v>
      </c>
      <c r="E1028" s="5">
        <v>4</v>
      </c>
      <c r="F1028" s="5">
        <v>242.8</v>
      </c>
      <c r="G1028" s="6">
        <f t="shared" si="49"/>
        <v>971.2</v>
      </c>
      <c r="H1028" s="5" t="s">
        <v>81</v>
      </c>
      <c r="I1028" s="5" t="s">
        <v>54</v>
      </c>
      <c r="J1028" s="5">
        <v>0.05</v>
      </c>
      <c r="K1028" s="5" t="s">
        <v>82</v>
      </c>
      <c r="L1028" s="6">
        <v>922.64</v>
      </c>
      <c r="M1028" s="5" t="s">
        <v>33</v>
      </c>
      <c r="N1028" s="5" t="s">
        <v>56</v>
      </c>
      <c r="O1028" s="5">
        <v>0</v>
      </c>
      <c r="P1028" s="5" t="s">
        <v>2066</v>
      </c>
      <c r="Q1028" s="5" t="s">
        <v>2067</v>
      </c>
      <c r="R1028" s="5">
        <v>30.03</v>
      </c>
      <c r="S1028" s="4">
        <v>45786</v>
      </c>
      <c r="T1028" s="4">
        <v>45795</v>
      </c>
      <c r="U1028" s="5">
        <f t="shared" si="50"/>
        <v>9</v>
      </c>
      <c r="V1028" s="5" t="s">
        <v>72</v>
      </c>
      <c r="X1028" s="5"/>
    </row>
    <row r="1029" spans="1:24">
      <c r="A1029" s="4">
        <v>45387</v>
      </c>
      <c r="B1029" s="5" t="str">
        <f t="shared" si="48"/>
        <v>April</v>
      </c>
      <c r="C1029" s="5" t="s">
        <v>16</v>
      </c>
      <c r="D1029" s="5" t="s">
        <v>27</v>
      </c>
      <c r="E1029" s="5">
        <v>4</v>
      </c>
      <c r="F1029" s="5">
        <v>410.59</v>
      </c>
      <c r="G1029" s="6">
        <f t="shared" si="49"/>
        <v>1642.36</v>
      </c>
      <c r="H1029" s="5" t="s">
        <v>61</v>
      </c>
      <c r="I1029" s="5" t="s">
        <v>62</v>
      </c>
      <c r="J1029" s="5">
        <v>0</v>
      </c>
      <c r="K1029" s="5" t="s">
        <v>55</v>
      </c>
      <c r="L1029" s="6">
        <v>1642.36</v>
      </c>
      <c r="M1029" s="5" t="s">
        <v>34</v>
      </c>
      <c r="N1029" s="5"/>
      <c r="O1029" s="5">
        <v>0</v>
      </c>
      <c r="P1029" s="5" t="s">
        <v>2068</v>
      </c>
      <c r="Q1029" s="5" t="s">
        <v>2069</v>
      </c>
      <c r="R1029" s="5">
        <v>17.36</v>
      </c>
      <c r="S1029" s="4">
        <v>45387</v>
      </c>
      <c r="T1029" s="4">
        <v>45391</v>
      </c>
      <c r="U1029" s="5">
        <f t="shared" si="50"/>
        <v>4</v>
      </c>
      <c r="V1029" s="5" t="s">
        <v>59</v>
      </c>
      <c r="X1029" s="5"/>
    </row>
    <row r="1030" spans="1:24">
      <c r="A1030" s="4">
        <v>45505</v>
      </c>
      <c r="B1030" s="5" t="str">
        <f t="shared" si="48"/>
        <v>August</v>
      </c>
      <c r="C1030" s="5" t="s">
        <v>17</v>
      </c>
      <c r="D1030" s="5" t="s">
        <v>25</v>
      </c>
      <c r="E1030" s="5">
        <v>3</v>
      </c>
      <c r="F1030" s="5">
        <v>10.93</v>
      </c>
      <c r="G1030" s="6">
        <f t="shared" si="49"/>
        <v>32.79</v>
      </c>
      <c r="H1030" s="5" t="s">
        <v>81</v>
      </c>
      <c r="I1030" s="5" t="s">
        <v>54</v>
      </c>
      <c r="J1030" s="5">
        <v>0.15</v>
      </c>
      <c r="K1030" s="5" t="s">
        <v>55</v>
      </c>
      <c r="L1030" s="6">
        <v>27.8715</v>
      </c>
      <c r="M1030" s="5" t="s">
        <v>34</v>
      </c>
      <c r="N1030" s="5" t="s">
        <v>56</v>
      </c>
      <c r="O1030" s="5">
        <v>0</v>
      </c>
      <c r="P1030" s="5" t="s">
        <v>2070</v>
      </c>
      <c r="Q1030" s="5" t="s">
        <v>2071</v>
      </c>
      <c r="R1030" s="5">
        <v>19.01</v>
      </c>
      <c r="S1030" s="4">
        <v>45505</v>
      </c>
      <c r="T1030" s="4">
        <v>45514</v>
      </c>
      <c r="U1030" s="5">
        <f t="shared" si="50"/>
        <v>9</v>
      </c>
      <c r="V1030" s="5" t="s">
        <v>67</v>
      </c>
      <c r="X1030" s="5"/>
    </row>
    <row r="1031" spans="1:24">
      <c r="A1031" s="4">
        <v>45483</v>
      </c>
      <c r="B1031" s="5" t="str">
        <f t="shared" si="48"/>
        <v>July</v>
      </c>
      <c r="C1031" s="5" t="s">
        <v>17</v>
      </c>
      <c r="D1031" s="5" t="s">
        <v>25</v>
      </c>
      <c r="E1031" s="5">
        <v>20</v>
      </c>
      <c r="F1031" s="5">
        <v>150.16</v>
      </c>
      <c r="G1031" s="6">
        <f t="shared" si="49"/>
        <v>3003.2</v>
      </c>
      <c r="H1031" s="5" t="s">
        <v>77</v>
      </c>
      <c r="I1031" s="5" t="s">
        <v>54</v>
      </c>
      <c r="J1031" s="5">
        <v>0</v>
      </c>
      <c r="K1031" s="5" t="s">
        <v>89</v>
      </c>
      <c r="L1031" s="6">
        <v>3003.2</v>
      </c>
      <c r="M1031" s="5" t="s">
        <v>34</v>
      </c>
      <c r="N1031" s="5"/>
      <c r="O1031" s="5">
        <v>0</v>
      </c>
      <c r="P1031" s="5" t="s">
        <v>2072</v>
      </c>
      <c r="Q1031" s="5" t="s">
        <v>2073</v>
      </c>
      <c r="R1031" s="5">
        <v>41.66</v>
      </c>
      <c r="S1031" s="4">
        <v>45483</v>
      </c>
      <c r="T1031" s="4">
        <v>45485</v>
      </c>
      <c r="U1031" s="5">
        <f t="shared" si="50"/>
        <v>2</v>
      </c>
      <c r="V1031" s="5" t="s">
        <v>67</v>
      </c>
      <c r="X1031" s="5"/>
    </row>
    <row r="1032" spans="1:24">
      <c r="A1032" s="4">
        <v>45458</v>
      </c>
      <c r="B1032" s="5" t="str">
        <f t="shared" si="48"/>
        <v>June</v>
      </c>
      <c r="C1032" s="5" t="s">
        <v>16</v>
      </c>
      <c r="D1032" s="5" t="s">
        <v>25</v>
      </c>
      <c r="E1032" s="5">
        <v>1</v>
      </c>
      <c r="F1032" s="5">
        <v>394.41</v>
      </c>
      <c r="G1032" s="6">
        <f t="shared" si="49"/>
        <v>394.41</v>
      </c>
      <c r="H1032" s="5" t="s">
        <v>53</v>
      </c>
      <c r="I1032" s="5" t="s">
        <v>62</v>
      </c>
      <c r="J1032" s="5">
        <v>0.1</v>
      </c>
      <c r="K1032" s="5" t="s">
        <v>63</v>
      </c>
      <c r="L1032" s="6">
        <v>354.969</v>
      </c>
      <c r="M1032" s="5" t="s">
        <v>31</v>
      </c>
      <c r="N1032" s="5" t="s">
        <v>69</v>
      </c>
      <c r="O1032" s="5">
        <v>0</v>
      </c>
      <c r="P1032" s="5" t="s">
        <v>2074</v>
      </c>
      <c r="Q1032" s="5" t="s">
        <v>2075</v>
      </c>
      <c r="R1032" s="5">
        <v>6.37</v>
      </c>
      <c r="S1032" s="4">
        <v>45458</v>
      </c>
      <c r="T1032" s="4">
        <v>45463</v>
      </c>
      <c r="U1032" s="5">
        <f t="shared" si="50"/>
        <v>5</v>
      </c>
      <c r="V1032" s="5" t="s">
        <v>59</v>
      </c>
      <c r="X1032" s="5"/>
    </row>
    <row r="1033" spans="1:24">
      <c r="A1033" s="4">
        <v>45434</v>
      </c>
      <c r="B1033" s="5" t="str">
        <f t="shared" si="48"/>
        <v>May</v>
      </c>
      <c r="C1033" s="5" t="s">
        <v>16</v>
      </c>
      <c r="D1033" s="5" t="s">
        <v>26</v>
      </c>
      <c r="E1033" s="5">
        <v>6</v>
      </c>
      <c r="F1033" s="5">
        <v>535.38</v>
      </c>
      <c r="G1033" s="6">
        <f t="shared" si="49"/>
        <v>3212.28</v>
      </c>
      <c r="H1033" s="5" t="s">
        <v>77</v>
      </c>
      <c r="I1033" s="5" t="s">
        <v>54</v>
      </c>
      <c r="J1033" s="5">
        <v>0.15</v>
      </c>
      <c r="K1033" s="5" t="s">
        <v>63</v>
      </c>
      <c r="L1033" s="6">
        <v>2730.438</v>
      </c>
      <c r="M1033" s="5" t="s">
        <v>30</v>
      </c>
      <c r="N1033" s="5"/>
      <c r="O1033" s="5">
        <v>0</v>
      </c>
      <c r="P1033" s="5" t="s">
        <v>2076</v>
      </c>
      <c r="Q1033" s="5" t="s">
        <v>2077</v>
      </c>
      <c r="R1033" s="5">
        <v>48.66</v>
      </c>
      <c r="S1033" s="4">
        <v>45434</v>
      </c>
      <c r="T1033" s="4">
        <v>45441</v>
      </c>
      <c r="U1033" s="5">
        <f t="shared" si="50"/>
        <v>7</v>
      </c>
      <c r="V1033" s="5" t="s">
        <v>59</v>
      </c>
      <c r="X1033" s="5"/>
    </row>
    <row r="1034" spans="1:24">
      <c r="A1034" s="4">
        <v>45305</v>
      </c>
      <c r="B1034" s="5" t="str">
        <f t="shared" si="48"/>
        <v>January</v>
      </c>
      <c r="C1034" s="5" t="s">
        <v>16</v>
      </c>
      <c r="D1034" s="5" t="s">
        <v>26</v>
      </c>
      <c r="E1034" s="5">
        <v>19</v>
      </c>
      <c r="F1034" s="5">
        <v>407.82</v>
      </c>
      <c r="G1034" s="6">
        <f t="shared" si="49"/>
        <v>7748.58</v>
      </c>
      <c r="H1034" s="5" t="s">
        <v>81</v>
      </c>
      <c r="I1034" s="5" t="s">
        <v>62</v>
      </c>
      <c r="J1034" s="5">
        <v>0.05</v>
      </c>
      <c r="K1034" s="5" t="s">
        <v>82</v>
      </c>
      <c r="L1034" s="6">
        <v>7361.151</v>
      </c>
      <c r="M1034" s="5" t="s">
        <v>31</v>
      </c>
      <c r="N1034" s="5" t="s">
        <v>56</v>
      </c>
      <c r="O1034" s="5">
        <v>0</v>
      </c>
      <c r="P1034" s="5" t="s">
        <v>2078</v>
      </c>
      <c r="Q1034" s="5" t="s">
        <v>2079</v>
      </c>
      <c r="R1034" s="5">
        <v>38.98</v>
      </c>
      <c r="S1034" s="4">
        <v>45305</v>
      </c>
      <c r="T1034" s="4">
        <v>45309</v>
      </c>
      <c r="U1034" s="5">
        <f t="shared" si="50"/>
        <v>4</v>
      </c>
      <c r="V1034" s="5" t="s">
        <v>59</v>
      </c>
      <c r="X1034" s="5"/>
    </row>
    <row r="1035" spans="1:24">
      <c r="A1035" s="4">
        <v>45596</v>
      </c>
      <c r="B1035" s="5" t="str">
        <f t="shared" si="48"/>
        <v>October</v>
      </c>
      <c r="C1035" s="5" t="s">
        <v>18</v>
      </c>
      <c r="D1035" s="5" t="s">
        <v>101</v>
      </c>
      <c r="E1035" s="5">
        <v>16</v>
      </c>
      <c r="F1035" s="5">
        <v>120.83</v>
      </c>
      <c r="G1035" s="6">
        <f t="shared" si="49"/>
        <v>1933.28</v>
      </c>
      <c r="H1035" s="5" t="s">
        <v>53</v>
      </c>
      <c r="I1035" s="5" t="s">
        <v>62</v>
      </c>
      <c r="J1035" s="5">
        <v>0.05</v>
      </c>
      <c r="K1035" s="5" t="s">
        <v>78</v>
      </c>
      <c r="L1035" s="6">
        <v>1836.616</v>
      </c>
      <c r="M1035" s="5" t="s">
        <v>34</v>
      </c>
      <c r="N1035" s="5" t="s">
        <v>69</v>
      </c>
      <c r="O1035" s="5">
        <v>1</v>
      </c>
      <c r="P1035" s="5" t="s">
        <v>2080</v>
      </c>
      <c r="Q1035" s="5" t="s">
        <v>914</v>
      </c>
      <c r="R1035" s="5">
        <v>39.64</v>
      </c>
      <c r="S1035" s="4">
        <v>45596</v>
      </c>
      <c r="T1035" s="4">
        <v>45598</v>
      </c>
      <c r="U1035" s="5">
        <f t="shared" si="50"/>
        <v>2</v>
      </c>
      <c r="V1035" s="5" t="s">
        <v>72</v>
      </c>
      <c r="X1035" s="5"/>
    </row>
    <row r="1036" spans="1:24">
      <c r="A1036" s="4">
        <v>45405</v>
      </c>
      <c r="B1036" s="5" t="str">
        <f t="shared" si="48"/>
        <v>April</v>
      </c>
      <c r="C1036" s="5" t="s">
        <v>20</v>
      </c>
      <c r="D1036" s="5" t="s">
        <v>27</v>
      </c>
      <c r="E1036" s="5">
        <v>7</v>
      </c>
      <c r="F1036" s="5">
        <v>39.53</v>
      </c>
      <c r="G1036" s="6">
        <f t="shared" si="49"/>
        <v>276.71</v>
      </c>
      <c r="H1036" s="5" t="s">
        <v>81</v>
      </c>
      <c r="I1036" s="5" t="s">
        <v>62</v>
      </c>
      <c r="J1036" s="5">
        <v>0.1</v>
      </c>
      <c r="K1036" s="5" t="s">
        <v>78</v>
      </c>
      <c r="L1036" s="6">
        <v>249.039</v>
      </c>
      <c r="M1036" s="5" t="s">
        <v>33</v>
      </c>
      <c r="N1036" s="5" t="s">
        <v>69</v>
      </c>
      <c r="O1036" s="5">
        <v>0</v>
      </c>
      <c r="P1036" s="5" t="s">
        <v>2081</v>
      </c>
      <c r="Q1036" s="5" t="s">
        <v>2082</v>
      </c>
      <c r="R1036" s="5">
        <v>18.16</v>
      </c>
      <c r="S1036" s="4">
        <v>45405</v>
      </c>
      <c r="T1036" s="4">
        <v>45411</v>
      </c>
      <c r="U1036" s="5">
        <f t="shared" si="50"/>
        <v>6</v>
      </c>
      <c r="V1036" s="5" t="s">
        <v>94</v>
      </c>
      <c r="X1036" s="5"/>
    </row>
    <row r="1037" spans="1:24">
      <c r="A1037" s="4">
        <v>45091</v>
      </c>
      <c r="B1037" s="5" t="str">
        <f t="shared" si="48"/>
        <v>June</v>
      </c>
      <c r="C1037" s="5" t="s">
        <v>17</v>
      </c>
      <c r="D1037" s="5" t="s">
        <v>101</v>
      </c>
      <c r="E1037" s="5">
        <v>2</v>
      </c>
      <c r="F1037" s="5">
        <v>224.08</v>
      </c>
      <c r="G1037" s="6">
        <f t="shared" si="49"/>
        <v>448.16</v>
      </c>
      <c r="H1037" s="5" t="s">
        <v>61</v>
      </c>
      <c r="I1037" s="5" t="s">
        <v>62</v>
      </c>
      <c r="J1037" s="5">
        <v>0.05</v>
      </c>
      <c r="K1037" s="5" t="s">
        <v>73</v>
      </c>
      <c r="L1037" s="6">
        <v>425.752</v>
      </c>
      <c r="M1037" s="5" t="s">
        <v>32</v>
      </c>
      <c r="N1037" s="5" t="s">
        <v>69</v>
      </c>
      <c r="O1037" s="5">
        <v>0</v>
      </c>
      <c r="P1037" s="5" t="s">
        <v>2083</v>
      </c>
      <c r="Q1037" s="5" t="s">
        <v>2084</v>
      </c>
      <c r="R1037" s="5">
        <v>47.35</v>
      </c>
      <c r="S1037" s="4">
        <v>45091</v>
      </c>
      <c r="T1037" s="4">
        <v>45097</v>
      </c>
      <c r="U1037" s="5">
        <f t="shared" si="50"/>
        <v>6</v>
      </c>
      <c r="V1037" s="5" t="s">
        <v>67</v>
      </c>
      <c r="X1037" s="5"/>
    </row>
    <row r="1038" spans="1:24">
      <c r="A1038" s="4">
        <v>45350</v>
      </c>
      <c r="B1038" s="5" t="str">
        <f t="shared" si="48"/>
        <v>February</v>
      </c>
      <c r="C1038" s="5" t="s">
        <v>18</v>
      </c>
      <c r="D1038" s="5" t="s">
        <v>27</v>
      </c>
      <c r="E1038" s="5">
        <v>11</v>
      </c>
      <c r="F1038" s="5">
        <v>382.08</v>
      </c>
      <c r="G1038" s="6">
        <f t="shared" si="49"/>
        <v>4202.88</v>
      </c>
      <c r="H1038" s="5" t="s">
        <v>81</v>
      </c>
      <c r="I1038" s="5" t="s">
        <v>54</v>
      </c>
      <c r="J1038" s="5">
        <v>0.05</v>
      </c>
      <c r="K1038" s="5" t="s">
        <v>73</v>
      </c>
      <c r="L1038" s="6">
        <v>3992.736</v>
      </c>
      <c r="M1038" s="5" t="s">
        <v>34</v>
      </c>
      <c r="N1038" s="5" t="s">
        <v>69</v>
      </c>
      <c r="O1038" s="5">
        <v>0</v>
      </c>
      <c r="P1038" s="5" t="s">
        <v>2085</v>
      </c>
      <c r="Q1038" s="5" t="s">
        <v>2086</v>
      </c>
      <c r="R1038" s="5">
        <v>5.95</v>
      </c>
      <c r="S1038" s="4">
        <v>45350</v>
      </c>
      <c r="T1038" s="4">
        <v>45353</v>
      </c>
      <c r="U1038" s="5">
        <f t="shared" si="50"/>
        <v>3</v>
      </c>
      <c r="V1038" s="5" t="s">
        <v>72</v>
      </c>
      <c r="X1038" s="5"/>
    </row>
    <row r="1039" spans="1:24">
      <c r="A1039" s="4">
        <v>45462</v>
      </c>
      <c r="B1039" s="5" t="str">
        <f t="shared" si="48"/>
        <v>June</v>
      </c>
      <c r="C1039" s="5" t="s">
        <v>17</v>
      </c>
      <c r="D1039" s="5" t="s">
        <v>27</v>
      </c>
      <c r="E1039" s="5">
        <v>9</v>
      </c>
      <c r="F1039" s="5">
        <v>88.49</v>
      </c>
      <c r="G1039" s="6">
        <f t="shared" si="49"/>
        <v>796.41</v>
      </c>
      <c r="H1039" s="5" t="s">
        <v>81</v>
      </c>
      <c r="I1039" s="5" t="s">
        <v>54</v>
      </c>
      <c r="J1039" s="5">
        <v>0.05</v>
      </c>
      <c r="K1039" s="5" t="s">
        <v>82</v>
      </c>
      <c r="L1039" s="6">
        <v>756.5895</v>
      </c>
      <c r="M1039" s="5" t="s">
        <v>30</v>
      </c>
      <c r="N1039" s="5"/>
      <c r="O1039" s="5">
        <v>0</v>
      </c>
      <c r="P1039" s="5" t="s">
        <v>2087</v>
      </c>
      <c r="Q1039" s="5" t="s">
        <v>2088</v>
      </c>
      <c r="R1039" s="5">
        <v>35.6</v>
      </c>
      <c r="S1039" s="4">
        <v>45462</v>
      </c>
      <c r="T1039" s="4">
        <v>45469</v>
      </c>
      <c r="U1039" s="5">
        <f t="shared" si="50"/>
        <v>7</v>
      </c>
      <c r="V1039" s="5" t="s">
        <v>67</v>
      </c>
      <c r="X1039" s="5"/>
    </row>
    <row r="1040" spans="1:24">
      <c r="A1040" s="4">
        <v>45003</v>
      </c>
      <c r="B1040" s="5" t="str">
        <f t="shared" si="48"/>
        <v>March</v>
      </c>
      <c r="C1040" s="5" t="s">
        <v>19</v>
      </c>
      <c r="D1040" s="5" t="s">
        <v>101</v>
      </c>
      <c r="E1040" s="5">
        <v>20</v>
      </c>
      <c r="F1040" s="5">
        <v>139.1</v>
      </c>
      <c r="G1040" s="6">
        <f t="shared" si="49"/>
        <v>2782</v>
      </c>
      <c r="H1040" s="5" t="s">
        <v>77</v>
      </c>
      <c r="I1040" s="5" t="s">
        <v>54</v>
      </c>
      <c r="J1040" s="5">
        <v>0.05</v>
      </c>
      <c r="K1040" s="5" t="s">
        <v>78</v>
      </c>
      <c r="L1040" s="6">
        <v>2642.9</v>
      </c>
      <c r="M1040" s="5" t="s">
        <v>30</v>
      </c>
      <c r="N1040" s="5" t="s">
        <v>56</v>
      </c>
      <c r="O1040" s="5">
        <v>0</v>
      </c>
      <c r="P1040" s="5" t="s">
        <v>2089</v>
      </c>
      <c r="Q1040" s="5" t="s">
        <v>2090</v>
      </c>
      <c r="R1040" s="5">
        <v>30.22</v>
      </c>
      <c r="S1040" s="4">
        <v>45003</v>
      </c>
      <c r="T1040" s="4">
        <v>45005</v>
      </c>
      <c r="U1040" s="5">
        <f t="shared" si="50"/>
        <v>2</v>
      </c>
      <c r="V1040" s="5" t="s">
        <v>76</v>
      </c>
      <c r="X1040" s="5"/>
    </row>
    <row r="1041" spans="1:24">
      <c r="A1041" s="4">
        <v>45006</v>
      </c>
      <c r="B1041" s="5" t="str">
        <f t="shared" si="48"/>
        <v>March</v>
      </c>
      <c r="C1041" s="5" t="s">
        <v>20</v>
      </c>
      <c r="D1041" s="5" t="s">
        <v>24</v>
      </c>
      <c r="E1041" s="5">
        <v>19</v>
      </c>
      <c r="F1041" s="5">
        <v>322.35</v>
      </c>
      <c r="G1041" s="6">
        <f t="shared" si="49"/>
        <v>6124.65</v>
      </c>
      <c r="H1041" s="5" t="s">
        <v>81</v>
      </c>
      <c r="I1041" s="5" t="s">
        <v>54</v>
      </c>
      <c r="J1041" s="5">
        <v>0.1</v>
      </c>
      <c r="K1041" s="5" t="s">
        <v>63</v>
      </c>
      <c r="L1041" s="6">
        <v>5512.185</v>
      </c>
      <c r="M1041" s="5" t="s">
        <v>33</v>
      </c>
      <c r="N1041" s="5" t="s">
        <v>69</v>
      </c>
      <c r="O1041" s="5">
        <v>0</v>
      </c>
      <c r="P1041" s="5" t="s">
        <v>2091</v>
      </c>
      <c r="Q1041" s="5" t="s">
        <v>2092</v>
      </c>
      <c r="R1041" s="5">
        <v>30.06</v>
      </c>
      <c r="S1041" s="4">
        <v>45006</v>
      </c>
      <c r="T1041" s="4">
        <v>45016</v>
      </c>
      <c r="U1041" s="5">
        <f t="shared" si="50"/>
        <v>10</v>
      </c>
      <c r="V1041" s="5" t="s">
        <v>94</v>
      </c>
      <c r="X1041" s="5"/>
    </row>
    <row r="1042" spans="1:24">
      <c r="A1042" s="4">
        <v>45440</v>
      </c>
      <c r="B1042" s="5" t="str">
        <f t="shared" si="48"/>
        <v>May</v>
      </c>
      <c r="C1042" s="5" t="s">
        <v>16</v>
      </c>
      <c r="D1042" s="5" t="s">
        <v>27</v>
      </c>
      <c r="E1042" s="5">
        <v>16</v>
      </c>
      <c r="F1042" s="5">
        <v>334.55</v>
      </c>
      <c r="G1042" s="6">
        <f t="shared" si="49"/>
        <v>5352.8</v>
      </c>
      <c r="H1042" s="5" t="s">
        <v>53</v>
      </c>
      <c r="I1042" s="5" t="s">
        <v>54</v>
      </c>
      <c r="J1042" s="5">
        <v>0.1</v>
      </c>
      <c r="K1042" s="5" t="s">
        <v>55</v>
      </c>
      <c r="L1042" s="6">
        <v>4817.52</v>
      </c>
      <c r="M1042" s="5" t="s">
        <v>32</v>
      </c>
      <c r="N1042" s="5" t="s">
        <v>64</v>
      </c>
      <c r="O1042" s="5">
        <v>0</v>
      </c>
      <c r="P1042" s="5" t="s">
        <v>2093</v>
      </c>
      <c r="Q1042" s="5" t="s">
        <v>2094</v>
      </c>
      <c r="R1042" s="5">
        <v>37.42</v>
      </c>
      <c r="S1042" s="4">
        <v>45440</v>
      </c>
      <c r="T1042" s="4">
        <v>45444</v>
      </c>
      <c r="U1042" s="5">
        <f t="shared" si="50"/>
        <v>4</v>
      </c>
      <c r="V1042" s="5" t="s">
        <v>59</v>
      </c>
      <c r="X1042" s="5"/>
    </row>
    <row r="1043" spans="1:24">
      <c r="A1043" s="4">
        <v>45012</v>
      </c>
      <c r="B1043" s="5" t="str">
        <f t="shared" si="48"/>
        <v>March</v>
      </c>
      <c r="C1043" s="5" t="s">
        <v>20</v>
      </c>
      <c r="D1043" s="5" t="s">
        <v>24</v>
      </c>
      <c r="E1043" s="5">
        <v>20</v>
      </c>
      <c r="F1043" s="5">
        <v>332.48</v>
      </c>
      <c r="G1043" s="6">
        <f t="shared" si="49"/>
        <v>6649.6</v>
      </c>
      <c r="H1043" s="5" t="s">
        <v>53</v>
      </c>
      <c r="I1043" s="5" t="s">
        <v>54</v>
      </c>
      <c r="J1043" s="5">
        <v>0</v>
      </c>
      <c r="K1043" s="5" t="s">
        <v>55</v>
      </c>
      <c r="L1043" s="6">
        <v>6649.6</v>
      </c>
      <c r="M1043" s="5" t="s">
        <v>30</v>
      </c>
      <c r="N1043" s="5" t="s">
        <v>64</v>
      </c>
      <c r="O1043" s="5">
        <v>1</v>
      </c>
      <c r="P1043" s="5" t="s">
        <v>2095</v>
      </c>
      <c r="Q1043" s="5" t="s">
        <v>2096</v>
      </c>
      <c r="R1043" s="5">
        <v>7.79</v>
      </c>
      <c r="S1043" s="4">
        <v>45012</v>
      </c>
      <c r="T1043" s="4">
        <v>45015</v>
      </c>
      <c r="U1043" s="5">
        <f t="shared" si="50"/>
        <v>3</v>
      </c>
      <c r="V1043" s="5" t="s">
        <v>94</v>
      </c>
      <c r="X1043" s="5"/>
    </row>
    <row r="1044" spans="1:24">
      <c r="A1044" s="4">
        <v>45096</v>
      </c>
      <c r="B1044" s="5" t="str">
        <f t="shared" si="48"/>
        <v>June</v>
      </c>
      <c r="C1044" s="5" t="s">
        <v>19</v>
      </c>
      <c r="D1044" s="5" t="s">
        <v>27</v>
      </c>
      <c r="E1044" s="5">
        <v>1</v>
      </c>
      <c r="F1044" s="5">
        <v>123.4</v>
      </c>
      <c r="G1044" s="6">
        <f t="shared" si="49"/>
        <v>123.4</v>
      </c>
      <c r="H1044" s="5" t="s">
        <v>61</v>
      </c>
      <c r="I1044" s="5" t="s">
        <v>62</v>
      </c>
      <c r="J1044" s="5">
        <v>0</v>
      </c>
      <c r="K1044" s="5" t="s">
        <v>55</v>
      </c>
      <c r="L1044" s="6">
        <v>123.4</v>
      </c>
      <c r="M1044" s="5" t="s">
        <v>34</v>
      </c>
      <c r="N1044" s="5"/>
      <c r="O1044" s="5">
        <v>1</v>
      </c>
      <c r="P1044" s="5" t="s">
        <v>2097</v>
      </c>
      <c r="Q1044" s="5" t="s">
        <v>2098</v>
      </c>
      <c r="R1044" s="5">
        <v>12.63</v>
      </c>
      <c r="S1044" s="4">
        <v>45096</v>
      </c>
      <c r="T1044" s="4">
        <v>45102</v>
      </c>
      <c r="U1044" s="5">
        <f t="shared" si="50"/>
        <v>6</v>
      </c>
      <c r="V1044" s="5" t="s">
        <v>76</v>
      </c>
      <c r="X1044" s="5"/>
    </row>
    <row r="1045" spans="1:24">
      <c r="A1045" s="4">
        <v>45230</v>
      </c>
      <c r="B1045" s="5" t="str">
        <f t="shared" si="48"/>
        <v>October</v>
      </c>
      <c r="C1045" s="5" t="s">
        <v>17</v>
      </c>
      <c r="D1045" s="5" t="s">
        <v>22</v>
      </c>
      <c r="E1045" s="5">
        <v>3</v>
      </c>
      <c r="F1045" s="5">
        <v>88.26</v>
      </c>
      <c r="G1045" s="6">
        <f t="shared" si="49"/>
        <v>264.78</v>
      </c>
      <c r="H1045" s="5" t="s">
        <v>81</v>
      </c>
      <c r="I1045" s="5" t="s">
        <v>54</v>
      </c>
      <c r="J1045" s="5">
        <v>0.05</v>
      </c>
      <c r="K1045" s="5" t="s">
        <v>89</v>
      </c>
      <c r="L1045" s="6">
        <v>251.541</v>
      </c>
      <c r="M1045" s="5" t="s">
        <v>33</v>
      </c>
      <c r="N1045" s="5" t="s">
        <v>56</v>
      </c>
      <c r="O1045" s="5">
        <v>0</v>
      </c>
      <c r="P1045" s="5" t="s">
        <v>2099</v>
      </c>
      <c r="Q1045" s="5" t="s">
        <v>2100</v>
      </c>
      <c r="R1045" s="5">
        <v>46.45</v>
      </c>
      <c r="S1045" s="4">
        <v>45230</v>
      </c>
      <c r="T1045" s="4">
        <v>45237</v>
      </c>
      <c r="U1045" s="5">
        <f t="shared" si="50"/>
        <v>7</v>
      </c>
      <c r="V1045" s="5" t="s">
        <v>67</v>
      </c>
      <c r="X1045" s="5"/>
    </row>
    <row r="1046" spans="1:24">
      <c r="A1046" s="4">
        <v>45118</v>
      </c>
      <c r="B1046" s="5" t="str">
        <f t="shared" si="48"/>
        <v>July</v>
      </c>
      <c r="C1046" s="5" t="s">
        <v>20</v>
      </c>
      <c r="D1046" s="5" t="s">
        <v>23</v>
      </c>
      <c r="E1046" s="5">
        <v>13</v>
      </c>
      <c r="F1046" s="5">
        <v>50.51</v>
      </c>
      <c r="G1046" s="6">
        <f t="shared" si="49"/>
        <v>656.63</v>
      </c>
      <c r="H1046" s="5" t="s">
        <v>81</v>
      </c>
      <c r="I1046" s="5" t="s">
        <v>54</v>
      </c>
      <c r="J1046" s="5">
        <v>0.1</v>
      </c>
      <c r="K1046" s="5" t="s">
        <v>63</v>
      </c>
      <c r="L1046" s="6">
        <v>590.967</v>
      </c>
      <c r="M1046" s="5" t="s">
        <v>33</v>
      </c>
      <c r="N1046" s="5" t="s">
        <v>69</v>
      </c>
      <c r="O1046" s="5">
        <v>0</v>
      </c>
      <c r="P1046" s="5" t="s">
        <v>2101</v>
      </c>
      <c r="Q1046" s="5" t="s">
        <v>2102</v>
      </c>
      <c r="R1046" s="5">
        <v>40.57</v>
      </c>
      <c r="S1046" s="4">
        <v>45118</v>
      </c>
      <c r="T1046" s="4">
        <v>45125</v>
      </c>
      <c r="U1046" s="5">
        <f t="shared" si="50"/>
        <v>7</v>
      </c>
      <c r="V1046" s="5" t="s">
        <v>94</v>
      </c>
      <c r="X1046" s="5"/>
    </row>
    <row r="1047" spans="1:24">
      <c r="A1047" s="4">
        <v>45065</v>
      </c>
      <c r="B1047" s="5" t="str">
        <f t="shared" si="48"/>
        <v>May</v>
      </c>
      <c r="C1047" s="5" t="s">
        <v>17</v>
      </c>
      <c r="D1047" s="5" t="s">
        <v>26</v>
      </c>
      <c r="E1047" s="5">
        <v>11</v>
      </c>
      <c r="F1047" s="5">
        <v>237.99</v>
      </c>
      <c r="G1047" s="6">
        <f t="shared" si="49"/>
        <v>2617.89</v>
      </c>
      <c r="H1047" s="5" t="s">
        <v>81</v>
      </c>
      <c r="I1047" s="5" t="s">
        <v>54</v>
      </c>
      <c r="J1047" s="5">
        <v>0.05</v>
      </c>
      <c r="K1047" s="5" t="s">
        <v>89</v>
      </c>
      <c r="L1047" s="6">
        <v>2486.9955</v>
      </c>
      <c r="M1047" s="5" t="s">
        <v>33</v>
      </c>
      <c r="N1047" s="5" t="s">
        <v>56</v>
      </c>
      <c r="O1047" s="5">
        <v>0</v>
      </c>
      <c r="P1047" s="5" t="s">
        <v>2103</v>
      </c>
      <c r="Q1047" s="5" t="s">
        <v>2104</v>
      </c>
      <c r="R1047" s="5">
        <v>44.7</v>
      </c>
      <c r="S1047" s="4">
        <v>45065</v>
      </c>
      <c r="T1047" s="4">
        <v>45074</v>
      </c>
      <c r="U1047" s="5">
        <f t="shared" si="50"/>
        <v>9</v>
      </c>
      <c r="V1047" s="5" t="s">
        <v>67</v>
      </c>
      <c r="X1047" s="5"/>
    </row>
    <row r="1048" spans="1:24">
      <c r="A1048" s="4">
        <v>45143</v>
      </c>
      <c r="B1048" s="5" t="str">
        <f t="shared" si="48"/>
        <v>August</v>
      </c>
      <c r="C1048" s="5" t="s">
        <v>18</v>
      </c>
      <c r="D1048" s="5" t="s">
        <v>25</v>
      </c>
      <c r="E1048" s="5">
        <v>7</v>
      </c>
      <c r="F1048" s="5">
        <v>294.95</v>
      </c>
      <c r="G1048" s="6">
        <f t="shared" si="49"/>
        <v>2064.65</v>
      </c>
      <c r="H1048" s="5" t="s">
        <v>81</v>
      </c>
      <c r="I1048" s="5" t="s">
        <v>54</v>
      </c>
      <c r="J1048" s="5">
        <v>0</v>
      </c>
      <c r="K1048" s="5" t="s">
        <v>73</v>
      </c>
      <c r="L1048" s="6">
        <v>2064.65</v>
      </c>
      <c r="M1048" s="5" t="s">
        <v>30</v>
      </c>
      <c r="N1048" s="5" t="s">
        <v>56</v>
      </c>
      <c r="O1048" s="5">
        <v>0</v>
      </c>
      <c r="P1048" s="5" t="s">
        <v>2105</v>
      </c>
      <c r="Q1048" s="5" t="s">
        <v>2106</v>
      </c>
      <c r="R1048" s="5">
        <v>15.78</v>
      </c>
      <c r="S1048" s="4">
        <v>45143</v>
      </c>
      <c r="T1048" s="4">
        <v>45148</v>
      </c>
      <c r="U1048" s="5">
        <f t="shared" si="50"/>
        <v>5</v>
      </c>
      <c r="V1048" s="5" t="s">
        <v>72</v>
      </c>
      <c r="X1048" s="5"/>
    </row>
    <row r="1049" spans="1:24">
      <c r="A1049" s="4">
        <v>45009</v>
      </c>
      <c r="B1049" s="5" t="str">
        <f t="shared" si="48"/>
        <v>March</v>
      </c>
      <c r="C1049" s="5" t="s">
        <v>20</v>
      </c>
      <c r="D1049" s="5" t="s">
        <v>24</v>
      </c>
      <c r="E1049" s="5">
        <v>8</v>
      </c>
      <c r="F1049" s="5">
        <v>384.3</v>
      </c>
      <c r="G1049" s="6">
        <f t="shared" si="49"/>
        <v>3074.4</v>
      </c>
      <c r="H1049" s="5" t="s">
        <v>77</v>
      </c>
      <c r="I1049" s="5" t="s">
        <v>54</v>
      </c>
      <c r="J1049" s="5">
        <v>0.1</v>
      </c>
      <c r="K1049" s="5" t="s">
        <v>73</v>
      </c>
      <c r="L1049" s="6">
        <v>2766.96</v>
      </c>
      <c r="M1049" s="5" t="s">
        <v>31</v>
      </c>
      <c r="N1049" s="5" t="s">
        <v>56</v>
      </c>
      <c r="O1049" s="5">
        <v>0</v>
      </c>
      <c r="P1049" s="5" t="s">
        <v>2107</v>
      </c>
      <c r="Q1049" s="5" t="s">
        <v>321</v>
      </c>
      <c r="R1049" s="5">
        <v>48.83</v>
      </c>
      <c r="S1049" s="4">
        <v>45009</v>
      </c>
      <c r="T1049" s="4">
        <v>45019</v>
      </c>
      <c r="U1049" s="5">
        <f t="shared" si="50"/>
        <v>10</v>
      </c>
      <c r="V1049" s="5" t="s">
        <v>94</v>
      </c>
      <c r="X1049" s="5"/>
    </row>
    <row r="1050" spans="1:24">
      <c r="A1050" s="4">
        <v>45702</v>
      </c>
      <c r="B1050" s="5" t="str">
        <f t="shared" si="48"/>
        <v>February</v>
      </c>
      <c r="C1050" s="5" t="s">
        <v>20</v>
      </c>
      <c r="D1050" s="5" t="s">
        <v>26</v>
      </c>
      <c r="E1050" s="5">
        <v>1</v>
      </c>
      <c r="F1050" s="5">
        <v>378.35</v>
      </c>
      <c r="G1050" s="6">
        <f t="shared" si="49"/>
        <v>378.35</v>
      </c>
      <c r="H1050" s="5" t="s">
        <v>77</v>
      </c>
      <c r="I1050" s="5" t="s">
        <v>54</v>
      </c>
      <c r="J1050" s="5">
        <v>0.05</v>
      </c>
      <c r="K1050" s="5" t="s">
        <v>82</v>
      </c>
      <c r="L1050" s="6">
        <v>359.4325</v>
      </c>
      <c r="M1050" s="5" t="s">
        <v>34</v>
      </c>
      <c r="N1050" s="5" t="s">
        <v>56</v>
      </c>
      <c r="O1050" s="5">
        <v>0</v>
      </c>
      <c r="P1050" s="5" t="s">
        <v>2108</v>
      </c>
      <c r="Q1050" s="5" t="s">
        <v>1057</v>
      </c>
      <c r="R1050" s="5">
        <v>20.97</v>
      </c>
      <c r="S1050" s="4">
        <v>45702</v>
      </c>
      <c r="T1050" s="4">
        <v>45705</v>
      </c>
      <c r="U1050" s="5">
        <f t="shared" si="50"/>
        <v>3</v>
      </c>
      <c r="V1050" s="5" t="s">
        <v>94</v>
      </c>
      <c r="X1050" s="5"/>
    </row>
    <row r="1051" spans="1:24">
      <c r="A1051" s="4">
        <v>45640</v>
      </c>
      <c r="B1051" s="5" t="str">
        <f t="shared" si="48"/>
        <v>December</v>
      </c>
      <c r="C1051" s="5" t="s">
        <v>18</v>
      </c>
      <c r="D1051" s="5" t="s">
        <v>24</v>
      </c>
      <c r="E1051" s="5">
        <v>1</v>
      </c>
      <c r="F1051" s="5">
        <v>461.35</v>
      </c>
      <c r="G1051" s="6">
        <f t="shared" si="49"/>
        <v>461.35</v>
      </c>
      <c r="H1051" s="5" t="s">
        <v>81</v>
      </c>
      <c r="I1051" s="5" t="s">
        <v>62</v>
      </c>
      <c r="J1051" s="5">
        <v>0</v>
      </c>
      <c r="K1051" s="5" t="s">
        <v>89</v>
      </c>
      <c r="L1051" s="6">
        <v>461.35</v>
      </c>
      <c r="M1051" s="5" t="s">
        <v>33</v>
      </c>
      <c r="N1051" s="5" t="s">
        <v>56</v>
      </c>
      <c r="O1051" s="5">
        <v>1</v>
      </c>
      <c r="P1051" s="5" t="s">
        <v>2109</v>
      </c>
      <c r="Q1051" s="5" t="s">
        <v>2110</v>
      </c>
      <c r="R1051" s="5">
        <v>43.74</v>
      </c>
      <c r="S1051" s="4">
        <v>45640</v>
      </c>
      <c r="T1051" s="4">
        <v>45642</v>
      </c>
      <c r="U1051" s="5">
        <f t="shared" si="50"/>
        <v>2</v>
      </c>
      <c r="V1051" s="5" t="s">
        <v>72</v>
      </c>
      <c r="X1051" s="5"/>
    </row>
    <row r="1052" spans="1:24">
      <c r="A1052" s="4">
        <v>45105</v>
      </c>
      <c r="B1052" s="5" t="str">
        <f t="shared" si="48"/>
        <v>June</v>
      </c>
      <c r="C1052" s="5" t="s">
        <v>17</v>
      </c>
      <c r="D1052" s="5" t="s">
        <v>27</v>
      </c>
      <c r="E1052" s="5">
        <v>20</v>
      </c>
      <c r="F1052" s="5">
        <v>354.9</v>
      </c>
      <c r="G1052" s="6">
        <f t="shared" si="49"/>
        <v>7098</v>
      </c>
      <c r="H1052" s="5" t="s">
        <v>61</v>
      </c>
      <c r="I1052" s="5" t="s">
        <v>54</v>
      </c>
      <c r="J1052" s="5">
        <v>0</v>
      </c>
      <c r="K1052" s="5" t="s">
        <v>89</v>
      </c>
      <c r="L1052" s="6">
        <v>7098</v>
      </c>
      <c r="M1052" s="5" t="s">
        <v>31</v>
      </c>
      <c r="N1052" s="5" t="s">
        <v>69</v>
      </c>
      <c r="O1052" s="5">
        <v>0</v>
      </c>
      <c r="P1052" s="5" t="s">
        <v>2111</v>
      </c>
      <c r="Q1052" s="5" t="s">
        <v>2112</v>
      </c>
      <c r="R1052" s="5">
        <v>43.24</v>
      </c>
      <c r="S1052" s="4">
        <v>45105</v>
      </c>
      <c r="T1052" s="4">
        <v>45108</v>
      </c>
      <c r="U1052" s="5">
        <f t="shared" si="50"/>
        <v>3</v>
      </c>
      <c r="V1052" s="5" t="s">
        <v>67</v>
      </c>
      <c r="X1052" s="5"/>
    </row>
    <row r="1053" spans="1:24">
      <c r="A1053" s="4">
        <v>44950</v>
      </c>
      <c r="B1053" s="5" t="str">
        <f t="shared" si="48"/>
        <v>January</v>
      </c>
      <c r="C1053" s="5" t="s">
        <v>20</v>
      </c>
      <c r="D1053" s="5" t="s">
        <v>24</v>
      </c>
      <c r="E1053" s="5">
        <v>7</v>
      </c>
      <c r="F1053" s="5">
        <v>438.41</v>
      </c>
      <c r="G1053" s="6">
        <f t="shared" si="49"/>
        <v>3068.87</v>
      </c>
      <c r="H1053" s="5" t="s">
        <v>77</v>
      </c>
      <c r="I1053" s="5" t="s">
        <v>62</v>
      </c>
      <c r="J1053" s="5">
        <v>0.1</v>
      </c>
      <c r="K1053" s="5" t="s">
        <v>82</v>
      </c>
      <c r="L1053" s="6">
        <v>2761.983</v>
      </c>
      <c r="M1053" s="5" t="s">
        <v>33</v>
      </c>
      <c r="N1053" s="5" t="s">
        <v>64</v>
      </c>
      <c r="O1053" s="5">
        <v>1</v>
      </c>
      <c r="P1053" s="5" t="s">
        <v>2113</v>
      </c>
      <c r="Q1053" s="5" t="s">
        <v>2114</v>
      </c>
      <c r="R1053" s="5">
        <v>47.77</v>
      </c>
      <c r="S1053" s="4">
        <v>44950</v>
      </c>
      <c r="T1053" s="4">
        <v>44954</v>
      </c>
      <c r="U1053" s="5">
        <f t="shared" si="50"/>
        <v>4</v>
      </c>
      <c r="V1053" s="5" t="s">
        <v>94</v>
      </c>
      <c r="X1053" s="5"/>
    </row>
    <row r="1054" spans="1:24">
      <c r="A1054" s="4">
        <v>45464</v>
      </c>
      <c r="B1054" s="5" t="str">
        <f t="shared" si="48"/>
        <v>June</v>
      </c>
      <c r="C1054" s="5" t="s">
        <v>19</v>
      </c>
      <c r="D1054" s="5" t="s">
        <v>101</v>
      </c>
      <c r="E1054" s="5">
        <v>14</v>
      </c>
      <c r="F1054" s="5">
        <v>542.6</v>
      </c>
      <c r="G1054" s="6">
        <f t="shared" si="49"/>
        <v>7596.4</v>
      </c>
      <c r="H1054" s="5" t="s">
        <v>77</v>
      </c>
      <c r="I1054" s="5" t="s">
        <v>62</v>
      </c>
      <c r="J1054" s="5">
        <v>0.05</v>
      </c>
      <c r="K1054" s="5" t="s">
        <v>55</v>
      </c>
      <c r="L1054" s="6">
        <v>7216.58</v>
      </c>
      <c r="M1054" s="5" t="s">
        <v>33</v>
      </c>
      <c r="N1054" s="5"/>
      <c r="O1054" s="5">
        <v>0</v>
      </c>
      <c r="P1054" s="5" t="s">
        <v>2115</v>
      </c>
      <c r="Q1054" s="5" t="s">
        <v>954</v>
      </c>
      <c r="R1054" s="5">
        <v>44.76</v>
      </c>
      <c r="S1054" s="4">
        <v>45464</v>
      </c>
      <c r="T1054" s="4">
        <v>45473</v>
      </c>
      <c r="U1054" s="5">
        <f t="shared" si="50"/>
        <v>9</v>
      </c>
      <c r="V1054" s="5" t="s">
        <v>76</v>
      </c>
      <c r="X1054" s="5"/>
    </row>
    <row r="1055" spans="1:24">
      <c r="A1055" s="4">
        <v>45756</v>
      </c>
      <c r="B1055" s="5" t="str">
        <f t="shared" si="48"/>
        <v>April</v>
      </c>
      <c r="C1055" s="5" t="s">
        <v>18</v>
      </c>
      <c r="D1055" s="5" t="s">
        <v>27</v>
      </c>
      <c r="E1055" s="5">
        <v>3</v>
      </c>
      <c r="F1055" s="5">
        <v>238.82</v>
      </c>
      <c r="G1055" s="6">
        <f t="shared" si="49"/>
        <v>716.46</v>
      </c>
      <c r="H1055" s="5" t="s">
        <v>77</v>
      </c>
      <c r="I1055" s="5" t="s">
        <v>62</v>
      </c>
      <c r="J1055" s="5">
        <v>0.1</v>
      </c>
      <c r="K1055" s="5" t="s">
        <v>89</v>
      </c>
      <c r="L1055" s="6">
        <v>644.814</v>
      </c>
      <c r="M1055" s="5" t="s">
        <v>31</v>
      </c>
      <c r="N1055" s="5" t="s">
        <v>69</v>
      </c>
      <c r="O1055" s="5">
        <v>0</v>
      </c>
      <c r="P1055" s="5" t="s">
        <v>2116</v>
      </c>
      <c r="Q1055" s="5" t="s">
        <v>2117</v>
      </c>
      <c r="R1055" s="5">
        <v>37.07</v>
      </c>
      <c r="S1055" s="4">
        <v>45756</v>
      </c>
      <c r="T1055" s="4">
        <v>45765</v>
      </c>
      <c r="U1055" s="5">
        <f t="shared" si="50"/>
        <v>9</v>
      </c>
      <c r="V1055" s="5" t="s">
        <v>72</v>
      </c>
      <c r="X1055" s="5"/>
    </row>
    <row r="1056" spans="1:24">
      <c r="A1056" s="4">
        <v>45668</v>
      </c>
      <c r="B1056" s="5" t="str">
        <f t="shared" si="48"/>
        <v>January</v>
      </c>
      <c r="C1056" s="5" t="s">
        <v>18</v>
      </c>
      <c r="D1056" s="5" t="s">
        <v>101</v>
      </c>
      <c r="E1056" s="5">
        <v>16</v>
      </c>
      <c r="F1056" s="5">
        <v>332.19</v>
      </c>
      <c r="G1056" s="6">
        <f t="shared" si="49"/>
        <v>5315.04</v>
      </c>
      <c r="H1056" s="5" t="s">
        <v>77</v>
      </c>
      <c r="I1056" s="5" t="s">
        <v>62</v>
      </c>
      <c r="J1056" s="5">
        <v>0.1</v>
      </c>
      <c r="K1056" s="5" t="s">
        <v>55</v>
      </c>
      <c r="L1056" s="6">
        <v>4783.536</v>
      </c>
      <c r="M1056" s="5" t="s">
        <v>32</v>
      </c>
      <c r="N1056" s="5" t="s">
        <v>64</v>
      </c>
      <c r="O1056" s="5">
        <v>1</v>
      </c>
      <c r="P1056" s="5" t="s">
        <v>2118</v>
      </c>
      <c r="Q1056" s="5" t="s">
        <v>2119</v>
      </c>
      <c r="R1056" s="5">
        <v>34.97</v>
      </c>
      <c r="S1056" s="4">
        <v>45668</v>
      </c>
      <c r="T1056" s="4">
        <v>45676</v>
      </c>
      <c r="U1056" s="5">
        <f t="shared" si="50"/>
        <v>8</v>
      </c>
      <c r="V1056" s="5" t="s">
        <v>72</v>
      </c>
      <c r="X1056" s="5"/>
    </row>
    <row r="1057" spans="1:24">
      <c r="A1057" s="4">
        <v>45486</v>
      </c>
      <c r="B1057" s="5" t="str">
        <f t="shared" si="48"/>
        <v>July</v>
      </c>
      <c r="C1057" s="5" t="s">
        <v>19</v>
      </c>
      <c r="D1057" s="5" t="s">
        <v>27</v>
      </c>
      <c r="E1057" s="5">
        <v>9</v>
      </c>
      <c r="F1057" s="5">
        <v>454.6</v>
      </c>
      <c r="G1057" s="6">
        <f t="shared" si="49"/>
        <v>4091.4</v>
      </c>
      <c r="H1057" s="5" t="s">
        <v>81</v>
      </c>
      <c r="I1057" s="5" t="s">
        <v>54</v>
      </c>
      <c r="J1057" s="5">
        <v>0.05</v>
      </c>
      <c r="K1057" s="5" t="s">
        <v>78</v>
      </c>
      <c r="L1057" s="6">
        <v>3886.83</v>
      </c>
      <c r="M1057" s="5" t="s">
        <v>33</v>
      </c>
      <c r="N1057" s="5"/>
      <c r="O1057" s="5">
        <v>0</v>
      </c>
      <c r="P1057" s="5" t="s">
        <v>2120</v>
      </c>
      <c r="Q1057" s="5" t="s">
        <v>2121</v>
      </c>
      <c r="R1057" s="5">
        <v>32.86</v>
      </c>
      <c r="S1057" s="4">
        <v>45486</v>
      </c>
      <c r="T1057" s="4">
        <v>45493</v>
      </c>
      <c r="U1057" s="5">
        <f t="shared" si="50"/>
        <v>7</v>
      </c>
      <c r="V1057" s="5" t="s">
        <v>76</v>
      </c>
      <c r="X1057" s="5"/>
    </row>
    <row r="1058" spans="1:24">
      <c r="A1058" s="4">
        <v>45661</v>
      </c>
      <c r="B1058" s="5" t="str">
        <f t="shared" si="48"/>
        <v>January</v>
      </c>
      <c r="C1058" s="5" t="s">
        <v>20</v>
      </c>
      <c r="D1058" s="5" t="s">
        <v>27</v>
      </c>
      <c r="E1058" s="5">
        <v>6</v>
      </c>
      <c r="F1058" s="5">
        <v>540.54</v>
      </c>
      <c r="G1058" s="6">
        <f t="shared" si="49"/>
        <v>3243.24</v>
      </c>
      <c r="H1058" s="5" t="s">
        <v>61</v>
      </c>
      <c r="I1058" s="5" t="s">
        <v>62</v>
      </c>
      <c r="J1058" s="5">
        <v>0.05</v>
      </c>
      <c r="K1058" s="5" t="s">
        <v>78</v>
      </c>
      <c r="L1058" s="6">
        <v>3081.078</v>
      </c>
      <c r="M1058" s="5" t="s">
        <v>33</v>
      </c>
      <c r="N1058" s="5" t="s">
        <v>64</v>
      </c>
      <c r="O1058" s="5">
        <v>0</v>
      </c>
      <c r="P1058" s="5" t="s">
        <v>2122</v>
      </c>
      <c r="Q1058" s="5" t="s">
        <v>2123</v>
      </c>
      <c r="R1058" s="5">
        <v>19.77</v>
      </c>
      <c r="S1058" s="4">
        <v>45661</v>
      </c>
      <c r="T1058" s="4">
        <v>45667</v>
      </c>
      <c r="U1058" s="5">
        <f t="shared" si="50"/>
        <v>6</v>
      </c>
      <c r="V1058" s="5" t="s">
        <v>94</v>
      </c>
      <c r="X1058" s="5"/>
    </row>
    <row r="1059" spans="1:24">
      <c r="A1059" s="4">
        <v>45224</v>
      </c>
      <c r="B1059" s="5" t="str">
        <f t="shared" si="48"/>
        <v>October</v>
      </c>
      <c r="C1059" s="5" t="s">
        <v>20</v>
      </c>
      <c r="D1059" s="5" t="s">
        <v>24</v>
      </c>
      <c r="E1059" s="5">
        <v>14</v>
      </c>
      <c r="F1059" s="5">
        <v>147.37</v>
      </c>
      <c r="G1059" s="6">
        <f t="shared" si="49"/>
        <v>2063.18</v>
      </c>
      <c r="H1059" s="5" t="s">
        <v>81</v>
      </c>
      <c r="I1059" s="5" t="s">
        <v>54</v>
      </c>
      <c r="J1059" s="5">
        <v>0.15</v>
      </c>
      <c r="K1059" s="5" t="s">
        <v>73</v>
      </c>
      <c r="L1059" s="6">
        <v>1753.703</v>
      </c>
      <c r="M1059" s="5" t="s">
        <v>33</v>
      </c>
      <c r="N1059" s="5" t="s">
        <v>69</v>
      </c>
      <c r="O1059" s="5">
        <v>1</v>
      </c>
      <c r="P1059" s="5" t="s">
        <v>2124</v>
      </c>
      <c r="Q1059" s="5" t="s">
        <v>2125</v>
      </c>
      <c r="R1059" s="5">
        <v>45.75</v>
      </c>
      <c r="S1059" s="4">
        <v>45224</v>
      </c>
      <c r="T1059" s="4">
        <v>45230</v>
      </c>
      <c r="U1059" s="5">
        <f t="shared" si="50"/>
        <v>6</v>
      </c>
      <c r="V1059" s="5" t="s">
        <v>94</v>
      </c>
      <c r="X1059" s="5"/>
    </row>
    <row r="1060" spans="1:24">
      <c r="A1060" s="4">
        <v>45199</v>
      </c>
      <c r="B1060" s="5" t="str">
        <f t="shared" si="48"/>
        <v>September</v>
      </c>
      <c r="C1060" s="5" t="s">
        <v>17</v>
      </c>
      <c r="D1060" s="5" t="s">
        <v>22</v>
      </c>
      <c r="E1060" s="5">
        <v>7</v>
      </c>
      <c r="F1060" s="5">
        <v>421.12</v>
      </c>
      <c r="G1060" s="6">
        <f t="shared" si="49"/>
        <v>2947.84</v>
      </c>
      <c r="H1060" s="5" t="s">
        <v>81</v>
      </c>
      <c r="I1060" s="5" t="s">
        <v>54</v>
      </c>
      <c r="J1060" s="5">
        <v>0.15</v>
      </c>
      <c r="K1060" s="5" t="s">
        <v>82</v>
      </c>
      <c r="L1060" s="6">
        <v>2505.664</v>
      </c>
      <c r="M1060" s="5" t="s">
        <v>31</v>
      </c>
      <c r="N1060" s="5"/>
      <c r="O1060" s="5">
        <v>0</v>
      </c>
      <c r="P1060" s="5" t="s">
        <v>2126</v>
      </c>
      <c r="Q1060" s="5" t="s">
        <v>2127</v>
      </c>
      <c r="R1060" s="5">
        <v>44.49</v>
      </c>
      <c r="S1060" s="4">
        <v>45199</v>
      </c>
      <c r="T1060" s="4">
        <v>45201</v>
      </c>
      <c r="U1060" s="5">
        <f t="shared" si="50"/>
        <v>2</v>
      </c>
      <c r="V1060" s="5" t="s">
        <v>67</v>
      </c>
      <c r="X1060" s="5"/>
    </row>
    <row r="1061" spans="1:24">
      <c r="A1061" s="4">
        <v>45001</v>
      </c>
      <c r="B1061" s="5" t="str">
        <f t="shared" si="48"/>
        <v>March</v>
      </c>
      <c r="C1061" s="5" t="s">
        <v>18</v>
      </c>
      <c r="D1061" s="5" t="s">
        <v>23</v>
      </c>
      <c r="E1061" s="5">
        <v>20</v>
      </c>
      <c r="F1061" s="5">
        <v>436.32</v>
      </c>
      <c r="G1061" s="6">
        <f t="shared" si="49"/>
        <v>8726.4</v>
      </c>
      <c r="H1061" s="5" t="s">
        <v>81</v>
      </c>
      <c r="I1061" s="5" t="s">
        <v>62</v>
      </c>
      <c r="J1061" s="5">
        <v>0</v>
      </c>
      <c r="K1061" s="5" t="s">
        <v>82</v>
      </c>
      <c r="L1061" s="6">
        <v>8726.4</v>
      </c>
      <c r="M1061" s="5" t="s">
        <v>32</v>
      </c>
      <c r="N1061" s="5" t="s">
        <v>56</v>
      </c>
      <c r="O1061" s="5">
        <v>1</v>
      </c>
      <c r="P1061" s="5" t="s">
        <v>2128</v>
      </c>
      <c r="Q1061" s="5" t="s">
        <v>2129</v>
      </c>
      <c r="R1061" s="5">
        <v>37.49</v>
      </c>
      <c r="S1061" s="4">
        <v>45001</v>
      </c>
      <c r="T1061" s="4">
        <v>45011</v>
      </c>
      <c r="U1061" s="5">
        <f t="shared" si="50"/>
        <v>10</v>
      </c>
      <c r="V1061" s="5" t="s">
        <v>72</v>
      </c>
      <c r="X1061" s="5"/>
    </row>
    <row r="1062" spans="1:24">
      <c r="A1062" s="4">
        <v>45133</v>
      </c>
      <c r="B1062" s="5" t="str">
        <f t="shared" si="48"/>
        <v>July</v>
      </c>
      <c r="C1062" s="5" t="s">
        <v>18</v>
      </c>
      <c r="D1062" s="5" t="s">
        <v>22</v>
      </c>
      <c r="E1062" s="5">
        <v>18</v>
      </c>
      <c r="F1062" s="5">
        <v>436.83</v>
      </c>
      <c r="G1062" s="6">
        <f t="shared" si="49"/>
        <v>7862.94</v>
      </c>
      <c r="H1062" s="5" t="s">
        <v>61</v>
      </c>
      <c r="I1062" s="5" t="s">
        <v>54</v>
      </c>
      <c r="J1062" s="5">
        <v>0.1</v>
      </c>
      <c r="K1062" s="5" t="s">
        <v>89</v>
      </c>
      <c r="L1062" s="6">
        <v>7076.646</v>
      </c>
      <c r="M1062" s="5" t="s">
        <v>32</v>
      </c>
      <c r="N1062" s="5" t="s">
        <v>64</v>
      </c>
      <c r="O1062" s="5">
        <v>0</v>
      </c>
      <c r="P1062" s="5" t="s">
        <v>2130</v>
      </c>
      <c r="Q1062" s="5" t="s">
        <v>1175</v>
      </c>
      <c r="R1062" s="5">
        <v>28.8</v>
      </c>
      <c r="S1062" s="4">
        <v>45133</v>
      </c>
      <c r="T1062" s="4">
        <v>45140</v>
      </c>
      <c r="U1062" s="5">
        <f t="shared" si="50"/>
        <v>7</v>
      </c>
      <c r="V1062" s="5" t="s">
        <v>72</v>
      </c>
      <c r="X1062" s="5"/>
    </row>
    <row r="1063" spans="1:24">
      <c r="A1063" s="4">
        <v>45117</v>
      </c>
      <c r="B1063" s="5" t="str">
        <f t="shared" si="48"/>
        <v>July</v>
      </c>
      <c r="C1063" s="5" t="s">
        <v>16</v>
      </c>
      <c r="D1063" s="5" t="s">
        <v>26</v>
      </c>
      <c r="E1063" s="5">
        <v>2</v>
      </c>
      <c r="F1063" s="5">
        <v>327.57</v>
      </c>
      <c r="G1063" s="6">
        <f t="shared" si="49"/>
        <v>655.14</v>
      </c>
      <c r="H1063" s="5" t="s">
        <v>61</v>
      </c>
      <c r="I1063" s="5" t="s">
        <v>62</v>
      </c>
      <c r="J1063" s="5">
        <v>0.05</v>
      </c>
      <c r="K1063" s="5" t="s">
        <v>82</v>
      </c>
      <c r="L1063" s="6">
        <v>622.383</v>
      </c>
      <c r="M1063" s="5" t="s">
        <v>33</v>
      </c>
      <c r="N1063" s="5"/>
      <c r="O1063" s="5">
        <v>0</v>
      </c>
      <c r="P1063" s="5" t="s">
        <v>2131</v>
      </c>
      <c r="Q1063" s="5" t="s">
        <v>2132</v>
      </c>
      <c r="R1063" s="5">
        <v>19.49</v>
      </c>
      <c r="S1063" s="4">
        <v>45117</v>
      </c>
      <c r="T1063" s="4">
        <v>45126</v>
      </c>
      <c r="U1063" s="5">
        <f t="shared" si="50"/>
        <v>9</v>
      </c>
      <c r="V1063" s="5" t="s">
        <v>59</v>
      </c>
      <c r="X1063" s="5"/>
    </row>
    <row r="1064" spans="1:24">
      <c r="A1064" s="4">
        <v>45510</v>
      </c>
      <c r="B1064" s="5" t="str">
        <f t="shared" si="48"/>
        <v>August</v>
      </c>
      <c r="C1064" s="5" t="s">
        <v>16</v>
      </c>
      <c r="D1064" s="5" t="s">
        <v>27</v>
      </c>
      <c r="E1064" s="5">
        <v>18</v>
      </c>
      <c r="F1064" s="5">
        <v>166.92</v>
      </c>
      <c r="G1064" s="6">
        <f t="shared" si="49"/>
        <v>3004.56</v>
      </c>
      <c r="H1064" s="5" t="s">
        <v>77</v>
      </c>
      <c r="I1064" s="5" t="s">
        <v>54</v>
      </c>
      <c r="J1064" s="5">
        <v>0.05</v>
      </c>
      <c r="K1064" s="5" t="s">
        <v>63</v>
      </c>
      <c r="L1064" s="6">
        <v>2854.332</v>
      </c>
      <c r="M1064" s="5" t="s">
        <v>31</v>
      </c>
      <c r="N1064" s="5" t="s">
        <v>69</v>
      </c>
      <c r="O1064" s="5">
        <v>0</v>
      </c>
      <c r="P1064" s="5" t="s">
        <v>2133</v>
      </c>
      <c r="Q1064" s="5" t="s">
        <v>2134</v>
      </c>
      <c r="R1064" s="5">
        <v>9.35</v>
      </c>
      <c r="S1064" s="4">
        <v>45510</v>
      </c>
      <c r="T1064" s="4">
        <v>45520</v>
      </c>
      <c r="U1064" s="5">
        <f t="shared" si="50"/>
        <v>10</v>
      </c>
      <c r="V1064" s="5" t="s">
        <v>59</v>
      </c>
      <c r="X1064" s="5"/>
    </row>
    <row r="1065" spans="1:24">
      <c r="A1065" s="4">
        <v>45489</v>
      </c>
      <c r="B1065" s="5" t="str">
        <f t="shared" si="48"/>
        <v>July</v>
      </c>
      <c r="C1065" s="5" t="s">
        <v>19</v>
      </c>
      <c r="D1065" s="5" t="s">
        <v>23</v>
      </c>
      <c r="E1065" s="5">
        <v>14</v>
      </c>
      <c r="F1065" s="5">
        <v>300.38</v>
      </c>
      <c r="G1065" s="6">
        <f t="shared" si="49"/>
        <v>4205.32</v>
      </c>
      <c r="H1065" s="5" t="s">
        <v>61</v>
      </c>
      <c r="I1065" s="5" t="s">
        <v>62</v>
      </c>
      <c r="J1065" s="5">
        <v>0.1</v>
      </c>
      <c r="K1065" s="5" t="s">
        <v>63</v>
      </c>
      <c r="L1065" s="6">
        <v>3784.788</v>
      </c>
      <c r="M1065" s="5" t="s">
        <v>30</v>
      </c>
      <c r="N1065" s="5"/>
      <c r="O1065" s="5">
        <v>0</v>
      </c>
      <c r="P1065" s="5" t="s">
        <v>2135</v>
      </c>
      <c r="Q1065" s="5" t="s">
        <v>2136</v>
      </c>
      <c r="R1065" s="5">
        <v>38.6</v>
      </c>
      <c r="S1065" s="4">
        <v>45489</v>
      </c>
      <c r="T1065" s="4">
        <v>45492</v>
      </c>
      <c r="U1065" s="5">
        <f t="shared" si="50"/>
        <v>3</v>
      </c>
      <c r="V1065" s="5" t="s">
        <v>76</v>
      </c>
      <c r="X1065" s="5"/>
    </row>
    <row r="1066" spans="1:24">
      <c r="A1066" s="4">
        <v>45322</v>
      </c>
      <c r="B1066" s="5" t="str">
        <f t="shared" si="48"/>
        <v>January</v>
      </c>
      <c r="C1066" s="5" t="s">
        <v>18</v>
      </c>
      <c r="D1066" s="5" t="s">
        <v>27</v>
      </c>
      <c r="E1066" s="5">
        <v>5</v>
      </c>
      <c r="F1066" s="5">
        <v>232.29</v>
      </c>
      <c r="G1066" s="6">
        <f t="shared" si="49"/>
        <v>1161.45</v>
      </c>
      <c r="H1066" s="5" t="s">
        <v>61</v>
      </c>
      <c r="I1066" s="5" t="s">
        <v>54</v>
      </c>
      <c r="J1066" s="5">
        <v>0</v>
      </c>
      <c r="K1066" s="5" t="s">
        <v>63</v>
      </c>
      <c r="L1066" s="6">
        <v>1161.45</v>
      </c>
      <c r="M1066" s="5" t="s">
        <v>30</v>
      </c>
      <c r="N1066" s="5"/>
      <c r="O1066" s="5">
        <v>1</v>
      </c>
      <c r="P1066" s="5" t="s">
        <v>2137</v>
      </c>
      <c r="Q1066" s="5" t="s">
        <v>2138</v>
      </c>
      <c r="R1066" s="5">
        <v>42.38</v>
      </c>
      <c r="S1066" s="4">
        <v>45322</v>
      </c>
      <c r="T1066" s="4">
        <v>45331</v>
      </c>
      <c r="U1066" s="5">
        <f t="shared" si="50"/>
        <v>9</v>
      </c>
      <c r="V1066" s="5" t="s">
        <v>72</v>
      </c>
      <c r="X1066" s="5"/>
    </row>
    <row r="1067" spans="1:24">
      <c r="A1067" s="4">
        <v>45038</v>
      </c>
      <c r="B1067" s="5" t="str">
        <f t="shared" si="48"/>
        <v>April</v>
      </c>
      <c r="C1067" s="5" t="s">
        <v>19</v>
      </c>
      <c r="D1067" s="5" t="s">
        <v>101</v>
      </c>
      <c r="E1067" s="5">
        <v>1</v>
      </c>
      <c r="F1067" s="5">
        <v>173.44</v>
      </c>
      <c r="G1067" s="6">
        <f t="shared" si="49"/>
        <v>173.44</v>
      </c>
      <c r="H1067" s="5" t="s">
        <v>61</v>
      </c>
      <c r="I1067" s="5" t="s">
        <v>62</v>
      </c>
      <c r="J1067" s="5">
        <v>0</v>
      </c>
      <c r="K1067" s="5" t="s">
        <v>89</v>
      </c>
      <c r="L1067" s="6">
        <v>173.44</v>
      </c>
      <c r="M1067" s="5" t="s">
        <v>31</v>
      </c>
      <c r="N1067" s="5" t="s">
        <v>56</v>
      </c>
      <c r="O1067" s="5">
        <v>0</v>
      </c>
      <c r="P1067" s="5" t="s">
        <v>2139</v>
      </c>
      <c r="Q1067" s="5" t="s">
        <v>2140</v>
      </c>
      <c r="R1067" s="5">
        <v>32.83</v>
      </c>
      <c r="S1067" s="4">
        <v>45038</v>
      </c>
      <c r="T1067" s="4">
        <v>45040</v>
      </c>
      <c r="U1067" s="5">
        <f t="shared" si="50"/>
        <v>2</v>
      </c>
      <c r="V1067" s="5" t="s">
        <v>76</v>
      </c>
      <c r="X1067" s="5"/>
    </row>
    <row r="1068" spans="1:24">
      <c r="A1068" s="4">
        <v>45692</v>
      </c>
      <c r="B1068" s="5" t="str">
        <f t="shared" si="48"/>
        <v>February</v>
      </c>
      <c r="C1068" s="5" t="s">
        <v>16</v>
      </c>
      <c r="D1068" s="5" t="s">
        <v>23</v>
      </c>
      <c r="E1068" s="5">
        <v>9</v>
      </c>
      <c r="F1068" s="5">
        <v>256.14</v>
      </c>
      <c r="G1068" s="6">
        <f t="shared" si="49"/>
        <v>2305.26</v>
      </c>
      <c r="H1068" s="5" t="s">
        <v>61</v>
      </c>
      <c r="I1068" s="5" t="s">
        <v>62</v>
      </c>
      <c r="J1068" s="5">
        <v>0.15</v>
      </c>
      <c r="K1068" s="5" t="s">
        <v>73</v>
      </c>
      <c r="L1068" s="6">
        <v>1959.471</v>
      </c>
      <c r="M1068" s="5" t="s">
        <v>32</v>
      </c>
      <c r="N1068" s="5" t="s">
        <v>64</v>
      </c>
      <c r="O1068" s="5">
        <v>1</v>
      </c>
      <c r="P1068" s="5" t="s">
        <v>2141</v>
      </c>
      <c r="Q1068" s="5" t="s">
        <v>2142</v>
      </c>
      <c r="R1068" s="5">
        <v>5.21</v>
      </c>
      <c r="S1068" s="4">
        <v>45692</v>
      </c>
      <c r="T1068" s="4">
        <v>45695</v>
      </c>
      <c r="U1068" s="5">
        <f t="shared" si="50"/>
        <v>3</v>
      </c>
      <c r="V1068" s="5" t="s">
        <v>59</v>
      </c>
      <c r="X1068" s="5"/>
    </row>
    <row r="1069" spans="1:24">
      <c r="A1069" s="4">
        <v>45529</v>
      </c>
      <c r="B1069" s="5" t="str">
        <f t="shared" si="48"/>
        <v>August</v>
      </c>
      <c r="C1069" s="5" t="s">
        <v>19</v>
      </c>
      <c r="D1069" s="5" t="s">
        <v>22</v>
      </c>
      <c r="E1069" s="5">
        <v>12</v>
      </c>
      <c r="F1069" s="5">
        <v>461.3</v>
      </c>
      <c r="G1069" s="6">
        <f t="shared" si="49"/>
        <v>5535.6</v>
      </c>
      <c r="H1069" s="5" t="s">
        <v>81</v>
      </c>
      <c r="I1069" s="5" t="s">
        <v>54</v>
      </c>
      <c r="J1069" s="5">
        <v>0.15</v>
      </c>
      <c r="K1069" s="5" t="s">
        <v>82</v>
      </c>
      <c r="L1069" s="6">
        <v>4705.26</v>
      </c>
      <c r="M1069" s="5" t="s">
        <v>31</v>
      </c>
      <c r="N1069" s="5" t="s">
        <v>56</v>
      </c>
      <c r="O1069" s="5">
        <v>0</v>
      </c>
      <c r="P1069" s="5" t="s">
        <v>2143</v>
      </c>
      <c r="Q1069" s="5" t="s">
        <v>2144</v>
      </c>
      <c r="R1069" s="5">
        <v>8.6</v>
      </c>
      <c r="S1069" s="4">
        <v>45529</v>
      </c>
      <c r="T1069" s="4">
        <v>45538</v>
      </c>
      <c r="U1069" s="5">
        <f t="shared" si="50"/>
        <v>9</v>
      </c>
      <c r="V1069" s="5" t="s">
        <v>76</v>
      </c>
      <c r="X1069" s="5"/>
    </row>
    <row r="1070" spans="1:24">
      <c r="A1070" s="4">
        <v>45168</v>
      </c>
      <c r="B1070" s="5" t="str">
        <f t="shared" si="48"/>
        <v>August</v>
      </c>
      <c r="C1070" s="5" t="s">
        <v>16</v>
      </c>
      <c r="D1070" s="5" t="s">
        <v>23</v>
      </c>
      <c r="E1070" s="5">
        <v>1</v>
      </c>
      <c r="F1070" s="5">
        <v>193.08</v>
      </c>
      <c r="G1070" s="6">
        <f t="shared" si="49"/>
        <v>193.08</v>
      </c>
      <c r="H1070" s="5" t="s">
        <v>61</v>
      </c>
      <c r="I1070" s="5" t="s">
        <v>54</v>
      </c>
      <c r="J1070" s="5">
        <v>0.05</v>
      </c>
      <c r="K1070" s="5" t="s">
        <v>73</v>
      </c>
      <c r="L1070" s="6">
        <v>183.426</v>
      </c>
      <c r="M1070" s="5" t="s">
        <v>30</v>
      </c>
      <c r="N1070" s="5" t="s">
        <v>64</v>
      </c>
      <c r="O1070" s="5">
        <v>0</v>
      </c>
      <c r="P1070" s="5" t="s">
        <v>2145</v>
      </c>
      <c r="Q1070" s="5" t="s">
        <v>1701</v>
      </c>
      <c r="R1070" s="5">
        <v>23.99</v>
      </c>
      <c r="S1070" s="4">
        <v>45168</v>
      </c>
      <c r="T1070" s="4">
        <v>45174</v>
      </c>
      <c r="U1070" s="5">
        <f t="shared" si="50"/>
        <v>6</v>
      </c>
      <c r="V1070" s="5" t="s">
        <v>59</v>
      </c>
      <c r="X1070" s="5"/>
    </row>
    <row r="1071" spans="1:24">
      <c r="A1071" s="4">
        <v>45175</v>
      </c>
      <c r="B1071" s="5" t="str">
        <f t="shared" si="48"/>
        <v>September</v>
      </c>
      <c r="C1071" s="5" t="s">
        <v>20</v>
      </c>
      <c r="D1071" s="5" t="s">
        <v>25</v>
      </c>
      <c r="E1071" s="5">
        <v>3</v>
      </c>
      <c r="F1071" s="5">
        <v>312.97</v>
      </c>
      <c r="G1071" s="6">
        <f t="shared" si="49"/>
        <v>938.91</v>
      </c>
      <c r="H1071" s="5" t="s">
        <v>77</v>
      </c>
      <c r="I1071" s="5" t="s">
        <v>62</v>
      </c>
      <c r="J1071" s="5">
        <v>0.05</v>
      </c>
      <c r="K1071" s="5" t="s">
        <v>55</v>
      </c>
      <c r="L1071" s="6">
        <v>891.9645</v>
      </c>
      <c r="M1071" s="5" t="s">
        <v>32</v>
      </c>
      <c r="N1071" s="5"/>
      <c r="O1071" s="5">
        <v>1</v>
      </c>
      <c r="P1071" s="5" t="s">
        <v>2146</v>
      </c>
      <c r="Q1071" s="5" t="s">
        <v>2147</v>
      </c>
      <c r="R1071" s="5">
        <v>20.06</v>
      </c>
      <c r="S1071" s="4">
        <v>45175</v>
      </c>
      <c r="T1071" s="4">
        <v>45181</v>
      </c>
      <c r="U1071" s="5">
        <f t="shared" si="50"/>
        <v>6</v>
      </c>
      <c r="V1071" s="5" t="s">
        <v>94</v>
      </c>
      <c r="X1071" s="5"/>
    </row>
    <row r="1072" spans="1:24">
      <c r="A1072" s="4">
        <v>45790</v>
      </c>
      <c r="B1072" s="5" t="str">
        <f t="shared" si="48"/>
        <v>May</v>
      </c>
      <c r="C1072" s="5" t="s">
        <v>17</v>
      </c>
      <c r="D1072" s="5" t="s">
        <v>22</v>
      </c>
      <c r="E1072" s="5">
        <v>6</v>
      </c>
      <c r="F1072" s="5">
        <v>214.14</v>
      </c>
      <c r="G1072" s="6">
        <f t="shared" si="49"/>
        <v>1284.84</v>
      </c>
      <c r="H1072" s="5" t="s">
        <v>81</v>
      </c>
      <c r="I1072" s="5" t="s">
        <v>54</v>
      </c>
      <c r="J1072" s="5">
        <v>0.05</v>
      </c>
      <c r="K1072" s="5" t="s">
        <v>82</v>
      </c>
      <c r="L1072" s="6">
        <v>1220.598</v>
      </c>
      <c r="M1072" s="5" t="s">
        <v>34</v>
      </c>
      <c r="N1072" s="5" t="s">
        <v>56</v>
      </c>
      <c r="O1072" s="5">
        <v>0</v>
      </c>
      <c r="P1072" s="5" t="s">
        <v>2148</v>
      </c>
      <c r="Q1072" s="5" t="s">
        <v>2149</v>
      </c>
      <c r="R1072" s="5">
        <v>44.86</v>
      </c>
      <c r="S1072" s="4">
        <v>45790</v>
      </c>
      <c r="T1072" s="4">
        <v>45798</v>
      </c>
      <c r="U1072" s="5">
        <f t="shared" si="50"/>
        <v>8</v>
      </c>
      <c r="V1072" s="5" t="s">
        <v>67</v>
      </c>
      <c r="X1072" s="5"/>
    </row>
    <row r="1073" spans="1:24">
      <c r="A1073" s="4">
        <v>45228</v>
      </c>
      <c r="B1073" s="5" t="str">
        <f t="shared" si="48"/>
        <v>October</v>
      </c>
      <c r="C1073" s="5" t="s">
        <v>18</v>
      </c>
      <c r="D1073" s="5" t="s">
        <v>23</v>
      </c>
      <c r="E1073" s="5">
        <v>4</v>
      </c>
      <c r="F1073" s="5">
        <v>59.8</v>
      </c>
      <c r="G1073" s="6">
        <f t="shared" si="49"/>
        <v>239.2</v>
      </c>
      <c r="H1073" s="5" t="s">
        <v>81</v>
      </c>
      <c r="I1073" s="5" t="s">
        <v>62</v>
      </c>
      <c r="J1073" s="5">
        <v>0.1</v>
      </c>
      <c r="K1073" s="5" t="s">
        <v>73</v>
      </c>
      <c r="L1073" s="6">
        <v>215.28</v>
      </c>
      <c r="M1073" s="5" t="s">
        <v>30</v>
      </c>
      <c r="N1073" s="5" t="s">
        <v>56</v>
      </c>
      <c r="O1073" s="5">
        <v>0</v>
      </c>
      <c r="P1073" s="5" t="s">
        <v>2150</v>
      </c>
      <c r="Q1073" s="5" t="s">
        <v>2151</v>
      </c>
      <c r="R1073" s="5">
        <v>42.59</v>
      </c>
      <c r="S1073" s="4">
        <v>45228</v>
      </c>
      <c r="T1073" s="4">
        <v>45236</v>
      </c>
      <c r="U1073" s="5">
        <f t="shared" si="50"/>
        <v>8</v>
      </c>
      <c r="V1073" s="5" t="s">
        <v>72</v>
      </c>
      <c r="X1073" s="5"/>
    </row>
    <row r="1074" spans="1:24">
      <c r="A1074" s="4">
        <v>45455</v>
      </c>
      <c r="B1074" s="5" t="str">
        <f t="shared" si="48"/>
        <v>June</v>
      </c>
      <c r="C1074" s="5" t="s">
        <v>16</v>
      </c>
      <c r="D1074" s="5" t="s">
        <v>22</v>
      </c>
      <c r="E1074" s="5">
        <v>9</v>
      </c>
      <c r="F1074" s="5">
        <v>418</v>
      </c>
      <c r="G1074" s="6">
        <f t="shared" si="49"/>
        <v>3762</v>
      </c>
      <c r="H1074" s="5" t="s">
        <v>77</v>
      </c>
      <c r="I1074" s="5" t="s">
        <v>54</v>
      </c>
      <c r="J1074" s="5">
        <v>0</v>
      </c>
      <c r="K1074" s="5" t="s">
        <v>89</v>
      </c>
      <c r="L1074" s="6">
        <v>3762</v>
      </c>
      <c r="M1074" s="5" t="s">
        <v>32</v>
      </c>
      <c r="N1074" s="5" t="s">
        <v>69</v>
      </c>
      <c r="O1074" s="5">
        <v>0</v>
      </c>
      <c r="P1074" s="5" t="s">
        <v>2152</v>
      </c>
      <c r="Q1074" s="5" t="s">
        <v>2153</v>
      </c>
      <c r="R1074" s="5">
        <v>30.45</v>
      </c>
      <c r="S1074" s="4">
        <v>45455</v>
      </c>
      <c r="T1074" s="4">
        <v>45461</v>
      </c>
      <c r="U1074" s="5">
        <f t="shared" si="50"/>
        <v>6</v>
      </c>
      <c r="V1074" s="5" t="s">
        <v>59</v>
      </c>
      <c r="X1074" s="5"/>
    </row>
    <row r="1075" spans="1:24">
      <c r="A1075" s="4">
        <v>44959</v>
      </c>
      <c r="B1075" s="5" t="str">
        <f t="shared" si="48"/>
        <v>February</v>
      </c>
      <c r="C1075" s="5" t="s">
        <v>17</v>
      </c>
      <c r="D1075" s="5" t="s">
        <v>25</v>
      </c>
      <c r="E1075" s="5">
        <v>1</v>
      </c>
      <c r="F1075" s="5">
        <v>80.96</v>
      </c>
      <c r="G1075" s="6">
        <f t="shared" si="49"/>
        <v>80.96</v>
      </c>
      <c r="H1075" s="5" t="s">
        <v>61</v>
      </c>
      <c r="I1075" s="5" t="s">
        <v>54</v>
      </c>
      <c r="J1075" s="5">
        <v>0</v>
      </c>
      <c r="K1075" s="5" t="s">
        <v>89</v>
      </c>
      <c r="L1075" s="6">
        <v>80.96</v>
      </c>
      <c r="M1075" s="5" t="s">
        <v>32</v>
      </c>
      <c r="N1075" s="5" t="s">
        <v>56</v>
      </c>
      <c r="O1075" s="5">
        <v>0</v>
      </c>
      <c r="P1075" s="5" t="s">
        <v>2154</v>
      </c>
      <c r="Q1075" s="5" t="s">
        <v>2155</v>
      </c>
      <c r="R1075" s="5">
        <v>48.07</v>
      </c>
      <c r="S1075" s="4">
        <v>44959</v>
      </c>
      <c r="T1075" s="4">
        <v>44962</v>
      </c>
      <c r="U1075" s="5">
        <f t="shared" si="50"/>
        <v>3</v>
      </c>
      <c r="V1075" s="5" t="s">
        <v>67</v>
      </c>
      <c r="X1075" s="5"/>
    </row>
    <row r="1076" spans="1:24">
      <c r="A1076" s="4">
        <v>45050</v>
      </c>
      <c r="B1076" s="5" t="str">
        <f t="shared" si="48"/>
        <v>May</v>
      </c>
      <c r="C1076" s="5" t="s">
        <v>16</v>
      </c>
      <c r="D1076" s="5" t="s">
        <v>23</v>
      </c>
      <c r="E1076" s="5">
        <v>20</v>
      </c>
      <c r="F1076" s="5">
        <v>42.12</v>
      </c>
      <c r="G1076" s="6">
        <f t="shared" si="49"/>
        <v>842.4</v>
      </c>
      <c r="H1076" s="5" t="s">
        <v>53</v>
      </c>
      <c r="I1076" s="5" t="s">
        <v>54</v>
      </c>
      <c r="J1076" s="5">
        <v>0.15</v>
      </c>
      <c r="K1076" s="5" t="s">
        <v>63</v>
      </c>
      <c r="L1076" s="6">
        <v>716.04</v>
      </c>
      <c r="M1076" s="5" t="s">
        <v>32</v>
      </c>
      <c r="N1076" s="5"/>
      <c r="O1076" s="5">
        <v>0</v>
      </c>
      <c r="P1076" s="5" t="s">
        <v>2156</v>
      </c>
      <c r="Q1076" s="5" t="s">
        <v>2157</v>
      </c>
      <c r="R1076" s="5">
        <v>43.22</v>
      </c>
      <c r="S1076" s="4">
        <v>45050</v>
      </c>
      <c r="T1076" s="4">
        <v>45058</v>
      </c>
      <c r="U1076" s="5">
        <f t="shared" si="50"/>
        <v>8</v>
      </c>
      <c r="V1076" s="5" t="s">
        <v>59</v>
      </c>
      <c r="X1076" s="5"/>
    </row>
    <row r="1077" spans="1:24">
      <c r="A1077" s="4">
        <v>45070</v>
      </c>
      <c r="B1077" s="5" t="str">
        <f t="shared" si="48"/>
        <v>May</v>
      </c>
      <c r="C1077" s="5" t="s">
        <v>20</v>
      </c>
      <c r="D1077" s="5" t="s">
        <v>26</v>
      </c>
      <c r="E1077" s="5">
        <v>3</v>
      </c>
      <c r="F1077" s="5">
        <v>366.65</v>
      </c>
      <c r="G1077" s="6">
        <f t="shared" si="49"/>
        <v>1099.95</v>
      </c>
      <c r="H1077" s="5" t="s">
        <v>81</v>
      </c>
      <c r="I1077" s="5" t="s">
        <v>54</v>
      </c>
      <c r="J1077" s="5">
        <v>0</v>
      </c>
      <c r="K1077" s="5" t="s">
        <v>78</v>
      </c>
      <c r="L1077" s="6">
        <v>1099.95</v>
      </c>
      <c r="M1077" s="5" t="s">
        <v>32</v>
      </c>
      <c r="N1077" s="5" t="s">
        <v>64</v>
      </c>
      <c r="O1077" s="5">
        <v>0</v>
      </c>
      <c r="P1077" s="5" t="s">
        <v>2158</v>
      </c>
      <c r="Q1077" s="5" t="s">
        <v>2159</v>
      </c>
      <c r="R1077" s="5">
        <v>33.6</v>
      </c>
      <c r="S1077" s="4">
        <v>45070</v>
      </c>
      <c r="T1077" s="4">
        <v>45077</v>
      </c>
      <c r="U1077" s="5">
        <f t="shared" si="50"/>
        <v>7</v>
      </c>
      <c r="V1077" s="5" t="s">
        <v>94</v>
      </c>
      <c r="X1077" s="5"/>
    </row>
    <row r="1078" spans="1:24">
      <c r="A1078" s="4">
        <v>44960</v>
      </c>
      <c r="B1078" s="5" t="str">
        <f t="shared" si="48"/>
        <v>February</v>
      </c>
      <c r="C1078" s="5" t="s">
        <v>20</v>
      </c>
      <c r="D1078" s="5" t="s">
        <v>26</v>
      </c>
      <c r="E1078" s="5">
        <v>19</v>
      </c>
      <c r="F1078" s="5">
        <v>534.92</v>
      </c>
      <c r="G1078" s="6">
        <f t="shared" si="49"/>
        <v>10163.48</v>
      </c>
      <c r="H1078" s="5" t="s">
        <v>81</v>
      </c>
      <c r="I1078" s="5" t="s">
        <v>62</v>
      </c>
      <c r="J1078" s="5">
        <v>0</v>
      </c>
      <c r="K1078" s="5" t="s">
        <v>82</v>
      </c>
      <c r="L1078" s="6">
        <v>10163.48</v>
      </c>
      <c r="M1078" s="5" t="s">
        <v>30</v>
      </c>
      <c r="N1078" s="5"/>
      <c r="O1078" s="5">
        <v>0</v>
      </c>
      <c r="P1078" s="5" t="s">
        <v>2160</v>
      </c>
      <c r="Q1078" s="5" t="s">
        <v>2161</v>
      </c>
      <c r="R1078" s="5">
        <v>26.97</v>
      </c>
      <c r="S1078" s="4">
        <v>44960</v>
      </c>
      <c r="T1078" s="4">
        <v>44970</v>
      </c>
      <c r="U1078" s="5">
        <f t="shared" si="50"/>
        <v>10</v>
      </c>
      <c r="V1078" s="5" t="s">
        <v>94</v>
      </c>
      <c r="X1078" s="5"/>
    </row>
    <row r="1079" spans="1:24">
      <c r="A1079" s="4">
        <v>45285</v>
      </c>
      <c r="B1079" s="5" t="str">
        <f t="shared" si="48"/>
        <v>December</v>
      </c>
      <c r="C1079" s="5" t="s">
        <v>16</v>
      </c>
      <c r="D1079" s="5" t="s">
        <v>25</v>
      </c>
      <c r="E1079" s="5">
        <v>1</v>
      </c>
      <c r="F1079" s="5">
        <v>494.52</v>
      </c>
      <c r="G1079" s="6">
        <f t="shared" si="49"/>
        <v>494.52</v>
      </c>
      <c r="H1079" s="5" t="s">
        <v>81</v>
      </c>
      <c r="I1079" s="5" t="s">
        <v>62</v>
      </c>
      <c r="J1079" s="5">
        <v>0</v>
      </c>
      <c r="K1079" s="5" t="s">
        <v>89</v>
      </c>
      <c r="L1079" s="6">
        <v>494.52</v>
      </c>
      <c r="M1079" s="5" t="s">
        <v>32</v>
      </c>
      <c r="N1079" s="5"/>
      <c r="O1079" s="5">
        <v>0</v>
      </c>
      <c r="P1079" s="5" t="s">
        <v>2162</v>
      </c>
      <c r="Q1079" s="5" t="s">
        <v>2163</v>
      </c>
      <c r="R1079" s="5">
        <v>43.02</v>
      </c>
      <c r="S1079" s="4">
        <v>45285</v>
      </c>
      <c r="T1079" s="4">
        <v>45293</v>
      </c>
      <c r="U1079" s="5">
        <f t="shared" si="50"/>
        <v>8</v>
      </c>
      <c r="V1079" s="5" t="s">
        <v>59</v>
      </c>
      <c r="X1079" s="5"/>
    </row>
    <row r="1080" spans="1:24">
      <c r="A1080" s="4">
        <v>45133</v>
      </c>
      <c r="B1080" s="5" t="str">
        <f t="shared" si="48"/>
        <v>July</v>
      </c>
      <c r="C1080" s="5" t="s">
        <v>16</v>
      </c>
      <c r="D1080" s="5" t="s">
        <v>26</v>
      </c>
      <c r="E1080" s="5">
        <v>6</v>
      </c>
      <c r="F1080" s="5">
        <v>344.67</v>
      </c>
      <c r="G1080" s="6">
        <f t="shared" si="49"/>
        <v>2068.02</v>
      </c>
      <c r="H1080" s="5" t="s">
        <v>81</v>
      </c>
      <c r="I1080" s="5" t="s">
        <v>54</v>
      </c>
      <c r="J1080" s="5">
        <v>0.1</v>
      </c>
      <c r="K1080" s="5" t="s">
        <v>82</v>
      </c>
      <c r="L1080" s="6">
        <v>1861.218</v>
      </c>
      <c r="M1080" s="5" t="s">
        <v>30</v>
      </c>
      <c r="N1080" s="5" t="s">
        <v>64</v>
      </c>
      <c r="O1080" s="5">
        <v>1</v>
      </c>
      <c r="P1080" s="5" t="s">
        <v>2164</v>
      </c>
      <c r="Q1080" s="5" t="s">
        <v>2165</v>
      </c>
      <c r="R1080" s="5">
        <v>31.13</v>
      </c>
      <c r="S1080" s="4">
        <v>45133</v>
      </c>
      <c r="T1080" s="4">
        <v>45139</v>
      </c>
      <c r="U1080" s="5">
        <f t="shared" si="50"/>
        <v>6</v>
      </c>
      <c r="V1080" s="5" t="s">
        <v>59</v>
      </c>
      <c r="X1080" s="5"/>
    </row>
    <row r="1081" spans="1:24">
      <c r="A1081" s="4">
        <v>45449</v>
      </c>
      <c r="B1081" s="5" t="str">
        <f t="shared" si="48"/>
        <v>June</v>
      </c>
      <c r="C1081" s="5" t="s">
        <v>19</v>
      </c>
      <c r="D1081" s="5" t="s">
        <v>26</v>
      </c>
      <c r="E1081" s="5">
        <v>12</v>
      </c>
      <c r="F1081" s="5">
        <v>489.14</v>
      </c>
      <c r="G1081" s="6">
        <f t="shared" si="49"/>
        <v>5869.68</v>
      </c>
      <c r="H1081" s="5" t="s">
        <v>81</v>
      </c>
      <c r="I1081" s="5" t="s">
        <v>62</v>
      </c>
      <c r="J1081" s="5">
        <v>0.15</v>
      </c>
      <c r="K1081" s="5" t="s">
        <v>89</v>
      </c>
      <c r="L1081" s="6">
        <v>4989.228</v>
      </c>
      <c r="M1081" s="5" t="s">
        <v>30</v>
      </c>
      <c r="N1081" s="5" t="s">
        <v>64</v>
      </c>
      <c r="O1081" s="5">
        <v>0</v>
      </c>
      <c r="P1081" s="5" t="s">
        <v>2166</v>
      </c>
      <c r="Q1081" s="5" t="s">
        <v>227</v>
      </c>
      <c r="R1081" s="5">
        <v>29.31</v>
      </c>
      <c r="S1081" s="4">
        <v>45449</v>
      </c>
      <c r="T1081" s="4">
        <v>45458</v>
      </c>
      <c r="U1081" s="5">
        <f t="shared" si="50"/>
        <v>9</v>
      </c>
      <c r="V1081" s="5" t="s">
        <v>76</v>
      </c>
      <c r="X1081" s="5"/>
    </row>
    <row r="1082" spans="1:24">
      <c r="A1082" s="4">
        <v>45578</v>
      </c>
      <c r="B1082" s="5" t="str">
        <f t="shared" si="48"/>
        <v>October</v>
      </c>
      <c r="C1082" s="5" t="s">
        <v>17</v>
      </c>
      <c r="D1082" s="5" t="s">
        <v>27</v>
      </c>
      <c r="E1082" s="5">
        <v>18</v>
      </c>
      <c r="F1082" s="5">
        <v>256.23</v>
      </c>
      <c r="G1082" s="6">
        <f t="shared" si="49"/>
        <v>4612.14</v>
      </c>
      <c r="H1082" s="5" t="s">
        <v>53</v>
      </c>
      <c r="I1082" s="5" t="s">
        <v>54</v>
      </c>
      <c r="J1082" s="5">
        <v>0.05</v>
      </c>
      <c r="K1082" s="5" t="s">
        <v>55</v>
      </c>
      <c r="L1082" s="6">
        <v>4381.533</v>
      </c>
      <c r="M1082" s="5" t="s">
        <v>33</v>
      </c>
      <c r="N1082" s="5"/>
      <c r="O1082" s="5">
        <v>0</v>
      </c>
      <c r="P1082" s="5" t="s">
        <v>2167</v>
      </c>
      <c r="Q1082" s="5" t="s">
        <v>2168</v>
      </c>
      <c r="R1082" s="5">
        <v>11.21</v>
      </c>
      <c r="S1082" s="4">
        <v>45578</v>
      </c>
      <c r="T1082" s="4">
        <v>45583</v>
      </c>
      <c r="U1082" s="5">
        <f t="shared" si="50"/>
        <v>5</v>
      </c>
      <c r="V1082" s="5" t="s">
        <v>67</v>
      </c>
      <c r="X1082" s="5"/>
    </row>
    <row r="1083" spans="1:24">
      <c r="A1083" s="4">
        <v>45599</v>
      </c>
      <c r="B1083" s="5" t="str">
        <f t="shared" si="48"/>
        <v>November</v>
      </c>
      <c r="C1083" s="5" t="s">
        <v>18</v>
      </c>
      <c r="D1083" s="5" t="s">
        <v>27</v>
      </c>
      <c r="E1083" s="5">
        <v>17</v>
      </c>
      <c r="F1083" s="5">
        <v>99.76</v>
      </c>
      <c r="G1083" s="6">
        <f t="shared" si="49"/>
        <v>1695.92</v>
      </c>
      <c r="H1083" s="5" t="s">
        <v>77</v>
      </c>
      <c r="I1083" s="5" t="s">
        <v>54</v>
      </c>
      <c r="J1083" s="5">
        <v>0</v>
      </c>
      <c r="K1083" s="5" t="s">
        <v>82</v>
      </c>
      <c r="L1083" s="6">
        <v>1695.92</v>
      </c>
      <c r="M1083" s="5" t="s">
        <v>30</v>
      </c>
      <c r="N1083" s="5" t="s">
        <v>56</v>
      </c>
      <c r="O1083" s="5">
        <v>1</v>
      </c>
      <c r="P1083" s="5" t="s">
        <v>2169</v>
      </c>
      <c r="Q1083" s="5" t="s">
        <v>826</v>
      </c>
      <c r="R1083" s="5">
        <v>21.89</v>
      </c>
      <c r="S1083" s="4">
        <v>45599</v>
      </c>
      <c r="T1083" s="4">
        <v>45609</v>
      </c>
      <c r="U1083" s="5">
        <f t="shared" si="50"/>
        <v>10</v>
      </c>
      <c r="V1083" s="5" t="s">
        <v>72</v>
      </c>
      <c r="X1083" s="5"/>
    </row>
    <row r="1084" spans="1:24">
      <c r="A1084" s="4">
        <v>45325</v>
      </c>
      <c r="B1084" s="5" t="str">
        <f t="shared" si="48"/>
        <v>February</v>
      </c>
      <c r="C1084" s="5" t="s">
        <v>18</v>
      </c>
      <c r="D1084" s="5" t="s">
        <v>27</v>
      </c>
      <c r="E1084" s="5">
        <v>14</v>
      </c>
      <c r="F1084" s="5">
        <v>575.66</v>
      </c>
      <c r="G1084" s="6">
        <f t="shared" si="49"/>
        <v>8059.24</v>
      </c>
      <c r="H1084" s="5" t="s">
        <v>77</v>
      </c>
      <c r="I1084" s="5" t="s">
        <v>54</v>
      </c>
      <c r="J1084" s="5">
        <v>0.1</v>
      </c>
      <c r="K1084" s="5" t="s">
        <v>73</v>
      </c>
      <c r="L1084" s="6">
        <v>7253.316</v>
      </c>
      <c r="M1084" s="5" t="s">
        <v>32</v>
      </c>
      <c r="N1084" s="5"/>
      <c r="O1084" s="5">
        <v>0</v>
      </c>
      <c r="P1084" s="5" t="s">
        <v>2170</v>
      </c>
      <c r="Q1084" s="5" t="s">
        <v>2171</v>
      </c>
      <c r="R1084" s="5">
        <v>32.53</v>
      </c>
      <c r="S1084" s="4">
        <v>45325</v>
      </c>
      <c r="T1084" s="4">
        <v>45333</v>
      </c>
      <c r="U1084" s="5">
        <f t="shared" si="50"/>
        <v>8</v>
      </c>
      <c r="V1084" s="5" t="s">
        <v>72</v>
      </c>
      <c r="X1084" s="5"/>
    </row>
    <row r="1085" spans="1:24">
      <c r="A1085" s="4">
        <v>44936</v>
      </c>
      <c r="B1085" s="5" t="str">
        <f t="shared" si="48"/>
        <v>January</v>
      </c>
      <c r="C1085" s="5" t="s">
        <v>16</v>
      </c>
      <c r="D1085" s="5" t="s">
        <v>25</v>
      </c>
      <c r="E1085" s="5">
        <v>6</v>
      </c>
      <c r="F1085" s="5">
        <v>176.52</v>
      </c>
      <c r="G1085" s="6">
        <f t="shared" si="49"/>
        <v>1059.12</v>
      </c>
      <c r="H1085" s="5" t="s">
        <v>81</v>
      </c>
      <c r="I1085" s="5" t="s">
        <v>54</v>
      </c>
      <c r="J1085" s="5">
        <v>0.15</v>
      </c>
      <c r="K1085" s="5" t="s">
        <v>63</v>
      </c>
      <c r="L1085" s="6">
        <v>900.252</v>
      </c>
      <c r="M1085" s="5" t="s">
        <v>30</v>
      </c>
      <c r="N1085" s="5" t="s">
        <v>56</v>
      </c>
      <c r="O1085" s="5">
        <v>0</v>
      </c>
      <c r="P1085" s="5" t="s">
        <v>2172</v>
      </c>
      <c r="Q1085" s="5" t="s">
        <v>2173</v>
      </c>
      <c r="R1085" s="5">
        <v>16.98</v>
      </c>
      <c r="S1085" s="4">
        <v>44936</v>
      </c>
      <c r="T1085" s="4">
        <v>44939</v>
      </c>
      <c r="U1085" s="5">
        <f t="shared" si="50"/>
        <v>3</v>
      </c>
      <c r="V1085" s="5" t="s">
        <v>59</v>
      </c>
      <c r="X1085" s="5"/>
    </row>
    <row r="1086" spans="1:24">
      <c r="A1086" s="4">
        <v>45215</v>
      </c>
      <c r="B1086" s="5" t="str">
        <f t="shared" si="48"/>
        <v>October</v>
      </c>
      <c r="C1086" s="5" t="s">
        <v>16</v>
      </c>
      <c r="D1086" s="5" t="s">
        <v>101</v>
      </c>
      <c r="E1086" s="5">
        <v>6</v>
      </c>
      <c r="F1086" s="5">
        <v>485.66</v>
      </c>
      <c r="G1086" s="6">
        <f t="shared" si="49"/>
        <v>2913.96</v>
      </c>
      <c r="H1086" s="5" t="s">
        <v>81</v>
      </c>
      <c r="I1086" s="5" t="s">
        <v>54</v>
      </c>
      <c r="J1086" s="5">
        <v>0.05</v>
      </c>
      <c r="K1086" s="5" t="s">
        <v>55</v>
      </c>
      <c r="L1086" s="6">
        <v>2768.262</v>
      </c>
      <c r="M1086" s="5" t="s">
        <v>31</v>
      </c>
      <c r="N1086" s="5" t="s">
        <v>56</v>
      </c>
      <c r="O1086" s="5">
        <v>0</v>
      </c>
      <c r="P1086" s="5" t="s">
        <v>2174</v>
      </c>
      <c r="Q1086" s="5" t="s">
        <v>2175</v>
      </c>
      <c r="R1086" s="5">
        <v>30.62</v>
      </c>
      <c r="S1086" s="4">
        <v>45215</v>
      </c>
      <c r="T1086" s="4">
        <v>45221</v>
      </c>
      <c r="U1086" s="5">
        <f t="shared" si="50"/>
        <v>6</v>
      </c>
      <c r="V1086" s="5" t="s">
        <v>59</v>
      </c>
      <c r="X1086" s="5"/>
    </row>
    <row r="1087" spans="1:24">
      <c r="A1087" s="4">
        <v>45735</v>
      </c>
      <c r="B1087" s="5" t="str">
        <f t="shared" si="48"/>
        <v>March</v>
      </c>
      <c r="C1087" s="5" t="s">
        <v>19</v>
      </c>
      <c r="D1087" s="5" t="s">
        <v>22</v>
      </c>
      <c r="E1087" s="5">
        <v>8</v>
      </c>
      <c r="F1087" s="5">
        <v>141.61</v>
      </c>
      <c r="G1087" s="6">
        <f t="shared" si="49"/>
        <v>1132.88</v>
      </c>
      <c r="H1087" s="5" t="s">
        <v>53</v>
      </c>
      <c r="I1087" s="5" t="s">
        <v>62</v>
      </c>
      <c r="J1087" s="5">
        <v>0.1</v>
      </c>
      <c r="K1087" s="5" t="s">
        <v>89</v>
      </c>
      <c r="L1087" s="6">
        <v>1019.592</v>
      </c>
      <c r="M1087" s="5" t="s">
        <v>31</v>
      </c>
      <c r="N1087" s="5" t="s">
        <v>69</v>
      </c>
      <c r="O1087" s="5">
        <v>0</v>
      </c>
      <c r="P1087" s="5" t="s">
        <v>2176</v>
      </c>
      <c r="Q1087" s="5" t="s">
        <v>2177</v>
      </c>
      <c r="R1087" s="5">
        <v>14.02</v>
      </c>
      <c r="S1087" s="4">
        <v>45735</v>
      </c>
      <c r="T1087" s="4">
        <v>45740</v>
      </c>
      <c r="U1087" s="5">
        <f t="shared" si="50"/>
        <v>5</v>
      </c>
      <c r="V1087" s="5" t="s">
        <v>76</v>
      </c>
      <c r="X1087" s="5"/>
    </row>
    <row r="1088" spans="1:24">
      <c r="A1088" s="4">
        <v>45642</v>
      </c>
      <c r="B1088" s="5" t="str">
        <f t="shared" si="48"/>
        <v>December</v>
      </c>
      <c r="C1088" s="5" t="s">
        <v>20</v>
      </c>
      <c r="D1088" s="5" t="s">
        <v>24</v>
      </c>
      <c r="E1088" s="5">
        <v>9</v>
      </c>
      <c r="F1088" s="5">
        <v>215.29</v>
      </c>
      <c r="G1088" s="6">
        <f t="shared" si="49"/>
        <v>1937.61</v>
      </c>
      <c r="H1088" s="5" t="s">
        <v>77</v>
      </c>
      <c r="I1088" s="5" t="s">
        <v>54</v>
      </c>
      <c r="J1088" s="5">
        <v>0.1</v>
      </c>
      <c r="K1088" s="5" t="s">
        <v>63</v>
      </c>
      <c r="L1088" s="6">
        <v>1743.849</v>
      </c>
      <c r="M1088" s="5" t="s">
        <v>32</v>
      </c>
      <c r="N1088" s="5" t="s">
        <v>69</v>
      </c>
      <c r="O1088" s="5">
        <v>0</v>
      </c>
      <c r="P1088" s="5" t="s">
        <v>2178</v>
      </c>
      <c r="Q1088" s="5" t="s">
        <v>2179</v>
      </c>
      <c r="R1088" s="5">
        <v>5.84</v>
      </c>
      <c r="S1088" s="4">
        <v>45642</v>
      </c>
      <c r="T1088" s="4">
        <v>45645</v>
      </c>
      <c r="U1088" s="5">
        <f t="shared" si="50"/>
        <v>3</v>
      </c>
      <c r="V1088" s="5" t="s">
        <v>94</v>
      </c>
      <c r="X1088" s="5"/>
    </row>
    <row r="1089" spans="1:24">
      <c r="A1089" s="4">
        <v>45154</v>
      </c>
      <c r="B1089" s="5" t="str">
        <f t="shared" si="48"/>
        <v>August</v>
      </c>
      <c r="C1089" s="5" t="s">
        <v>20</v>
      </c>
      <c r="D1089" s="5" t="s">
        <v>22</v>
      </c>
      <c r="E1089" s="5">
        <v>18</v>
      </c>
      <c r="F1089" s="5">
        <v>497.22</v>
      </c>
      <c r="G1089" s="6">
        <f t="shared" si="49"/>
        <v>8949.96</v>
      </c>
      <c r="H1089" s="5" t="s">
        <v>53</v>
      </c>
      <c r="I1089" s="5" t="s">
        <v>54</v>
      </c>
      <c r="J1089" s="5">
        <v>0.05</v>
      </c>
      <c r="K1089" s="5" t="s">
        <v>82</v>
      </c>
      <c r="L1089" s="6">
        <v>8502.462</v>
      </c>
      <c r="M1089" s="5" t="s">
        <v>32</v>
      </c>
      <c r="N1089" s="5" t="s">
        <v>69</v>
      </c>
      <c r="O1089" s="5">
        <v>0</v>
      </c>
      <c r="P1089" s="5" t="s">
        <v>2180</v>
      </c>
      <c r="Q1089" s="5" t="s">
        <v>2181</v>
      </c>
      <c r="R1089" s="5">
        <v>17.39</v>
      </c>
      <c r="S1089" s="4">
        <v>45154</v>
      </c>
      <c r="T1089" s="4">
        <v>45158</v>
      </c>
      <c r="U1089" s="5">
        <f t="shared" si="50"/>
        <v>4</v>
      </c>
      <c r="V1089" s="5" t="s">
        <v>94</v>
      </c>
      <c r="X1089" s="5"/>
    </row>
    <row r="1090" spans="1:24">
      <c r="A1090" s="4">
        <v>44936</v>
      </c>
      <c r="B1090" s="5" t="str">
        <f t="shared" si="48"/>
        <v>January</v>
      </c>
      <c r="C1090" s="5" t="s">
        <v>16</v>
      </c>
      <c r="D1090" s="5" t="s">
        <v>24</v>
      </c>
      <c r="E1090" s="5">
        <v>13</v>
      </c>
      <c r="F1090" s="5">
        <v>347.73</v>
      </c>
      <c r="G1090" s="6">
        <f t="shared" si="49"/>
        <v>4520.49</v>
      </c>
      <c r="H1090" s="5" t="s">
        <v>53</v>
      </c>
      <c r="I1090" s="5" t="s">
        <v>54</v>
      </c>
      <c r="J1090" s="5">
        <v>0.05</v>
      </c>
      <c r="K1090" s="5" t="s">
        <v>82</v>
      </c>
      <c r="L1090" s="6">
        <v>4294.4655</v>
      </c>
      <c r="M1090" s="5" t="s">
        <v>31</v>
      </c>
      <c r="N1090" s="5" t="s">
        <v>56</v>
      </c>
      <c r="O1090" s="5">
        <v>1</v>
      </c>
      <c r="P1090" s="5" t="s">
        <v>2182</v>
      </c>
      <c r="Q1090" s="5" t="s">
        <v>2183</v>
      </c>
      <c r="R1090" s="5">
        <v>31.81</v>
      </c>
      <c r="S1090" s="4">
        <v>44936</v>
      </c>
      <c r="T1090" s="4">
        <v>44946</v>
      </c>
      <c r="U1090" s="5">
        <f t="shared" si="50"/>
        <v>10</v>
      </c>
      <c r="V1090" s="5" t="s">
        <v>59</v>
      </c>
      <c r="X1090" s="5"/>
    </row>
    <row r="1091" spans="1:24">
      <c r="A1091" s="4">
        <v>45786</v>
      </c>
      <c r="B1091" s="5" t="str">
        <f t="shared" ref="B1091:B1154" si="51">TEXT(A1091,"mmmm")</f>
        <v>May</v>
      </c>
      <c r="C1091" s="5" t="s">
        <v>19</v>
      </c>
      <c r="D1091" s="5" t="s">
        <v>25</v>
      </c>
      <c r="E1091" s="5">
        <v>3</v>
      </c>
      <c r="F1091" s="5">
        <v>371.21</v>
      </c>
      <c r="G1091" s="6">
        <f t="shared" ref="G1091:G1154" si="52">F1091*E1091</f>
        <v>1113.63</v>
      </c>
      <c r="H1091" s="5" t="s">
        <v>77</v>
      </c>
      <c r="I1091" s="5" t="s">
        <v>54</v>
      </c>
      <c r="J1091" s="5">
        <v>0.1</v>
      </c>
      <c r="K1091" s="5" t="s">
        <v>55</v>
      </c>
      <c r="L1091" s="6">
        <v>1002.267</v>
      </c>
      <c r="M1091" s="5" t="s">
        <v>31</v>
      </c>
      <c r="N1091" s="5" t="s">
        <v>64</v>
      </c>
      <c r="O1091" s="5">
        <v>0</v>
      </c>
      <c r="P1091" s="5" t="s">
        <v>2184</v>
      </c>
      <c r="Q1091" s="5" t="s">
        <v>2185</v>
      </c>
      <c r="R1091" s="5">
        <v>20.02</v>
      </c>
      <c r="S1091" s="4">
        <v>45786</v>
      </c>
      <c r="T1091" s="4">
        <v>45795</v>
      </c>
      <c r="U1091" s="5">
        <f t="shared" ref="U1091:U1154" si="53">T1091-S1091</f>
        <v>9</v>
      </c>
      <c r="V1091" s="5" t="s">
        <v>76</v>
      </c>
      <c r="X1091" s="5"/>
    </row>
    <row r="1092" spans="1:24">
      <c r="A1092" s="4">
        <v>45390</v>
      </c>
      <c r="B1092" s="5" t="str">
        <f t="shared" si="51"/>
        <v>April</v>
      </c>
      <c r="C1092" s="5" t="s">
        <v>16</v>
      </c>
      <c r="D1092" s="5" t="s">
        <v>27</v>
      </c>
      <c r="E1092" s="5">
        <v>12</v>
      </c>
      <c r="F1092" s="5">
        <v>434.33</v>
      </c>
      <c r="G1092" s="6">
        <f t="shared" si="52"/>
        <v>5211.96</v>
      </c>
      <c r="H1092" s="5" t="s">
        <v>61</v>
      </c>
      <c r="I1092" s="5" t="s">
        <v>54</v>
      </c>
      <c r="J1092" s="5">
        <v>0.15</v>
      </c>
      <c r="K1092" s="5" t="s">
        <v>89</v>
      </c>
      <c r="L1092" s="6">
        <v>4430.166</v>
      </c>
      <c r="M1092" s="5" t="s">
        <v>34</v>
      </c>
      <c r="N1092" s="5" t="s">
        <v>56</v>
      </c>
      <c r="O1092" s="5">
        <v>0</v>
      </c>
      <c r="P1092" s="5" t="s">
        <v>2186</v>
      </c>
      <c r="Q1092" s="5" t="s">
        <v>603</v>
      </c>
      <c r="R1092" s="5">
        <v>15.33</v>
      </c>
      <c r="S1092" s="4">
        <v>45390</v>
      </c>
      <c r="T1092" s="4">
        <v>45398</v>
      </c>
      <c r="U1092" s="5">
        <f t="shared" si="53"/>
        <v>8</v>
      </c>
      <c r="V1092" s="5" t="s">
        <v>59</v>
      </c>
      <c r="X1092" s="5"/>
    </row>
    <row r="1093" spans="1:24">
      <c r="A1093" s="4">
        <v>45783</v>
      </c>
      <c r="B1093" s="5" t="str">
        <f t="shared" si="51"/>
        <v>May</v>
      </c>
      <c r="C1093" s="5" t="s">
        <v>16</v>
      </c>
      <c r="D1093" s="5" t="s">
        <v>26</v>
      </c>
      <c r="E1093" s="5">
        <v>16</v>
      </c>
      <c r="F1093" s="5">
        <v>426.65</v>
      </c>
      <c r="G1093" s="6">
        <f t="shared" si="52"/>
        <v>6826.4</v>
      </c>
      <c r="H1093" s="5" t="s">
        <v>61</v>
      </c>
      <c r="I1093" s="5" t="s">
        <v>62</v>
      </c>
      <c r="J1093" s="5">
        <v>0.1</v>
      </c>
      <c r="K1093" s="5" t="s">
        <v>82</v>
      </c>
      <c r="L1093" s="6">
        <v>6143.76</v>
      </c>
      <c r="M1093" s="5" t="s">
        <v>31</v>
      </c>
      <c r="N1093" s="5"/>
      <c r="O1093" s="5">
        <v>0</v>
      </c>
      <c r="P1093" s="5" t="s">
        <v>2187</v>
      </c>
      <c r="Q1093" s="5" t="s">
        <v>2188</v>
      </c>
      <c r="R1093" s="5">
        <v>10.2</v>
      </c>
      <c r="S1093" s="4">
        <v>45783</v>
      </c>
      <c r="T1093" s="4">
        <v>45792</v>
      </c>
      <c r="U1093" s="5">
        <f t="shared" si="53"/>
        <v>9</v>
      </c>
      <c r="V1093" s="5" t="s">
        <v>59</v>
      </c>
      <c r="X1093" s="5"/>
    </row>
    <row r="1094" spans="1:24">
      <c r="A1094" s="4">
        <v>45067</v>
      </c>
      <c r="B1094" s="5" t="str">
        <f t="shared" si="51"/>
        <v>May</v>
      </c>
      <c r="C1094" s="5" t="s">
        <v>20</v>
      </c>
      <c r="D1094" s="5" t="s">
        <v>24</v>
      </c>
      <c r="E1094" s="5">
        <v>6</v>
      </c>
      <c r="F1094" s="5">
        <v>294.97</v>
      </c>
      <c r="G1094" s="6">
        <f t="shared" si="52"/>
        <v>1769.82</v>
      </c>
      <c r="H1094" s="5" t="s">
        <v>61</v>
      </c>
      <c r="I1094" s="5" t="s">
        <v>54</v>
      </c>
      <c r="J1094" s="5">
        <v>0.05</v>
      </c>
      <c r="K1094" s="5" t="s">
        <v>89</v>
      </c>
      <c r="L1094" s="6">
        <v>1681.329</v>
      </c>
      <c r="M1094" s="5" t="s">
        <v>32</v>
      </c>
      <c r="N1094" s="5" t="s">
        <v>69</v>
      </c>
      <c r="O1094" s="5">
        <v>0</v>
      </c>
      <c r="P1094" s="5" t="s">
        <v>2189</v>
      </c>
      <c r="Q1094" s="5" t="s">
        <v>2190</v>
      </c>
      <c r="R1094" s="5">
        <v>48.08</v>
      </c>
      <c r="S1094" s="4">
        <v>45067</v>
      </c>
      <c r="T1094" s="4">
        <v>45075</v>
      </c>
      <c r="U1094" s="5">
        <f t="shared" si="53"/>
        <v>8</v>
      </c>
      <c r="V1094" s="5" t="s">
        <v>94</v>
      </c>
      <c r="X1094" s="5"/>
    </row>
    <row r="1095" spans="1:24">
      <c r="A1095" s="4">
        <v>45253</v>
      </c>
      <c r="B1095" s="5" t="str">
        <f t="shared" si="51"/>
        <v>November</v>
      </c>
      <c r="C1095" s="5" t="s">
        <v>19</v>
      </c>
      <c r="D1095" s="5" t="s">
        <v>23</v>
      </c>
      <c r="E1095" s="5">
        <v>12</v>
      </c>
      <c r="F1095" s="5">
        <v>130.9</v>
      </c>
      <c r="G1095" s="6">
        <f t="shared" si="52"/>
        <v>1570.8</v>
      </c>
      <c r="H1095" s="5" t="s">
        <v>81</v>
      </c>
      <c r="I1095" s="5" t="s">
        <v>62</v>
      </c>
      <c r="J1095" s="5">
        <v>0.15</v>
      </c>
      <c r="K1095" s="5" t="s">
        <v>63</v>
      </c>
      <c r="L1095" s="6">
        <v>1335.18</v>
      </c>
      <c r="M1095" s="5" t="s">
        <v>33</v>
      </c>
      <c r="N1095" s="5" t="s">
        <v>64</v>
      </c>
      <c r="O1095" s="5">
        <v>0</v>
      </c>
      <c r="P1095" s="5" t="s">
        <v>2191</v>
      </c>
      <c r="Q1095" s="5" t="s">
        <v>2192</v>
      </c>
      <c r="R1095" s="5">
        <v>34.69</v>
      </c>
      <c r="S1095" s="4">
        <v>45253</v>
      </c>
      <c r="T1095" s="4">
        <v>45260</v>
      </c>
      <c r="U1095" s="5">
        <f t="shared" si="53"/>
        <v>7</v>
      </c>
      <c r="V1095" s="5" t="s">
        <v>76</v>
      </c>
      <c r="X1095" s="5"/>
    </row>
    <row r="1096" spans="1:24">
      <c r="A1096" s="4">
        <v>45377</v>
      </c>
      <c r="B1096" s="5" t="str">
        <f t="shared" si="51"/>
        <v>March</v>
      </c>
      <c r="C1096" s="5" t="s">
        <v>18</v>
      </c>
      <c r="D1096" s="5" t="s">
        <v>26</v>
      </c>
      <c r="E1096" s="5">
        <v>18</v>
      </c>
      <c r="F1096" s="5">
        <v>539.98</v>
      </c>
      <c r="G1096" s="6">
        <f t="shared" si="52"/>
        <v>9719.64</v>
      </c>
      <c r="H1096" s="5" t="s">
        <v>77</v>
      </c>
      <c r="I1096" s="5" t="s">
        <v>62</v>
      </c>
      <c r="J1096" s="5">
        <v>0.15</v>
      </c>
      <c r="K1096" s="5" t="s">
        <v>55</v>
      </c>
      <c r="L1096" s="6">
        <v>8261.694</v>
      </c>
      <c r="M1096" s="5" t="s">
        <v>34</v>
      </c>
      <c r="N1096" s="5" t="s">
        <v>56</v>
      </c>
      <c r="O1096" s="5">
        <v>1</v>
      </c>
      <c r="P1096" s="5" t="s">
        <v>2193</v>
      </c>
      <c r="Q1096" s="5" t="s">
        <v>2194</v>
      </c>
      <c r="R1096" s="5">
        <v>34.44</v>
      </c>
      <c r="S1096" s="4">
        <v>45377</v>
      </c>
      <c r="T1096" s="4">
        <v>45387</v>
      </c>
      <c r="U1096" s="5">
        <f t="shared" si="53"/>
        <v>10</v>
      </c>
      <c r="V1096" s="5" t="s">
        <v>72</v>
      </c>
      <c r="X1096" s="5"/>
    </row>
    <row r="1097" spans="1:24">
      <c r="A1097" s="4">
        <v>45560</v>
      </c>
      <c r="B1097" s="5" t="str">
        <f t="shared" si="51"/>
        <v>September</v>
      </c>
      <c r="C1097" s="5" t="s">
        <v>17</v>
      </c>
      <c r="D1097" s="5" t="s">
        <v>24</v>
      </c>
      <c r="E1097" s="5">
        <v>12</v>
      </c>
      <c r="F1097" s="5">
        <v>149.37</v>
      </c>
      <c r="G1097" s="6">
        <f t="shared" si="52"/>
        <v>1792.44</v>
      </c>
      <c r="H1097" s="5" t="s">
        <v>81</v>
      </c>
      <c r="I1097" s="5" t="s">
        <v>62</v>
      </c>
      <c r="J1097" s="5">
        <v>0.1</v>
      </c>
      <c r="K1097" s="5" t="s">
        <v>89</v>
      </c>
      <c r="L1097" s="6">
        <v>1613.196</v>
      </c>
      <c r="M1097" s="5" t="s">
        <v>32</v>
      </c>
      <c r="N1097" s="5"/>
      <c r="O1097" s="5">
        <v>0</v>
      </c>
      <c r="P1097" s="5" t="s">
        <v>2195</v>
      </c>
      <c r="Q1097" s="5" t="s">
        <v>2196</v>
      </c>
      <c r="R1097" s="5">
        <v>20.21</v>
      </c>
      <c r="S1097" s="4">
        <v>45560</v>
      </c>
      <c r="T1097" s="4">
        <v>45567</v>
      </c>
      <c r="U1097" s="5">
        <f t="shared" si="53"/>
        <v>7</v>
      </c>
      <c r="V1097" s="5" t="s">
        <v>67</v>
      </c>
      <c r="X1097" s="5"/>
    </row>
    <row r="1098" spans="1:24">
      <c r="A1098" s="4">
        <v>45022</v>
      </c>
      <c r="B1098" s="5" t="str">
        <f t="shared" si="51"/>
        <v>April</v>
      </c>
      <c r="C1098" s="5" t="s">
        <v>16</v>
      </c>
      <c r="D1098" s="5" t="s">
        <v>25</v>
      </c>
      <c r="E1098" s="5">
        <v>5</v>
      </c>
      <c r="F1098" s="5">
        <v>411.24</v>
      </c>
      <c r="G1098" s="6">
        <f t="shared" si="52"/>
        <v>2056.2</v>
      </c>
      <c r="H1098" s="5" t="s">
        <v>61</v>
      </c>
      <c r="I1098" s="5" t="s">
        <v>54</v>
      </c>
      <c r="J1098" s="5">
        <v>0.15</v>
      </c>
      <c r="K1098" s="5" t="s">
        <v>89</v>
      </c>
      <c r="L1098" s="6">
        <v>1747.77</v>
      </c>
      <c r="M1098" s="5" t="s">
        <v>34</v>
      </c>
      <c r="N1098" s="5" t="s">
        <v>69</v>
      </c>
      <c r="O1098" s="5">
        <v>1</v>
      </c>
      <c r="P1098" s="5" t="s">
        <v>2197</v>
      </c>
      <c r="Q1098" s="5" t="s">
        <v>2198</v>
      </c>
      <c r="R1098" s="5">
        <v>5.35</v>
      </c>
      <c r="S1098" s="4">
        <v>45022</v>
      </c>
      <c r="T1098" s="4">
        <v>45026</v>
      </c>
      <c r="U1098" s="5">
        <f t="shared" si="53"/>
        <v>4</v>
      </c>
      <c r="V1098" s="5" t="s">
        <v>59</v>
      </c>
      <c r="X1098" s="5"/>
    </row>
    <row r="1099" spans="1:24">
      <c r="A1099" s="4">
        <v>45467</v>
      </c>
      <c r="B1099" s="5" t="str">
        <f t="shared" si="51"/>
        <v>June</v>
      </c>
      <c r="C1099" s="5" t="s">
        <v>18</v>
      </c>
      <c r="D1099" s="5" t="s">
        <v>25</v>
      </c>
      <c r="E1099" s="5">
        <v>16</v>
      </c>
      <c r="F1099" s="5">
        <v>462.86</v>
      </c>
      <c r="G1099" s="6">
        <f t="shared" si="52"/>
        <v>7405.76</v>
      </c>
      <c r="H1099" s="5" t="s">
        <v>81</v>
      </c>
      <c r="I1099" s="5" t="s">
        <v>62</v>
      </c>
      <c r="J1099" s="5">
        <v>0.05</v>
      </c>
      <c r="K1099" s="5" t="s">
        <v>89</v>
      </c>
      <c r="L1099" s="6">
        <v>7035.472</v>
      </c>
      <c r="M1099" s="5" t="s">
        <v>34</v>
      </c>
      <c r="N1099" s="5"/>
      <c r="O1099" s="5">
        <v>1</v>
      </c>
      <c r="P1099" s="5" t="s">
        <v>2199</v>
      </c>
      <c r="Q1099" s="5" t="s">
        <v>2200</v>
      </c>
      <c r="R1099" s="5">
        <v>17.43</v>
      </c>
      <c r="S1099" s="4">
        <v>45467</v>
      </c>
      <c r="T1099" s="4">
        <v>45469</v>
      </c>
      <c r="U1099" s="5">
        <f t="shared" si="53"/>
        <v>2</v>
      </c>
      <c r="V1099" s="5" t="s">
        <v>72</v>
      </c>
      <c r="X1099" s="5"/>
    </row>
    <row r="1100" spans="1:24">
      <c r="A1100" s="4">
        <v>45641</v>
      </c>
      <c r="B1100" s="5" t="str">
        <f t="shared" si="51"/>
        <v>December</v>
      </c>
      <c r="C1100" s="5" t="s">
        <v>17</v>
      </c>
      <c r="D1100" s="5" t="s">
        <v>22</v>
      </c>
      <c r="E1100" s="5">
        <v>17</v>
      </c>
      <c r="F1100" s="5">
        <v>506.38</v>
      </c>
      <c r="G1100" s="6">
        <f t="shared" si="52"/>
        <v>8608.46</v>
      </c>
      <c r="H1100" s="5" t="s">
        <v>53</v>
      </c>
      <c r="I1100" s="5" t="s">
        <v>54</v>
      </c>
      <c r="J1100" s="5">
        <v>0</v>
      </c>
      <c r="K1100" s="5" t="s">
        <v>78</v>
      </c>
      <c r="L1100" s="6">
        <v>8608.46</v>
      </c>
      <c r="M1100" s="5" t="s">
        <v>34</v>
      </c>
      <c r="N1100" s="5" t="s">
        <v>69</v>
      </c>
      <c r="O1100" s="5">
        <v>1</v>
      </c>
      <c r="P1100" s="5" t="s">
        <v>2201</v>
      </c>
      <c r="Q1100" s="5" t="s">
        <v>2202</v>
      </c>
      <c r="R1100" s="5">
        <v>33.36</v>
      </c>
      <c r="S1100" s="4">
        <v>45641</v>
      </c>
      <c r="T1100" s="4">
        <v>45649</v>
      </c>
      <c r="U1100" s="5">
        <f t="shared" si="53"/>
        <v>8</v>
      </c>
      <c r="V1100" s="5" t="s">
        <v>67</v>
      </c>
      <c r="X1100" s="5"/>
    </row>
    <row r="1101" spans="1:24">
      <c r="A1101" s="4">
        <v>45568</v>
      </c>
      <c r="B1101" s="5" t="str">
        <f t="shared" si="51"/>
        <v>October</v>
      </c>
      <c r="C1101" s="5" t="s">
        <v>18</v>
      </c>
      <c r="D1101" s="5" t="s">
        <v>24</v>
      </c>
      <c r="E1101" s="5">
        <v>19</v>
      </c>
      <c r="F1101" s="5">
        <v>25.61</v>
      </c>
      <c r="G1101" s="6">
        <f t="shared" si="52"/>
        <v>486.59</v>
      </c>
      <c r="H1101" s="5" t="s">
        <v>53</v>
      </c>
      <c r="I1101" s="5" t="s">
        <v>62</v>
      </c>
      <c r="J1101" s="5">
        <v>0</v>
      </c>
      <c r="K1101" s="5" t="s">
        <v>89</v>
      </c>
      <c r="L1101" s="6">
        <v>486.59</v>
      </c>
      <c r="M1101" s="5" t="s">
        <v>31</v>
      </c>
      <c r="N1101" s="5"/>
      <c r="O1101" s="5">
        <v>0</v>
      </c>
      <c r="P1101" s="5" t="s">
        <v>2203</v>
      </c>
      <c r="Q1101" s="5" t="s">
        <v>1090</v>
      </c>
      <c r="R1101" s="5">
        <v>30.32</v>
      </c>
      <c r="S1101" s="4">
        <v>45568</v>
      </c>
      <c r="T1101" s="4">
        <v>45576</v>
      </c>
      <c r="U1101" s="5">
        <f t="shared" si="53"/>
        <v>8</v>
      </c>
      <c r="V1101" s="5" t="s">
        <v>72</v>
      </c>
      <c r="X1101" s="5"/>
    </row>
    <row r="1102" spans="1:24">
      <c r="A1102" s="4">
        <v>45172</v>
      </c>
      <c r="B1102" s="5" t="str">
        <f t="shared" si="51"/>
        <v>September</v>
      </c>
      <c r="C1102" s="5" t="s">
        <v>17</v>
      </c>
      <c r="D1102" s="5" t="s">
        <v>24</v>
      </c>
      <c r="E1102" s="5">
        <v>4</v>
      </c>
      <c r="F1102" s="5">
        <v>467.45</v>
      </c>
      <c r="G1102" s="6">
        <f t="shared" si="52"/>
        <v>1869.8</v>
      </c>
      <c r="H1102" s="5" t="s">
        <v>77</v>
      </c>
      <c r="I1102" s="5" t="s">
        <v>54</v>
      </c>
      <c r="J1102" s="5">
        <v>0.05</v>
      </c>
      <c r="K1102" s="5" t="s">
        <v>73</v>
      </c>
      <c r="L1102" s="6">
        <v>1776.31</v>
      </c>
      <c r="M1102" s="5" t="s">
        <v>31</v>
      </c>
      <c r="N1102" s="5" t="s">
        <v>69</v>
      </c>
      <c r="O1102" s="5">
        <v>0</v>
      </c>
      <c r="P1102" s="5" t="s">
        <v>2204</v>
      </c>
      <c r="Q1102" s="5" t="s">
        <v>2205</v>
      </c>
      <c r="R1102" s="5">
        <v>25.05</v>
      </c>
      <c r="S1102" s="4">
        <v>45172</v>
      </c>
      <c r="T1102" s="4">
        <v>45182</v>
      </c>
      <c r="U1102" s="5">
        <f t="shared" si="53"/>
        <v>10</v>
      </c>
      <c r="V1102" s="5" t="s">
        <v>67</v>
      </c>
      <c r="X1102" s="5"/>
    </row>
    <row r="1103" spans="1:24">
      <c r="A1103" s="4">
        <v>44955</v>
      </c>
      <c r="B1103" s="5" t="str">
        <f t="shared" si="51"/>
        <v>January</v>
      </c>
      <c r="C1103" s="5" t="s">
        <v>18</v>
      </c>
      <c r="D1103" s="5" t="s">
        <v>27</v>
      </c>
      <c r="E1103" s="5">
        <v>10</v>
      </c>
      <c r="F1103" s="5">
        <v>140.5</v>
      </c>
      <c r="G1103" s="6">
        <f t="shared" si="52"/>
        <v>1405</v>
      </c>
      <c r="H1103" s="5" t="s">
        <v>53</v>
      </c>
      <c r="I1103" s="5" t="s">
        <v>62</v>
      </c>
      <c r="J1103" s="5">
        <v>0.15</v>
      </c>
      <c r="K1103" s="5" t="s">
        <v>78</v>
      </c>
      <c r="L1103" s="6">
        <v>1194.25</v>
      </c>
      <c r="M1103" s="5" t="s">
        <v>30</v>
      </c>
      <c r="N1103" s="5" t="s">
        <v>56</v>
      </c>
      <c r="O1103" s="5">
        <v>0</v>
      </c>
      <c r="P1103" s="5" t="s">
        <v>2206</v>
      </c>
      <c r="Q1103" s="5" t="s">
        <v>1510</v>
      </c>
      <c r="R1103" s="5">
        <v>43.81</v>
      </c>
      <c r="S1103" s="4">
        <v>44955</v>
      </c>
      <c r="T1103" s="4">
        <v>44962</v>
      </c>
      <c r="U1103" s="5">
        <f t="shared" si="53"/>
        <v>7</v>
      </c>
      <c r="V1103" s="5" t="s">
        <v>72</v>
      </c>
      <c r="X1103" s="5"/>
    </row>
    <row r="1104" spans="1:24">
      <c r="A1104" s="4">
        <v>45455</v>
      </c>
      <c r="B1104" s="5" t="str">
        <f t="shared" si="51"/>
        <v>June</v>
      </c>
      <c r="C1104" s="5" t="s">
        <v>18</v>
      </c>
      <c r="D1104" s="5" t="s">
        <v>23</v>
      </c>
      <c r="E1104" s="5">
        <v>8</v>
      </c>
      <c r="F1104" s="5">
        <v>57.85</v>
      </c>
      <c r="G1104" s="6">
        <f t="shared" si="52"/>
        <v>462.8</v>
      </c>
      <c r="H1104" s="5" t="s">
        <v>81</v>
      </c>
      <c r="I1104" s="5" t="s">
        <v>54</v>
      </c>
      <c r="J1104" s="5">
        <v>0</v>
      </c>
      <c r="K1104" s="5" t="s">
        <v>73</v>
      </c>
      <c r="L1104" s="6">
        <v>462.8</v>
      </c>
      <c r="M1104" s="5" t="s">
        <v>30</v>
      </c>
      <c r="N1104" s="5" t="s">
        <v>69</v>
      </c>
      <c r="O1104" s="5">
        <v>1</v>
      </c>
      <c r="P1104" s="5" t="s">
        <v>2207</v>
      </c>
      <c r="Q1104" s="5" t="s">
        <v>2208</v>
      </c>
      <c r="R1104" s="5">
        <v>49.82</v>
      </c>
      <c r="S1104" s="4">
        <v>45455</v>
      </c>
      <c r="T1104" s="4">
        <v>45463</v>
      </c>
      <c r="U1104" s="5">
        <f t="shared" si="53"/>
        <v>8</v>
      </c>
      <c r="V1104" s="5" t="s">
        <v>72</v>
      </c>
      <c r="X1104" s="5"/>
    </row>
    <row r="1105" spans="1:24">
      <c r="A1105" s="4">
        <v>45620</v>
      </c>
      <c r="B1105" s="5" t="str">
        <f t="shared" si="51"/>
        <v>November</v>
      </c>
      <c r="C1105" s="5" t="s">
        <v>18</v>
      </c>
      <c r="D1105" s="5" t="s">
        <v>26</v>
      </c>
      <c r="E1105" s="5">
        <v>9</v>
      </c>
      <c r="F1105" s="5">
        <v>539.64</v>
      </c>
      <c r="G1105" s="6">
        <f t="shared" si="52"/>
        <v>4856.76</v>
      </c>
      <c r="H1105" s="5" t="s">
        <v>61</v>
      </c>
      <c r="I1105" s="5" t="s">
        <v>62</v>
      </c>
      <c r="J1105" s="5">
        <v>0.15</v>
      </c>
      <c r="K1105" s="5" t="s">
        <v>63</v>
      </c>
      <c r="L1105" s="6">
        <v>4128.246</v>
      </c>
      <c r="M1105" s="5" t="s">
        <v>31</v>
      </c>
      <c r="N1105" s="5"/>
      <c r="O1105" s="5">
        <v>0</v>
      </c>
      <c r="P1105" s="5" t="s">
        <v>2209</v>
      </c>
      <c r="Q1105" s="5" t="s">
        <v>2210</v>
      </c>
      <c r="R1105" s="5">
        <v>16.08</v>
      </c>
      <c r="S1105" s="4">
        <v>45620</v>
      </c>
      <c r="T1105" s="4">
        <v>45629</v>
      </c>
      <c r="U1105" s="5">
        <f t="shared" si="53"/>
        <v>9</v>
      </c>
      <c r="V1105" s="5" t="s">
        <v>72</v>
      </c>
      <c r="X1105" s="5"/>
    </row>
    <row r="1106" spans="1:24">
      <c r="A1106" s="4">
        <v>45153</v>
      </c>
      <c r="B1106" s="5" t="str">
        <f t="shared" si="51"/>
        <v>August</v>
      </c>
      <c r="C1106" s="5" t="s">
        <v>20</v>
      </c>
      <c r="D1106" s="5" t="s">
        <v>26</v>
      </c>
      <c r="E1106" s="5">
        <v>18</v>
      </c>
      <c r="F1106" s="5">
        <v>476.32</v>
      </c>
      <c r="G1106" s="6">
        <f t="shared" si="52"/>
        <v>8573.76</v>
      </c>
      <c r="H1106" s="5" t="s">
        <v>61</v>
      </c>
      <c r="I1106" s="5" t="s">
        <v>54</v>
      </c>
      <c r="J1106" s="5">
        <v>0</v>
      </c>
      <c r="K1106" s="5" t="s">
        <v>82</v>
      </c>
      <c r="L1106" s="6">
        <v>8573.76</v>
      </c>
      <c r="M1106" s="5" t="s">
        <v>32</v>
      </c>
      <c r="N1106" s="5" t="s">
        <v>64</v>
      </c>
      <c r="O1106" s="5">
        <v>1</v>
      </c>
      <c r="P1106" s="5" t="s">
        <v>2211</v>
      </c>
      <c r="Q1106" s="5" t="s">
        <v>2212</v>
      </c>
      <c r="R1106" s="5">
        <v>47.43</v>
      </c>
      <c r="S1106" s="4">
        <v>45153</v>
      </c>
      <c r="T1106" s="4">
        <v>45158</v>
      </c>
      <c r="U1106" s="5">
        <f t="shared" si="53"/>
        <v>5</v>
      </c>
      <c r="V1106" s="5" t="s">
        <v>94</v>
      </c>
      <c r="X1106" s="5"/>
    </row>
    <row r="1107" spans="1:24">
      <c r="A1107" s="4">
        <v>45525</v>
      </c>
      <c r="B1107" s="5" t="str">
        <f t="shared" si="51"/>
        <v>August</v>
      </c>
      <c r="C1107" s="5" t="s">
        <v>19</v>
      </c>
      <c r="D1107" s="5" t="s">
        <v>101</v>
      </c>
      <c r="E1107" s="5">
        <v>11</v>
      </c>
      <c r="F1107" s="5">
        <v>143.85</v>
      </c>
      <c r="G1107" s="6">
        <f t="shared" si="52"/>
        <v>1582.35</v>
      </c>
      <c r="H1107" s="5" t="s">
        <v>61</v>
      </c>
      <c r="I1107" s="5" t="s">
        <v>54</v>
      </c>
      <c r="J1107" s="5">
        <v>0.1</v>
      </c>
      <c r="K1107" s="5" t="s">
        <v>55</v>
      </c>
      <c r="L1107" s="6">
        <v>1424.115</v>
      </c>
      <c r="M1107" s="5" t="s">
        <v>33</v>
      </c>
      <c r="N1107" s="5" t="s">
        <v>56</v>
      </c>
      <c r="O1107" s="5">
        <v>0</v>
      </c>
      <c r="P1107" s="5" t="s">
        <v>2213</v>
      </c>
      <c r="Q1107" s="5" t="s">
        <v>2214</v>
      </c>
      <c r="R1107" s="5">
        <v>6.85</v>
      </c>
      <c r="S1107" s="4">
        <v>45525</v>
      </c>
      <c r="T1107" s="4">
        <v>45534</v>
      </c>
      <c r="U1107" s="5">
        <f t="shared" si="53"/>
        <v>9</v>
      </c>
      <c r="V1107" s="5" t="s">
        <v>76</v>
      </c>
      <c r="X1107" s="5"/>
    </row>
    <row r="1108" spans="1:24">
      <c r="A1108" s="4">
        <v>45070</v>
      </c>
      <c r="B1108" s="5" t="str">
        <f t="shared" si="51"/>
        <v>May</v>
      </c>
      <c r="C1108" s="5" t="s">
        <v>20</v>
      </c>
      <c r="D1108" s="5" t="s">
        <v>26</v>
      </c>
      <c r="E1108" s="5">
        <v>4</v>
      </c>
      <c r="F1108" s="5">
        <v>323.63</v>
      </c>
      <c r="G1108" s="6">
        <f t="shared" si="52"/>
        <v>1294.52</v>
      </c>
      <c r="H1108" s="5" t="s">
        <v>77</v>
      </c>
      <c r="I1108" s="5" t="s">
        <v>62</v>
      </c>
      <c r="J1108" s="5">
        <v>0.1</v>
      </c>
      <c r="K1108" s="5" t="s">
        <v>78</v>
      </c>
      <c r="L1108" s="6">
        <v>1165.068</v>
      </c>
      <c r="M1108" s="5" t="s">
        <v>32</v>
      </c>
      <c r="N1108" s="5" t="s">
        <v>56</v>
      </c>
      <c r="O1108" s="5">
        <v>0</v>
      </c>
      <c r="P1108" s="5" t="s">
        <v>2215</v>
      </c>
      <c r="Q1108" s="5" t="s">
        <v>2216</v>
      </c>
      <c r="R1108" s="5">
        <v>32.92</v>
      </c>
      <c r="S1108" s="4">
        <v>45070</v>
      </c>
      <c r="T1108" s="4">
        <v>45078</v>
      </c>
      <c r="U1108" s="5">
        <f t="shared" si="53"/>
        <v>8</v>
      </c>
      <c r="V1108" s="5" t="s">
        <v>94</v>
      </c>
      <c r="X1108" s="5"/>
    </row>
    <row r="1109" spans="1:24">
      <c r="A1109" s="4">
        <v>45043</v>
      </c>
      <c r="B1109" s="5" t="str">
        <f t="shared" si="51"/>
        <v>April</v>
      </c>
      <c r="C1109" s="5" t="s">
        <v>20</v>
      </c>
      <c r="D1109" s="5" t="s">
        <v>26</v>
      </c>
      <c r="E1109" s="5">
        <v>16</v>
      </c>
      <c r="F1109" s="5">
        <v>37.4</v>
      </c>
      <c r="G1109" s="6">
        <f t="shared" si="52"/>
        <v>598.4</v>
      </c>
      <c r="H1109" s="5" t="s">
        <v>61</v>
      </c>
      <c r="I1109" s="5" t="s">
        <v>54</v>
      </c>
      <c r="J1109" s="5">
        <v>0.05</v>
      </c>
      <c r="K1109" s="5" t="s">
        <v>89</v>
      </c>
      <c r="L1109" s="6">
        <v>568.48</v>
      </c>
      <c r="M1109" s="5" t="s">
        <v>32</v>
      </c>
      <c r="N1109" s="5" t="s">
        <v>56</v>
      </c>
      <c r="O1109" s="5">
        <v>0</v>
      </c>
      <c r="P1109" s="5" t="s">
        <v>2217</v>
      </c>
      <c r="Q1109" s="5" t="s">
        <v>2218</v>
      </c>
      <c r="R1109" s="5">
        <v>49.55</v>
      </c>
      <c r="S1109" s="4">
        <v>45043</v>
      </c>
      <c r="T1109" s="4">
        <v>45047</v>
      </c>
      <c r="U1109" s="5">
        <f t="shared" si="53"/>
        <v>4</v>
      </c>
      <c r="V1109" s="5" t="s">
        <v>94</v>
      </c>
      <c r="X1109" s="5"/>
    </row>
    <row r="1110" spans="1:24">
      <c r="A1110" s="4">
        <v>45067</v>
      </c>
      <c r="B1110" s="5" t="str">
        <f t="shared" si="51"/>
        <v>May</v>
      </c>
      <c r="C1110" s="5" t="s">
        <v>16</v>
      </c>
      <c r="D1110" s="5" t="s">
        <v>101</v>
      </c>
      <c r="E1110" s="5">
        <v>1</v>
      </c>
      <c r="F1110" s="5">
        <v>418.98</v>
      </c>
      <c r="G1110" s="6">
        <f t="shared" si="52"/>
        <v>418.98</v>
      </c>
      <c r="H1110" s="5" t="s">
        <v>53</v>
      </c>
      <c r="I1110" s="5" t="s">
        <v>62</v>
      </c>
      <c r="J1110" s="5">
        <v>0.1</v>
      </c>
      <c r="K1110" s="5" t="s">
        <v>78</v>
      </c>
      <c r="L1110" s="6">
        <v>377.082</v>
      </c>
      <c r="M1110" s="5" t="s">
        <v>31</v>
      </c>
      <c r="N1110" s="5" t="s">
        <v>56</v>
      </c>
      <c r="O1110" s="5">
        <v>0</v>
      </c>
      <c r="P1110" s="5" t="s">
        <v>2219</v>
      </c>
      <c r="Q1110" s="5" t="s">
        <v>2220</v>
      </c>
      <c r="R1110" s="5">
        <v>43.72</v>
      </c>
      <c r="S1110" s="4">
        <v>45067</v>
      </c>
      <c r="T1110" s="4">
        <v>45072</v>
      </c>
      <c r="U1110" s="5">
        <f t="shared" si="53"/>
        <v>5</v>
      </c>
      <c r="V1110" s="5" t="s">
        <v>59</v>
      </c>
      <c r="X1110" s="5"/>
    </row>
    <row r="1111" spans="1:24">
      <c r="A1111" s="4">
        <v>45704</v>
      </c>
      <c r="B1111" s="5" t="str">
        <f t="shared" si="51"/>
        <v>February</v>
      </c>
      <c r="C1111" s="5" t="s">
        <v>16</v>
      </c>
      <c r="D1111" s="5" t="s">
        <v>26</v>
      </c>
      <c r="E1111" s="5">
        <v>12</v>
      </c>
      <c r="F1111" s="5">
        <v>108.35</v>
      </c>
      <c r="G1111" s="6">
        <f t="shared" si="52"/>
        <v>1300.2</v>
      </c>
      <c r="H1111" s="5" t="s">
        <v>61</v>
      </c>
      <c r="I1111" s="5" t="s">
        <v>54</v>
      </c>
      <c r="J1111" s="5">
        <v>0</v>
      </c>
      <c r="K1111" s="5" t="s">
        <v>82</v>
      </c>
      <c r="L1111" s="6">
        <v>1300.2</v>
      </c>
      <c r="M1111" s="5" t="s">
        <v>30</v>
      </c>
      <c r="N1111" s="5" t="s">
        <v>56</v>
      </c>
      <c r="O1111" s="5">
        <v>0</v>
      </c>
      <c r="P1111" s="5" t="s">
        <v>2221</v>
      </c>
      <c r="Q1111" s="5" t="s">
        <v>2222</v>
      </c>
      <c r="R1111" s="5">
        <v>42.06</v>
      </c>
      <c r="S1111" s="4">
        <v>45704</v>
      </c>
      <c r="T1111" s="4">
        <v>45713</v>
      </c>
      <c r="U1111" s="5">
        <f t="shared" si="53"/>
        <v>9</v>
      </c>
      <c r="V1111" s="5" t="s">
        <v>59</v>
      </c>
      <c r="X1111" s="5"/>
    </row>
    <row r="1112" spans="1:24">
      <c r="A1112" s="4">
        <v>45162</v>
      </c>
      <c r="B1112" s="5" t="str">
        <f t="shared" si="51"/>
        <v>August</v>
      </c>
      <c r="C1112" s="5" t="s">
        <v>16</v>
      </c>
      <c r="D1112" s="5" t="s">
        <v>101</v>
      </c>
      <c r="E1112" s="5">
        <v>5</v>
      </c>
      <c r="F1112" s="5">
        <v>256.42</v>
      </c>
      <c r="G1112" s="6">
        <f t="shared" si="52"/>
        <v>1282.1</v>
      </c>
      <c r="H1112" s="5" t="s">
        <v>53</v>
      </c>
      <c r="I1112" s="5" t="s">
        <v>62</v>
      </c>
      <c r="J1112" s="5">
        <v>0</v>
      </c>
      <c r="K1112" s="5" t="s">
        <v>63</v>
      </c>
      <c r="L1112" s="6">
        <v>1282.1</v>
      </c>
      <c r="M1112" s="5" t="s">
        <v>31</v>
      </c>
      <c r="N1112" s="5" t="s">
        <v>56</v>
      </c>
      <c r="O1112" s="5">
        <v>0</v>
      </c>
      <c r="P1112" s="5" t="s">
        <v>2223</v>
      </c>
      <c r="Q1112" s="5" t="s">
        <v>2224</v>
      </c>
      <c r="R1112" s="5">
        <v>28.74</v>
      </c>
      <c r="S1112" s="4">
        <v>45162</v>
      </c>
      <c r="T1112" s="4">
        <v>45167</v>
      </c>
      <c r="U1112" s="5">
        <f t="shared" si="53"/>
        <v>5</v>
      </c>
      <c r="V1112" s="5" t="s">
        <v>59</v>
      </c>
      <c r="X1112" s="5"/>
    </row>
    <row r="1113" spans="1:24">
      <c r="A1113" s="4">
        <v>45365</v>
      </c>
      <c r="B1113" s="5" t="str">
        <f t="shared" si="51"/>
        <v>March</v>
      </c>
      <c r="C1113" s="5" t="s">
        <v>16</v>
      </c>
      <c r="D1113" s="5" t="s">
        <v>24</v>
      </c>
      <c r="E1113" s="5">
        <v>16</v>
      </c>
      <c r="F1113" s="5">
        <v>544.91</v>
      </c>
      <c r="G1113" s="6">
        <f t="shared" si="52"/>
        <v>8718.56</v>
      </c>
      <c r="H1113" s="5" t="s">
        <v>53</v>
      </c>
      <c r="I1113" s="5" t="s">
        <v>62</v>
      </c>
      <c r="J1113" s="5">
        <v>0.1</v>
      </c>
      <c r="K1113" s="5" t="s">
        <v>73</v>
      </c>
      <c r="L1113" s="6">
        <v>7846.704</v>
      </c>
      <c r="M1113" s="5" t="s">
        <v>32</v>
      </c>
      <c r="N1113" s="5" t="s">
        <v>56</v>
      </c>
      <c r="O1113" s="5">
        <v>0</v>
      </c>
      <c r="P1113" s="5" t="s">
        <v>2225</v>
      </c>
      <c r="Q1113" s="5" t="s">
        <v>2226</v>
      </c>
      <c r="R1113" s="5">
        <v>39.26</v>
      </c>
      <c r="S1113" s="4">
        <v>45365</v>
      </c>
      <c r="T1113" s="4">
        <v>45372</v>
      </c>
      <c r="U1113" s="5">
        <f t="shared" si="53"/>
        <v>7</v>
      </c>
      <c r="V1113" s="5" t="s">
        <v>59</v>
      </c>
      <c r="X1113" s="5"/>
    </row>
    <row r="1114" spans="1:24">
      <c r="A1114" s="4">
        <v>45320</v>
      </c>
      <c r="B1114" s="5" t="str">
        <f t="shared" si="51"/>
        <v>January</v>
      </c>
      <c r="C1114" s="5" t="s">
        <v>18</v>
      </c>
      <c r="D1114" s="5" t="s">
        <v>24</v>
      </c>
      <c r="E1114" s="5">
        <v>19</v>
      </c>
      <c r="F1114" s="5">
        <v>113.42</v>
      </c>
      <c r="G1114" s="6">
        <f t="shared" si="52"/>
        <v>2154.98</v>
      </c>
      <c r="H1114" s="5" t="s">
        <v>61</v>
      </c>
      <c r="I1114" s="5" t="s">
        <v>62</v>
      </c>
      <c r="J1114" s="5">
        <v>0</v>
      </c>
      <c r="K1114" s="5" t="s">
        <v>55</v>
      </c>
      <c r="L1114" s="6">
        <v>2154.98</v>
      </c>
      <c r="M1114" s="5" t="s">
        <v>33</v>
      </c>
      <c r="N1114" s="5" t="s">
        <v>69</v>
      </c>
      <c r="O1114" s="5">
        <v>0</v>
      </c>
      <c r="P1114" s="5" t="s">
        <v>2227</v>
      </c>
      <c r="Q1114" s="5" t="s">
        <v>2228</v>
      </c>
      <c r="R1114" s="5">
        <v>44.96</v>
      </c>
      <c r="S1114" s="4">
        <v>45320</v>
      </c>
      <c r="T1114" s="4">
        <v>45329</v>
      </c>
      <c r="U1114" s="5">
        <f t="shared" si="53"/>
        <v>9</v>
      </c>
      <c r="V1114" s="5" t="s">
        <v>72</v>
      </c>
      <c r="X1114" s="5"/>
    </row>
    <row r="1115" spans="1:24">
      <c r="A1115" s="4">
        <v>45513</v>
      </c>
      <c r="B1115" s="5" t="str">
        <f t="shared" si="51"/>
        <v>August</v>
      </c>
      <c r="C1115" s="5" t="s">
        <v>17</v>
      </c>
      <c r="D1115" s="5" t="s">
        <v>23</v>
      </c>
      <c r="E1115" s="5">
        <v>10</v>
      </c>
      <c r="F1115" s="5">
        <v>522.73</v>
      </c>
      <c r="G1115" s="6">
        <f t="shared" si="52"/>
        <v>5227.3</v>
      </c>
      <c r="H1115" s="5" t="s">
        <v>77</v>
      </c>
      <c r="I1115" s="5" t="s">
        <v>62</v>
      </c>
      <c r="J1115" s="5">
        <v>0.1</v>
      </c>
      <c r="K1115" s="5" t="s">
        <v>89</v>
      </c>
      <c r="L1115" s="6">
        <v>4704.57</v>
      </c>
      <c r="M1115" s="5" t="s">
        <v>32</v>
      </c>
      <c r="N1115" s="5"/>
      <c r="O1115" s="5">
        <v>0</v>
      </c>
      <c r="P1115" s="5" t="s">
        <v>2229</v>
      </c>
      <c r="Q1115" s="5" t="s">
        <v>2230</v>
      </c>
      <c r="R1115" s="5">
        <v>20.06</v>
      </c>
      <c r="S1115" s="4">
        <v>45513</v>
      </c>
      <c r="T1115" s="4">
        <v>45519</v>
      </c>
      <c r="U1115" s="5">
        <f t="shared" si="53"/>
        <v>6</v>
      </c>
      <c r="V1115" s="5" t="s">
        <v>67</v>
      </c>
      <c r="X1115" s="5"/>
    </row>
    <row r="1116" spans="1:24">
      <c r="A1116" s="4">
        <v>45481</v>
      </c>
      <c r="B1116" s="5" t="str">
        <f t="shared" si="51"/>
        <v>July</v>
      </c>
      <c r="C1116" s="5" t="s">
        <v>18</v>
      </c>
      <c r="D1116" s="5" t="s">
        <v>101</v>
      </c>
      <c r="E1116" s="5">
        <v>18</v>
      </c>
      <c r="F1116" s="5">
        <v>448.03</v>
      </c>
      <c r="G1116" s="6">
        <f t="shared" si="52"/>
        <v>8064.54</v>
      </c>
      <c r="H1116" s="5" t="s">
        <v>53</v>
      </c>
      <c r="I1116" s="5" t="s">
        <v>62</v>
      </c>
      <c r="J1116" s="5">
        <v>0.15</v>
      </c>
      <c r="K1116" s="5" t="s">
        <v>73</v>
      </c>
      <c r="L1116" s="6">
        <v>6854.859</v>
      </c>
      <c r="M1116" s="5" t="s">
        <v>34</v>
      </c>
      <c r="N1116" s="5" t="s">
        <v>69</v>
      </c>
      <c r="O1116" s="5">
        <v>1</v>
      </c>
      <c r="P1116" s="5" t="s">
        <v>2231</v>
      </c>
      <c r="Q1116" s="5" t="s">
        <v>2232</v>
      </c>
      <c r="R1116" s="5">
        <v>13.23</v>
      </c>
      <c r="S1116" s="4">
        <v>45481</v>
      </c>
      <c r="T1116" s="4">
        <v>45490</v>
      </c>
      <c r="U1116" s="5">
        <f t="shared" si="53"/>
        <v>9</v>
      </c>
      <c r="V1116" s="5" t="s">
        <v>72</v>
      </c>
      <c r="X1116" s="5"/>
    </row>
    <row r="1117" spans="1:24">
      <c r="A1117" s="4">
        <v>45524</v>
      </c>
      <c r="B1117" s="5" t="str">
        <f t="shared" si="51"/>
        <v>August</v>
      </c>
      <c r="C1117" s="5" t="s">
        <v>18</v>
      </c>
      <c r="D1117" s="5" t="s">
        <v>26</v>
      </c>
      <c r="E1117" s="5">
        <v>15</v>
      </c>
      <c r="F1117" s="5">
        <v>208.51</v>
      </c>
      <c r="G1117" s="6">
        <f t="shared" si="52"/>
        <v>3127.65</v>
      </c>
      <c r="H1117" s="5" t="s">
        <v>61</v>
      </c>
      <c r="I1117" s="5" t="s">
        <v>62</v>
      </c>
      <c r="J1117" s="5">
        <v>0.05</v>
      </c>
      <c r="K1117" s="5" t="s">
        <v>78</v>
      </c>
      <c r="L1117" s="6">
        <v>2971.2675</v>
      </c>
      <c r="M1117" s="5" t="s">
        <v>31</v>
      </c>
      <c r="N1117" s="5"/>
      <c r="O1117" s="5">
        <v>0</v>
      </c>
      <c r="P1117" s="5" t="s">
        <v>2233</v>
      </c>
      <c r="Q1117" s="5" t="s">
        <v>2234</v>
      </c>
      <c r="R1117" s="5">
        <v>37.81</v>
      </c>
      <c r="S1117" s="4">
        <v>45524</v>
      </c>
      <c r="T1117" s="4">
        <v>45533</v>
      </c>
      <c r="U1117" s="5">
        <f t="shared" si="53"/>
        <v>9</v>
      </c>
      <c r="V1117" s="5" t="s">
        <v>72</v>
      </c>
      <c r="X1117" s="5"/>
    </row>
    <row r="1118" spans="1:24">
      <c r="A1118" s="4">
        <v>45103</v>
      </c>
      <c r="B1118" s="5" t="str">
        <f t="shared" si="51"/>
        <v>June</v>
      </c>
      <c r="C1118" s="5" t="s">
        <v>19</v>
      </c>
      <c r="D1118" s="5" t="s">
        <v>22</v>
      </c>
      <c r="E1118" s="5">
        <v>13</v>
      </c>
      <c r="F1118" s="5">
        <v>423.64</v>
      </c>
      <c r="G1118" s="6">
        <f t="shared" si="52"/>
        <v>5507.32</v>
      </c>
      <c r="H1118" s="5" t="s">
        <v>77</v>
      </c>
      <c r="I1118" s="5" t="s">
        <v>62</v>
      </c>
      <c r="J1118" s="5">
        <v>0.1</v>
      </c>
      <c r="K1118" s="5" t="s">
        <v>63</v>
      </c>
      <c r="L1118" s="6">
        <v>4956.588</v>
      </c>
      <c r="M1118" s="5" t="s">
        <v>33</v>
      </c>
      <c r="N1118" s="5"/>
      <c r="O1118" s="5">
        <v>1</v>
      </c>
      <c r="P1118" s="5" t="s">
        <v>2235</v>
      </c>
      <c r="Q1118" s="5" t="s">
        <v>2236</v>
      </c>
      <c r="R1118" s="5">
        <v>23.31</v>
      </c>
      <c r="S1118" s="4">
        <v>45103</v>
      </c>
      <c r="T1118" s="4">
        <v>45105</v>
      </c>
      <c r="U1118" s="5">
        <f t="shared" si="53"/>
        <v>2</v>
      </c>
      <c r="V1118" s="5" t="s">
        <v>76</v>
      </c>
      <c r="X1118" s="5"/>
    </row>
    <row r="1119" spans="1:24">
      <c r="A1119" s="4">
        <v>45283</v>
      </c>
      <c r="B1119" s="5" t="str">
        <f t="shared" si="51"/>
        <v>December</v>
      </c>
      <c r="C1119" s="5" t="s">
        <v>16</v>
      </c>
      <c r="D1119" s="5" t="s">
        <v>25</v>
      </c>
      <c r="E1119" s="5">
        <v>5</v>
      </c>
      <c r="F1119" s="5">
        <v>552.26</v>
      </c>
      <c r="G1119" s="6">
        <f t="shared" si="52"/>
        <v>2761.3</v>
      </c>
      <c r="H1119" s="5" t="s">
        <v>81</v>
      </c>
      <c r="I1119" s="5" t="s">
        <v>54</v>
      </c>
      <c r="J1119" s="5">
        <v>0.15</v>
      </c>
      <c r="K1119" s="5" t="s">
        <v>63</v>
      </c>
      <c r="L1119" s="6">
        <v>2347.105</v>
      </c>
      <c r="M1119" s="5" t="s">
        <v>33</v>
      </c>
      <c r="N1119" s="5" t="s">
        <v>69</v>
      </c>
      <c r="O1119" s="5">
        <v>0</v>
      </c>
      <c r="P1119" s="5" t="s">
        <v>2237</v>
      </c>
      <c r="Q1119" s="5" t="s">
        <v>2238</v>
      </c>
      <c r="R1119" s="5">
        <v>26.5</v>
      </c>
      <c r="S1119" s="4">
        <v>45283</v>
      </c>
      <c r="T1119" s="4">
        <v>45285</v>
      </c>
      <c r="U1119" s="5">
        <f t="shared" si="53"/>
        <v>2</v>
      </c>
      <c r="V1119" s="5" t="s">
        <v>59</v>
      </c>
      <c r="X1119" s="5"/>
    </row>
    <row r="1120" spans="1:24">
      <c r="A1120" s="4">
        <v>45158</v>
      </c>
      <c r="B1120" s="5" t="str">
        <f t="shared" si="51"/>
        <v>August</v>
      </c>
      <c r="C1120" s="5" t="s">
        <v>19</v>
      </c>
      <c r="D1120" s="5" t="s">
        <v>24</v>
      </c>
      <c r="E1120" s="5">
        <v>1</v>
      </c>
      <c r="F1120" s="5">
        <v>182.11</v>
      </c>
      <c r="G1120" s="6">
        <f t="shared" si="52"/>
        <v>182.11</v>
      </c>
      <c r="H1120" s="5" t="s">
        <v>61</v>
      </c>
      <c r="I1120" s="5" t="s">
        <v>62</v>
      </c>
      <c r="J1120" s="5">
        <v>0.1</v>
      </c>
      <c r="K1120" s="5" t="s">
        <v>78</v>
      </c>
      <c r="L1120" s="6">
        <v>163.899</v>
      </c>
      <c r="M1120" s="5" t="s">
        <v>32</v>
      </c>
      <c r="N1120" s="5" t="s">
        <v>69</v>
      </c>
      <c r="O1120" s="5">
        <v>0</v>
      </c>
      <c r="P1120" s="5" t="s">
        <v>2239</v>
      </c>
      <c r="Q1120" s="5" t="s">
        <v>2240</v>
      </c>
      <c r="R1120" s="5">
        <v>7.31</v>
      </c>
      <c r="S1120" s="4">
        <v>45158</v>
      </c>
      <c r="T1120" s="4">
        <v>45165</v>
      </c>
      <c r="U1120" s="5">
        <f t="shared" si="53"/>
        <v>7</v>
      </c>
      <c r="V1120" s="5" t="s">
        <v>76</v>
      </c>
      <c r="X1120" s="5"/>
    </row>
    <row r="1121" spans="1:24">
      <c r="A1121" s="4">
        <v>45593</v>
      </c>
      <c r="B1121" s="5" t="str">
        <f t="shared" si="51"/>
        <v>October</v>
      </c>
      <c r="C1121" s="5" t="s">
        <v>20</v>
      </c>
      <c r="D1121" s="5" t="s">
        <v>24</v>
      </c>
      <c r="E1121" s="5">
        <v>7</v>
      </c>
      <c r="F1121" s="5">
        <v>466.36</v>
      </c>
      <c r="G1121" s="6">
        <f t="shared" si="52"/>
        <v>3264.52</v>
      </c>
      <c r="H1121" s="5" t="s">
        <v>81</v>
      </c>
      <c r="I1121" s="5" t="s">
        <v>54</v>
      </c>
      <c r="J1121" s="5">
        <v>0.05</v>
      </c>
      <c r="K1121" s="5" t="s">
        <v>89</v>
      </c>
      <c r="L1121" s="6">
        <v>3101.294</v>
      </c>
      <c r="M1121" s="5" t="s">
        <v>30</v>
      </c>
      <c r="N1121" s="5" t="s">
        <v>64</v>
      </c>
      <c r="O1121" s="5">
        <v>1</v>
      </c>
      <c r="P1121" s="5" t="s">
        <v>2241</v>
      </c>
      <c r="Q1121" s="5" t="s">
        <v>2242</v>
      </c>
      <c r="R1121" s="5">
        <v>11.45</v>
      </c>
      <c r="S1121" s="4">
        <v>45593</v>
      </c>
      <c r="T1121" s="4">
        <v>45602</v>
      </c>
      <c r="U1121" s="5">
        <f t="shared" si="53"/>
        <v>9</v>
      </c>
      <c r="V1121" s="5" t="s">
        <v>94</v>
      </c>
      <c r="X1121" s="5"/>
    </row>
    <row r="1122" spans="1:24">
      <c r="A1122" s="4">
        <v>45607</v>
      </c>
      <c r="B1122" s="5" t="str">
        <f t="shared" si="51"/>
        <v>November</v>
      </c>
      <c r="C1122" s="5" t="s">
        <v>16</v>
      </c>
      <c r="D1122" s="5" t="s">
        <v>27</v>
      </c>
      <c r="E1122" s="5">
        <v>15</v>
      </c>
      <c r="F1122" s="5">
        <v>140.54</v>
      </c>
      <c r="G1122" s="6">
        <f t="shared" si="52"/>
        <v>2108.1</v>
      </c>
      <c r="H1122" s="5" t="s">
        <v>61</v>
      </c>
      <c r="I1122" s="5" t="s">
        <v>54</v>
      </c>
      <c r="J1122" s="5">
        <v>0.1</v>
      </c>
      <c r="K1122" s="5" t="s">
        <v>55</v>
      </c>
      <c r="L1122" s="6">
        <v>1897.29</v>
      </c>
      <c r="M1122" s="5" t="s">
        <v>32</v>
      </c>
      <c r="N1122" s="5" t="s">
        <v>64</v>
      </c>
      <c r="O1122" s="5">
        <v>0</v>
      </c>
      <c r="P1122" s="5" t="s">
        <v>2243</v>
      </c>
      <c r="Q1122" s="5" t="s">
        <v>2244</v>
      </c>
      <c r="R1122" s="5">
        <v>49.91</v>
      </c>
      <c r="S1122" s="4">
        <v>45607</v>
      </c>
      <c r="T1122" s="4">
        <v>45617</v>
      </c>
      <c r="U1122" s="5">
        <f t="shared" si="53"/>
        <v>10</v>
      </c>
      <c r="V1122" s="5" t="s">
        <v>59</v>
      </c>
      <c r="X1122" s="5"/>
    </row>
    <row r="1123" spans="1:24">
      <c r="A1123" s="4">
        <v>45267</v>
      </c>
      <c r="B1123" s="5" t="str">
        <f t="shared" si="51"/>
        <v>December</v>
      </c>
      <c r="C1123" s="5" t="s">
        <v>20</v>
      </c>
      <c r="D1123" s="5" t="s">
        <v>24</v>
      </c>
      <c r="E1123" s="5">
        <v>17</v>
      </c>
      <c r="F1123" s="5">
        <v>460.31</v>
      </c>
      <c r="G1123" s="6">
        <f t="shared" si="52"/>
        <v>7825.27</v>
      </c>
      <c r="H1123" s="5" t="s">
        <v>61</v>
      </c>
      <c r="I1123" s="5" t="s">
        <v>62</v>
      </c>
      <c r="J1123" s="5">
        <v>0.15</v>
      </c>
      <c r="K1123" s="5" t="s">
        <v>82</v>
      </c>
      <c r="L1123" s="6">
        <v>6651.4795</v>
      </c>
      <c r="M1123" s="5" t="s">
        <v>30</v>
      </c>
      <c r="N1123" s="5" t="s">
        <v>69</v>
      </c>
      <c r="O1123" s="5">
        <v>0</v>
      </c>
      <c r="P1123" s="5" t="s">
        <v>2245</v>
      </c>
      <c r="Q1123" s="5" t="s">
        <v>2246</v>
      </c>
      <c r="R1123" s="5">
        <v>40.18</v>
      </c>
      <c r="S1123" s="4">
        <v>45267</v>
      </c>
      <c r="T1123" s="4">
        <v>45275</v>
      </c>
      <c r="U1123" s="5">
        <f t="shared" si="53"/>
        <v>8</v>
      </c>
      <c r="V1123" s="5" t="s">
        <v>94</v>
      </c>
      <c r="X1123" s="5"/>
    </row>
    <row r="1124" spans="1:24">
      <c r="A1124" s="4">
        <v>45374</v>
      </c>
      <c r="B1124" s="5" t="str">
        <f t="shared" si="51"/>
        <v>March</v>
      </c>
      <c r="C1124" s="5" t="s">
        <v>20</v>
      </c>
      <c r="D1124" s="5" t="s">
        <v>22</v>
      </c>
      <c r="E1124" s="5">
        <v>5</v>
      </c>
      <c r="F1124" s="5">
        <v>132.87</v>
      </c>
      <c r="G1124" s="6">
        <f t="shared" si="52"/>
        <v>664.35</v>
      </c>
      <c r="H1124" s="5" t="s">
        <v>53</v>
      </c>
      <c r="I1124" s="5" t="s">
        <v>62</v>
      </c>
      <c r="J1124" s="5">
        <v>0</v>
      </c>
      <c r="K1124" s="5" t="s">
        <v>89</v>
      </c>
      <c r="L1124" s="6">
        <v>664.35</v>
      </c>
      <c r="M1124" s="5" t="s">
        <v>33</v>
      </c>
      <c r="N1124" s="5" t="s">
        <v>69</v>
      </c>
      <c r="O1124" s="5">
        <v>0</v>
      </c>
      <c r="P1124" s="5" t="s">
        <v>2247</v>
      </c>
      <c r="Q1124" s="5" t="s">
        <v>2248</v>
      </c>
      <c r="R1124" s="5">
        <v>37.91</v>
      </c>
      <c r="S1124" s="4">
        <v>45374</v>
      </c>
      <c r="T1124" s="4">
        <v>45384</v>
      </c>
      <c r="U1124" s="5">
        <f t="shared" si="53"/>
        <v>10</v>
      </c>
      <c r="V1124" s="5" t="s">
        <v>94</v>
      </c>
      <c r="X1124" s="5"/>
    </row>
    <row r="1125" spans="1:24">
      <c r="A1125" s="4">
        <v>45594</v>
      </c>
      <c r="B1125" s="5" t="str">
        <f t="shared" si="51"/>
        <v>October</v>
      </c>
      <c r="C1125" s="5" t="s">
        <v>20</v>
      </c>
      <c r="D1125" s="5" t="s">
        <v>101</v>
      </c>
      <c r="E1125" s="5">
        <v>12</v>
      </c>
      <c r="F1125" s="5">
        <v>209.86</v>
      </c>
      <c r="G1125" s="6">
        <f t="shared" si="52"/>
        <v>2518.32</v>
      </c>
      <c r="H1125" s="5" t="s">
        <v>81</v>
      </c>
      <c r="I1125" s="5" t="s">
        <v>62</v>
      </c>
      <c r="J1125" s="5">
        <v>0.05</v>
      </c>
      <c r="K1125" s="5" t="s">
        <v>89</v>
      </c>
      <c r="L1125" s="6">
        <v>2392.404</v>
      </c>
      <c r="M1125" s="5" t="s">
        <v>30</v>
      </c>
      <c r="N1125" s="5" t="s">
        <v>69</v>
      </c>
      <c r="O1125" s="5">
        <v>0</v>
      </c>
      <c r="P1125" s="5" t="s">
        <v>2249</v>
      </c>
      <c r="Q1125" s="5" t="s">
        <v>2250</v>
      </c>
      <c r="R1125" s="5">
        <v>8.78</v>
      </c>
      <c r="S1125" s="4">
        <v>45594</v>
      </c>
      <c r="T1125" s="4">
        <v>45598</v>
      </c>
      <c r="U1125" s="5">
        <f t="shared" si="53"/>
        <v>4</v>
      </c>
      <c r="V1125" s="5" t="s">
        <v>94</v>
      </c>
      <c r="X1125" s="5"/>
    </row>
    <row r="1126" spans="1:24">
      <c r="A1126" s="4">
        <v>45825</v>
      </c>
      <c r="B1126" s="5" t="str">
        <f t="shared" si="51"/>
        <v>June</v>
      </c>
      <c r="C1126" s="5" t="s">
        <v>16</v>
      </c>
      <c r="D1126" s="5" t="s">
        <v>22</v>
      </c>
      <c r="E1126" s="5">
        <v>9</v>
      </c>
      <c r="F1126" s="5">
        <v>31.35</v>
      </c>
      <c r="G1126" s="6">
        <f t="shared" si="52"/>
        <v>282.15</v>
      </c>
      <c r="H1126" s="5" t="s">
        <v>53</v>
      </c>
      <c r="I1126" s="5" t="s">
        <v>62</v>
      </c>
      <c r="J1126" s="5">
        <v>0.1</v>
      </c>
      <c r="K1126" s="5" t="s">
        <v>82</v>
      </c>
      <c r="L1126" s="6">
        <v>253.935</v>
      </c>
      <c r="M1126" s="5" t="s">
        <v>34</v>
      </c>
      <c r="N1126" s="5" t="s">
        <v>64</v>
      </c>
      <c r="O1126" s="5">
        <v>0</v>
      </c>
      <c r="P1126" s="5" t="s">
        <v>2251</v>
      </c>
      <c r="Q1126" s="5" t="s">
        <v>2252</v>
      </c>
      <c r="R1126" s="5">
        <v>39.32</v>
      </c>
      <c r="S1126" s="4">
        <v>45825</v>
      </c>
      <c r="T1126" s="4">
        <v>45830</v>
      </c>
      <c r="U1126" s="5">
        <f t="shared" si="53"/>
        <v>5</v>
      </c>
      <c r="V1126" s="5" t="s">
        <v>59</v>
      </c>
      <c r="X1126" s="5"/>
    </row>
    <row r="1127" spans="1:24">
      <c r="A1127" s="4">
        <v>45003</v>
      </c>
      <c r="B1127" s="5" t="str">
        <f t="shared" si="51"/>
        <v>March</v>
      </c>
      <c r="C1127" s="5" t="s">
        <v>18</v>
      </c>
      <c r="D1127" s="5" t="s">
        <v>25</v>
      </c>
      <c r="E1127" s="5">
        <v>11</v>
      </c>
      <c r="F1127" s="5">
        <v>335.11</v>
      </c>
      <c r="G1127" s="6">
        <f t="shared" si="52"/>
        <v>3686.21</v>
      </c>
      <c r="H1127" s="5" t="s">
        <v>77</v>
      </c>
      <c r="I1127" s="5" t="s">
        <v>62</v>
      </c>
      <c r="J1127" s="5">
        <v>0</v>
      </c>
      <c r="K1127" s="5" t="s">
        <v>73</v>
      </c>
      <c r="L1127" s="6">
        <v>3686.21</v>
      </c>
      <c r="M1127" s="5" t="s">
        <v>31</v>
      </c>
      <c r="N1127" s="5" t="s">
        <v>56</v>
      </c>
      <c r="O1127" s="5">
        <v>0</v>
      </c>
      <c r="P1127" s="5" t="s">
        <v>2253</v>
      </c>
      <c r="Q1127" s="5" t="s">
        <v>2254</v>
      </c>
      <c r="R1127" s="5">
        <v>29.95</v>
      </c>
      <c r="S1127" s="4">
        <v>45003</v>
      </c>
      <c r="T1127" s="4">
        <v>45011</v>
      </c>
      <c r="U1127" s="5">
        <f t="shared" si="53"/>
        <v>8</v>
      </c>
      <c r="V1127" s="5" t="s">
        <v>72</v>
      </c>
      <c r="X1127" s="5"/>
    </row>
    <row r="1128" spans="1:24">
      <c r="A1128" s="4">
        <v>44945</v>
      </c>
      <c r="B1128" s="5" t="str">
        <f t="shared" si="51"/>
        <v>January</v>
      </c>
      <c r="C1128" s="5" t="s">
        <v>16</v>
      </c>
      <c r="D1128" s="5" t="s">
        <v>23</v>
      </c>
      <c r="E1128" s="5">
        <v>8</v>
      </c>
      <c r="F1128" s="5">
        <v>277.43</v>
      </c>
      <c r="G1128" s="6">
        <f t="shared" si="52"/>
        <v>2219.44</v>
      </c>
      <c r="H1128" s="5" t="s">
        <v>81</v>
      </c>
      <c r="I1128" s="5" t="s">
        <v>54</v>
      </c>
      <c r="J1128" s="5">
        <v>0</v>
      </c>
      <c r="K1128" s="5" t="s">
        <v>78</v>
      </c>
      <c r="L1128" s="6">
        <v>2219.44</v>
      </c>
      <c r="M1128" s="5" t="s">
        <v>30</v>
      </c>
      <c r="N1128" s="5" t="s">
        <v>64</v>
      </c>
      <c r="O1128" s="5">
        <v>0</v>
      </c>
      <c r="P1128" s="5" t="s">
        <v>2255</v>
      </c>
      <c r="Q1128" s="5" t="s">
        <v>2256</v>
      </c>
      <c r="R1128" s="5">
        <v>36.38</v>
      </c>
      <c r="S1128" s="4">
        <v>44945</v>
      </c>
      <c r="T1128" s="4">
        <v>44949</v>
      </c>
      <c r="U1128" s="5">
        <f t="shared" si="53"/>
        <v>4</v>
      </c>
      <c r="V1128" s="5" t="s">
        <v>59</v>
      </c>
      <c r="X1128" s="5"/>
    </row>
    <row r="1129" spans="1:24">
      <c r="A1129" s="4">
        <v>45116</v>
      </c>
      <c r="B1129" s="5" t="str">
        <f t="shared" si="51"/>
        <v>July</v>
      </c>
      <c r="C1129" s="5" t="s">
        <v>20</v>
      </c>
      <c r="D1129" s="5" t="s">
        <v>24</v>
      </c>
      <c r="E1129" s="5">
        <v>6</v>
      </c>
      <c r="F1129" s="5">
        <v>287.72</v>
      </c>
      <c r="G1129" s="6">
        <f t="shared" si="52"/>
        <v>1726.32</v>
      </c>
      <c r="H1129" s="5" t="s">
        <v>61</v>
      </c>
      <c r="I1129" s="5" t="s">
        <v>62</v>
      </c>
      <c r="J1129" s="5">
        <v>0.05</v>
      </c>
      <c r="K1129" s="5" t="s">
        <v>89</v>
      </c>
      <c r="L1129" s="6">
        <v>1640.004</v>
      </c>
      <c r="M1129" s="5" t="s">
        <v>33</v>
      </c>
      <c r="N1129" s="5" t="s">
        <v>69</v>
      </c>
      <c r="O1129" s="5">
        <v>0</v>
      </c>
      <c r="P1129" s="5" t="s">
        <v>2257</v>
      </c>
      <c r="Q1129" s="5" t="s">
        <v>2258</v>
      </c>
      <c r="R1129" s="5">
        <v>17.14</v>
      </c>
      <c r="S1129" s="4">
        <v>45116</v>
      </c>
      <c r="T1129" s="4">
        <v>45121</v>
      </c>
      <c r="U1129" s="5">
        <f t="shared" si="53"/>
        <v>5</v>
      </c>
      <c r="V1129" s="5" t="s">
        <v>94</v>
      </c>
      <c r="X1129" s="5"/>
    </row>
    <row r="1130" spans="1:24">
      <c r="A1130" s="4">
        <v>45732</v>
      </c>
      <c r="B1130" s="5" t="str">
        <f t="shared" si="51"/>
        <v>March</v>
      </c>
      <c r="C1130" s="5" t="s">
        <v>16</v>
      </c>
      <c r="D1130" s="5" t="s">
        <v>22</v>
      </c>
      <c r="E1130" s="5">
        <v>14</v>
      </c>
      <c r="F1130" s="5">
        <v>459.61</v>
      </c>
      <c r="G1130" s="6">
        <f t="shared" si="52"/>
        <v>6434.54</v>
      </c>
      <c r="H1130" s="5" t="s">
        <v>53</v>
      </c>
      <c r="I1130" s="5" t="s">
        <v>62</v>
      </c>
      <c r="J1130" s="5">
        <v>0.05</v>
      </c>
      <c r="K1130" s="5" t="s">
        <v>73</v>
      </c>
      <c r="L1130" s="6">
        <v>6112.813</v>
      </c>
      <c r="M1130" s="5" t="s">
        <v>30</v>
      </c>
      <c r="N1130" s="5"/>
      <c r="O1130" s="5">
        <v>1</v>
      </c>
      <c r="P1130" s="5" t="s">
        <v>2259</v>
      </c>
      <c r="Q1130" s="5" t="s">
        <v>2260</v>
      </c>
      <c r="R1130" s="5">
        <v>43.41</v>
      </c>
      <c r="S1130" s="4">
        <v>45732</v>
      </c>
      <c r="T1130" s="4">
        <v>45742</v>
      </c>
      <c r="U1130" s="5">
        <f t="shared" si="53"/>
        <v>10</v>
      </c>
      <c r="V1130" s="5" t="s">
        <v>59</v>
      </c>
      <c r="X1130" s="5"/>
    </row>
    <row r="1131" spans="1:24">
      <c r="A1131" s="4">
        <v>45696</v>
      </c>
      <c r="B1131" s="5" t="str">
        <f t="shared" si="51"/>
        <v>February</v>
      </c>
      <c r="C1131" s="5" t="s">
        <v>18</v>
      </c>
      <c r="D1131" s="5" t="s">
        <v>101</v>
      </c>
      <c r="E1131" s="5">
        <v>10</v>
      </c>
      <c r="F1131" s="5">
        <v>396.73</v>
      </c>
      <c r="G1131" s="6">
        <f t="shared" si="52"/>
        <v>3967.3</v>
      </c>
      <c r="H1131" s="5" t="s">
        <v>53</v>
      </c>
      <c r="I1131" s="5" t="s">
        <v>62</v>
      </c>
      <c r="J1131" s="5">
        <v>0.1</v>
      </c>
      <c r="K1131" s="5" t="s">
        <v>55</v>
      </c>
      <c r="L1131" s="6">
        <v>3570.57</v>
      </c>
      <c r="M1131" s="5" t="s">
        <v>30</v>
      </c>
      <c r="N1131" s="5" t="s">
        <v>56</v>
      </c>
      <c r="O1131" s="5">
        <v>0</v>
      </c>
      <c r="P1131" s="5" t="s">
        <v>2261</v>
      </c>
      <c r="Q1131" s="5" t="s">
        <v>2262</v>
      </c>
      <c r="R1131" s="5">
        <v>18.13</v>
      </c>
      <c r="S1131" s="4">
        <v>45696</v>
      </c>
      <c r="T1131" s="4">
        <v>45701</v>
      </c>
      <c r="U1131" s="5">
        <f t="shared" si="53"/>
        <v>5</v>
      </c>
      <c r="V1131" s="5" t="s">
        <v>72</v>
      </c>
      <c r="X1131" s="5"/>
    </row>
    <row r="1132" spans="1:24">
      <c r="A1132" s="4">
        <v>45402</v>
      </c>
      <c r="B1132" s="5" t="str">
        <f t="shared" si="51"/>
        <v>April</v>
      </c>
      <c r="C1132" s="5" t="s">
        <v>17</v>
      </c>
      <c r="D1132" s="5" t="s">
        <v>27</v>
      </c>
      <c r="E1132" s="5">
        <v>20</v>
      </c>
      <c r="F1132" s="5">
        <v>516.43</v>
      </c>
      <c r="G1132" s="6">
        <f t="shared" si="52"/>
        <v>10328.6</v>
      </c>
      <c r="H1132" s="5" t="s">
        <v>53</v>
      </c>
      <c r="I1132" s="5" t="s">
        <v>62</v>
      </c>
      <c r="J1132" s="5">
        <v>0</v>
      </c>
      <c r="K1132" s="5" t="s">
        <v>89</v>
      </c>
      <c r="L1132" s="6">
        <v>10328.6</v>
      </c>
      <c r="M1132" s="5" t="s">
        <v>30</v>
      </c>
      <c r="N1132" s="5" t="s">
        <v>56</v>
      </c>
      <c r="O1132" s="5">
        <v>0</v>
      </c>
      <c r="P1132" s="5" t="s">
        <v>2263</v>
      </c>
      <c r="Q1132" s="5" t="s">
        <v>313</v>
      </c>
      <c r="R1132" s="5">
        <v>36.23</v>
      </c>
      <c r="S1132" s="4">
        <v>45402</v>
      </c>
      <c r="T1132" s="4">
        <v>45404</v>
      </c>
      <c r="U1132" s="5">
        <f t="shared" si="53"/>
        <v>2</v>
      </c>
      <c r="V1132" s="5" t="s">
        <v>67</v>
      </c>
      <c r="X1132" s="5"/>
    </row>
    <row r="1133" spans="1:24">
      <c r="A1133" s="4">
        <v>45813</v>
      </c>
      <c r="B1133" s="5" t="str">
        <f t="shared" si="51"/>
        <v>June</v>
      </c>
      <c r="C1133" s="5" t="s">
        <v>16</v>
      </c>
      <c r="D1133" s="5" t="s">
        <v>22</v>
      </c>
      <c r="E1133" s="5">
        <v>1</v>
      </c>
      <c r="F1133" s="5">
        <v>299.66</v>
      </c>
      <c r="G1133" s="6">
        <f t="shared" si="52"/>
        <v>299.66</v>
      </c>
      <c r="H1133" s="5" t="s">
        <v>61</v>
      </c>
      <c r="I1133" s="5" t="s">
        <v>62</v>
      </c>
      <c r="J1133" s="5">
        <v>0.1</v>
      </c>
      <c r="K1133" s="5" t="s">
        <v>82</v>
      </c>
      <c r="L1133" s="6">
        <v>269.694</v>
      </c>
      <c r="M1133" s="5" t="s">
        <v>34</v>
      </c>
      <c r="N1133" s="5" t="s">
        <v>64</v>
      </c>
      <c r="O1133" s="5">
        <v>0</v>
      </c>
      <c r="P1133" s="5" t="s">
        <v>2264</v>
      </c>
      <c r="Q1133" s="5" t="s">
        <v>2265</v>
      </c>
      <c r="R1133" s="5">
        <v>38.94</v>
      </c>
      <c r="S1133" s="4">
        <v>45813</v>
      </c>
      <c r="T1133" s="4">
        <v>45815</v>
      </c>
      <c r="U1133" s="5">
        <f t="shared" si="53"/>
        <v>2</v>
      </c>
      <c r="V1133" s="5" t="s">
        <v>59</v>
      </c>
      <c r="X1133" s="5"/>
    </row>
    <row r="1134" spans="1:24">
      <c r="A1134" s="4">
        <v>45772</v>
      </c>
      <c r="B1134" s="5" t="str">
        <f t="shared" si="51"/>
        <v>April</v>
      </c>
      <c r="C1134" s="5" t="s">
        <v>17</v>
      </c>
      <c r="D1134" s="5" t="s">
        <v>25</v>
      </c>
      <c r="E1134" s="5">
        <v>12</v>
      </c>
      <c r="F1134" s="5">
        <v>31.72</v>
      </c>
      <c r="G1134" s="6">
        <f t="shared" si="52"/>
        <v>380.64</v>
      </c>
      <c r="H1134" s="5" t="s">
        <v>53</v>
      </c>
      <c r="I1134" s="5" t="s">
        <v>62</v>
      </c>
      <c r="J1134" s="5">
        <v>0</v>
      </c>
      <c r="K1134" s="5" t="s">
        <v>63</v>
      </c>
      <c r="L1134" s="6">
        <v>380.64</v>
      </c>
      <c r="M1134" s="5" t="s">
        <v>33</v>
      </c>
      <c r="N1134" s="5" t="s">
        <v>64</v>
      </c>
      <c r="O1134" s="5">
        <v>0</v>
      </c>
      <c r="P1134" s="5" t="s">
        <v>2266</v>
      </c>
      <c r="Q1134" s="5" t="s">
        <v>2267</v>
      </c>
      <c r="R1134" s="5">
        <v>30.78</v>
      </c>
      <c r="S1134" s="4">
        <v>45772</v>
      </c>
      <c r="T1134" s="4">
        <v>45780</v>
      </c>
      <c r="U1134" s="5">
        <f t="shared" si="53"/>
        <v>8</v>
      </c>
      <c r="V1134" s="5" t="s">
        <v>67</v>
      </c>
      <c r="X1134" s="5"/>
    </row>
    <row r="1135" spans="1:24">
      <c r="A1135" s="4">
        <v>45175</v>
      </c>
      <c r="B1135" s="5" t="str">
        <f t="shared" si="51"/>
        <v>September</v>
      </c>
      <c r="C1135" s="5" t="s">
        <v>19</v>
      </c>
      <c r="D1135" s="5" t="s">
        <v>23</v>
      </c>
      <c r="E1135" s="5">
        <v>17</v>
      </c>
      <c r="F1135" s="5">
        <v>588.58</v>
      </c>
      <c r="G1135" s="6">
        <f t="shared" si="52"/>
        <v>10005.86</v>
      </c>
      <c r="H1135" s="5" t="s">
        <v>81</v>
      </c>
      <c r="I1135" s="5" t="s">
        <v>54</v>
      </c>
      <c r="J1135" s="5">
        <v>0.05</v>
      </c>
      <c r="K1135" s="5" t="s">
        <v>82</v>
      </c>
      <c r="L1135" s="6">
        <v>9505.567</v>
      </c>
      <c r="M1135" s="5" t="s">
        <v>33</v>
      </c>
      <c r="N1135" s="5" t="s">
        <v>64</v>
      </c>
      <c r="O1135" s="5">
        <v>1</v>
      </c>
      <c r="P1135" s="5" t="s">
        <v>2268</v>
      </c>
      <c r="Q1135" s="5" t="s">
        <v>2269</v>
      </c>
      <c r="R1135" s="5">
        <v>25.31</v>
      </c>
      <c r="S1135" s="4">
        <v>45175</v>
      </c>
      <c r="T1135" s="4">
        <v>45182</v>
      </c>
      <c r="U1135" s="5">
        <f t="shared" si="53"/>
        <v>7</v>
      </c>
      <c r="V1135" s="5" t="s">
        <v>76</v>
      </c>
      <c r="X1135" s="5"/>
    </row>
    <row r="1136" spans="1:24">
      <c r="A1136" s="4">
        <v>45198</v>
      </c>
      <c r="B1136" s="5" t="str">
        <f t="shared" si="51"/>
        <v>September</v>
      </c>
      <c r="C1136" s="5" t="s">
        <v>16</v>
      </c>
      <c r="D1136" s="5" t="s">
        <v>22</v>
      </c>
      <c r="E1136" s="5">
        <v>11</v>
      </c>
      <c r="F1136" s="5">
        <v>203.15</v>
      </c>
      <c r="G1136" s="6">
        <f t="shared" si="52"/>
        <v>2234.65</v>
      </c>
      <c r="H1136" s="5" t="s">
        <v>77</v>
      </c>
      <c r="I1136" s="5" t="s">
        <v>62</v>
      </c>
      <c r="J1136" s="5">
        <v>0.1</v>
      </c>
      <c r="K1136" s="5" t="s">
        <v>55</v>
      </c>
      <c r="L1136" s="6">
        <v>2011.185</v>
      </c>
      <c r="M1136" s="5" t="s">
        <v>30</v>
      </c>
      <c r="N1136" s="5" t="s">
        <v>56</v>
      </c>
      <c r="O1136" s="5">
        <v>0</v>
      </c>
      <c r="P1136" s="5" t="s">
        <v>2270</v>
      </c>
      <c r="Q1136" s="5" t="s">
        <v>2271</v>
      </c>
      <c r="R1136" s="5">
        <v>30.97</v>
      </c>
      <c r="S1136" s="4">
        <v>45198</v>
      </c>
      <c r="T1136" s="4">
        <v>45201</v>
      </c>
      <c r="U1136" s="5">
        <f t="shared" si="53"/>
        <v>3</v>
      </c>
      <c r="V1136" s="5" t="s">
        <v>59</v>
      </c>
      <c r="X1136" s="5"/>
    </row>
    <row r="1137" spans="1:24">
      <c r="A1137" s="4">
        <v>45433</v>
      </c>
      <c r="B1137" s="5" t="str">
        <f t="shared" si="51"/>
        <v>May</v>
      </c>
      <c r="C1137" s="5" t="s">
        <v>19</v>
      </c>
      <c r="D1137" s="5" t="s">
        <v>26</v>
      </c>
      <c r="E1137" s="5">
        <v>18</v>
      </c>
      <c r="F1137" s="5">
        <v>139.14</v>
      </c>
      <c r="G1137" s="6">
        <f t="shared" si="52"/>
        <v>2504.52</v>
      </c>
      <c r="H1137" s="5" t="s">
        <v>61</v>
      </c>
      <c r="I1137" s="5" t="s">
        <v>54</v>
      </c>
      <c r="J1137" s="5">
        <v>0</v>
      </c>
      <c r="K1137" s="5" t="s">
        <v>78</v>
      </c>
      <c r="L1137" s="6">
        <v>2504.52</v>
      </c>
      <c r="M1137" s="5" t="s">
        <v>30</v>
      </c>
      <c r="N1137" s="5" t="s">
        <v>56</v>
      </c>
      <c r="O1137" s="5">
        <v>1</v>
      </c>
      <c r="P1137" s="5" t="s">
        <v>2272</v>
      </c>
      <c r="Q1137" s="5" t="s">
        <v>2273</v>
      </c>
      <c r="R1137" s="5">
        <v>10.56</v>
      </c>
      <c r="S1137" s="4">
        <v>45433</v>
      </c>
      <c r="T1137" s="4">
        <v>45435</v>
      </c>
      <c r="U1137" s="5">
        <f t="shared" si="53"/>
        <v>2</v>
      </c>
      <c r="V1137" s="5" t="s">
        <v>76</v>
      </c>
      <c r="X1137" s="5"/>
    </row>
    <row r="1138" spans="1:24">
      <c r="A1138" s="4">
        <v>45760</v>
      </c>
      <c r="B1138" s="5" t="str">
        <f t="shared" si="51"/>
        <v>April</v>
      </c>
      <c r="C1138" s="5" t="s">
        <v>20</v>
      </c>
      <c r="D1138" s="5" t="s">
        <v>26</v>
      </c>
      <c r="E1138" s="5">
        <v>2</v>
      </c>
      <c r="F1138" s="5">
        <v>158.99</v>
      </c>
      <c r="G1138" s="6">
        <f t="shared" si="52"/>
        <v>317.98</v>
      </c>
      <c r="H1138" s="5" t="s">
        <v>61</v>
      </c>
      <c r="I1138" s="5" t="s">
        <v>54</v>
      </c>
      <c r="J1138" s="5">
        <v>0</v>
      </c>
      <c r="K1138" s="5" t="s">
        <v>89</v>
      </c>
      <c r="L1138" s="6">
        <v>317.98</v>
      </c>
      <c r="M1138" s="5" t="s">
        <v>30</v>
      </c>
      <c r="N1138" s="5"/>
      <c r="O1138" s="5">
        <v>0</v>
      </c>
      <c r="P1138" s="5" t="s">
        <v>2274</v>
      </c>
      <c r="Q1138" s="5" t="s">
        <v>2275</v>
      </c>
      <c r="R1138" s="5">
        <v>48.32</v>
      </c>
      <c r="S1138" s="4">
        <v>45760</v>
      </c>
      <c r="T1138" s="4">
        <v>45766</v>
      </c>
      <c r="U1138" s="5">
        <f t="shared" si="53"/>
        <v>6</v>
      </c>
      <c r="V1138" s="5" t="s">
        <v>94</v>
      </c>
      <c r="X1138" s="5"/>
    </row>
    <row r="1139" spans="1:24">
      <c r="A1139" s="4">
        <v>45612</v>
      </c>
      <c r="B1139" s="5" t="str">
        <f t="shared" si="51"/>
        <v>November</v>
      </c>
      <c r="C1139" s="5" t="s">
        <v>16</v>
      </c>
      <c r="D1139" s="5" t="s">
        <v>25</v>
      </c>
      <c r="E1139" s="5">
        <v>3</v>
      </c>
      <c r="F1139" s="5">
        <v>387.63</v>
      </c>
      <c r="G1139" s="6">
        <f t="shared" si="52"/>
        <v>1162.89</v>
      </c>
      <c r="H1139" s="5" t="s">
        <v>61</v>
      </c>
      <c r="I1139" s="5" t="s">
        <v>54</v>
      </c>
      <c r="J1139" s="5">
        <v>0</v>
      </c>
      <c r="K1139" s="5" t="s">
        <v>82</v>
      </c>
      <c r="L1139" s="6">
        <v>1162.89</v>
      </c>
      <c r="M1139" s="5" t="s">
        <v>32</v>
      </c>
      <c r="N1139" s="5" t="s">
        <v>69</v>
      </c>
      <c r="O1139" s="5">
        <v>0</v>
      </c>
      <c r="P1139" s="5" t="s">
        <v>2276</v>
      </c>
      <c r="Q1139" s="5" t="s">
        <v>2277</v>
      </c>
      <c r="R1139" s="5">
        <v>30.08</v>
      </c>
      <c r="S1139" s="4">
        <v>45612</v>
      </c>
      <c r="T1139" s="4">
        <v>45616</v>
      </c>
      <c r="U1139" s="5">
        <f t="shared" si="53"/>
        <v>4</v>
      </c>
      <c r="V1139" s="5" t="s">
        <v>59</v>
      </c>
      <c r="X1139" s="5"/>
    </row>
    <row r="1140" spans="1:24">
      <c r="A1140" s="4">
        <v>45493</v>
      </c>
      <c r="B1140" s="5" t="str">
        <f t="shared" si="51"/>
        <v>July</v>
      </c>
      <c r="C1140" s="5" t="s">
        <v>18</v>
      </c>
      <c r="D1140" s="5" t="s">
        <v>24</v>
      </c>
      <c r="E1140" s="5">
        <v>5</v>
      </c>
      <c r="F1140" s="5">
        <v>202.12</v>
      </c>
      <c r="G1140" s="6">
        <f t="shared" si="52"/>
        <v>1010.6</v>
      </c>
      <c r="H1140" s="5" t="s">
        <v>61</v>
      </c>
      <c r="I1140" s="5" t="s">
        <v>62</v>
      </c>
      <c r="J1140" s="5">
        <v>0.1</v>
      </c>
      <c r="K1140" s="5" t="s">
        <v>82</v>
      </c>
      <c r="L1140" s="6">
        <v>909.54</v>
      </c>
      <c r="M1140" s="5" t="s">
        <v>30</v>
      </c>
      <c r="N1140" s="5" t="s">
        <v>56</v>
      </c>
      <c r="O1140" s="5">
        <v>1</v>
      </c>
      <c r="P1140" s="5" t="s">
        <v>2278</v>
      </c>
      <c r="Q1140" s="5" t="s">
        <v>2234</v>
      </c>
      <c r="R1140" s="5">
        <v>45.61</v>
      </c>
      <c r="S1140" s="4">
        <v>45493</v>
      </c>
      <c r="T1140" s="4">
        <v>45501</v>
      </c>
      <c r="U1140" s="5">
        <f t="shared" si="53"/>
        <v>8</v>
      </c>
      <c r="V1140" s="5" t="s">
        <v>72</v>
      </c>
      <c r="X1140" s="5"/>
    </row>
    <row r="1141" spans="1:24">
      <c r="A1141" s="4">
        <v>45066</v>
      </c>
      <c r="B1141" s="5" t="str">
        <f t="shared" si="51"/>
        <v>May</v>
      </c>
      <c r="C1141" s="5" t="s">
        <v>18</v>
      </c>
      <c r="D1141" s="5" t="s">
        <v>24</v>
      </c>
      <c r="E1141" s="5">
        <v>4</v>
      </c>
      <c r="F1141" s="5">
        <v>334.57</v>
      </c>
      <c r="G1141" s="6">
        <f t="shared" si="52"/>
        <v>1338.28</v>
      </c>
      <c r="H1141" s="5" t="s">
        <v>77</v>
      </c>
      <c r="I1141" s="5" t="s">
        <v>62</v>
      </c>
      <c r="J1141" s="5">
        <v>0.15</v>
      </c>
      <c r="K1141" s="5" t="s">
        <v>78</v>
      </c>
      <c r="L1141" s="6">
        <v>1137.538</v>
      </c>
      <c r="M1141" s="5" t="s">
        <v>31</v>
      </c>
      <c r="N1141" s="5"/>
      <c r="O1141" s="5">
        <v>0</v>
      </c>
      <c r="P1141" s="5" t="s">
        <v>2279</v>
      </c>
      <c r="Q1141" s="5" t="s">
        <v>2280</v>
      </c>
      <c r="R1141" s="5">
        <v>11.49</v>
      </c>
      <c r="S1141" s="4">
        <v>45066</v>
      </c>
      <c r="T1141" s="4">
        <v>45073</v>
      </c>
      <c r="U1141" s="5">
        <f t="shared" si="53"/>
        <v>7</v>
      </c>
      <c r="V1141" s="5" t="s">
        <v>72</v>
      </c>
      <c r="X1141" s="5"/>
    </row>
    <row r="1142" spans="1:24">
      <c r="A1142" s="4">
        <v>45221</v>
      </c>
      <c r="B1142" s="5" t="str">
        <f t="shared" si="51"/>
        <v>October</v>
      </c>
      <c r="C1142" s="5" t="s">
        <v>20</v>
      </c>
      <c r="D1142" s="5" t="s">
        <v>23</v>
      </c>
      <c r="E1142" s="5">
        <v>16</v>
      </c>
      <c r="F1142" s="5">
        <v>486.71</v>
      </c>
      <c r="G1142" s="6">
        <f t="shared" si="52"/>
        <v>7787.36</v>
      </c>
      <c r="H1142" s="5" t="s">
        <v>53</v>
      </c>
      <c r="I1142" s="5" t="s">
        <v>54</v>
      </c>
      <c r="J1142" s="5">
        <v>0.15</v>
      </c>
      <c r="K1142" s="5" t="s">
        <v>78</v>
      </c>
      <c r="L1142" s="6">
        <v>6619.256</v>
      </c>
      <c r="M1142" s="5" t="s">
        <v>30</v>
      </c>
      <c r="N1142" s="5" t="s">
        <v>56</v>
      </c>
      <c r="O1142" s="5">
        <v>1</v>
      </c>
      <c r="P1142" s="5" t="s">
        <v>2281</v>
      </c>
      <c r="Q1142" s="5" t="s">
        <v>2282</v>
      </c>
      <c r="R1142" s="5">
        <v>12.53</v>
      </c>
      <c r="S1142" s="4">
        <v>45221</v>
      </c>
      <c r="T1142" s="4">
        <v>45225</v>
      </c>
      <c r="U1142" s="5">
        <f t="shared" si="53"/>
        <v>4</v>
      </c>
      <c r="V1142" s="5" t="s">
        <v>94</v>
      </c>
      <c r="X1142" s="5"/>
    </row>
    <row r="1143" spans="1:24">
      <c r="A1143" s="4">
        <v>45795</v>
      </c>
      <c r="B1143" s="5" t="str">
        <f t="shared" si="51"/>
        <v>May</v>
      </c>
      <c r="C1143" s="5" t="s">
        <v>18</v>
      </c>
      <c r="D1143" s="5" t="s">
        <v>26</v>
      </c>
      <c r="E1143" s="5">
        <v>2</v>
      </c>
      <c r="F1143" s="5">
        <v>188.29</v>
      </c>
      <c r="G1143" s="6">
        <f t="shared" si="52"/>
        <v>376.58</v>
      </c>
      <c r="H1143" s="5" t="s">
        <v>81</v>
      </c>
      <c r="I1143" s="5" t="s">
        <v>54</v>
      </c>
      <c r="J1143" s="5">
        <v>0.15</v>
      </c>
      <c r="K1143" s="5" t="s">
        <v>89</v>
      </c>
      <c r="L1143" s="6">
        <v>320.093</v>
      </c>
      <c r="M1143" s="5" t="s">
        <v>32</v>
      </c>
      <c r="N1143" s="5" t="s">
        <v>64</v>
      </c>
      <c r="O1143" s="5">
        <v>0</v>
      </c>
      <c r="P1143" s="5" t="s">
        <v>2283</v>
      </c>
      <c r="Q1143" s="5" t="s">
        <v>2284</v>
      </c>
      <c r="R1143" s="5">
        <v>32.22</v>
      </c>
      <c r="S1143" s="4">
        <v>45795</v>
      </c>
      <c r="T1143" s="4">
        <v>45798</v>
      </c>
      <c r="U1143" s="5">
        <f t="shared" si="53"/>
        <v>3</v>
      </c>
      <c r="V1143" s="5" t="s">
        <v>72</v>
      </c>
      <c r="X1143" s="5"/>
    </row>
    <row r="1144" spans="1:24">
      <c r="A1144" s="4">
        <v>45354</v>
      </c>
      <c r="B1144" s="5" t="str">
        <f t="shared" si="51"/>
        <v>March</v>
      </c>
      <c r="C1144" s="5" t="s">
        <v>17</v>
      </c>
      <c r="D1144" s="5" t="s">
        <v>22</v>
      </c>
      <c r="E1144" s="5">
        <v>3</v>
      </c>
      <c r="F1144" s="5">
        <v>260.72</v>
      </c>
      <c r="G1144" s="6">
        <f t="shared" si="52"/>
        <v>782.16</v>
      </c>
      <c r="H1144" s="5" t="s">
        <v>53</v>
      </c>
      <c r="I1144" s="5" t="s">
        <v>54</v>
      </c>
      <c r="J1144" s="5">
        <v>0.15</v>
      </c>
      <c r="K1144" s="5" t="s">
        <v>73</v>
      </c>
      <c r="L1144" s="6">
        <v>664.836</v>
      </c>
      <c r="M1144" s="5" t="s">
        <v>30</v>
      </c>
      <c r="N1144" s="5" t="s">
        <v>69</v>
      </c>
      <c r="O1144" s="5">
        <v>0</v>
      </c>
      <c r="P1144" s="5" t="s">
        <v>2285</v>
      </c>
      <c r="Q1144" s="5" t="s">
        <v>2286</v>
      </c>
      <c r="R1144" s="5">
        <v>19.41</v>
      </c>
      <c r="S1144" s="4">
        <v>45354</v>
      </c>
      <c r="T1144" s="4">
        <v>45357</v>
      </c>
      <c r="U1144" s="5">
        <f t="shared" si="53"/>
        <v>3</v>
      </c>
      <c r="V1144" s="5" t="s">
        <v>67</v>
      </c>
      <c r="X1144" s="5"/>
    </row>
    <row r="1145" spans="1:24">
      <c r="A1145" s="4">
        <v>45130</v>
      </c>
      <c r="B1145" s="5" t="str">
        <f t="shared" si="51"/>
        <v>July</v>
      </c>
      <c r="C1145" s="5" t="s">
        <v>16</v>
      </c>
      <c r="D1145" s="5" t="s">
        <v>24</v>
      </c>
      <c r="E1145" s="5">
        <v>6</v>
      </c>
      <c r="F1145" s="5">
        <v>358.27</v>
      </c>
      <c r="G1145" s="6">
        <f t="shared" si="52"/>
        <v>2149.62</v>
      </c>
      <c r="H1145" s="5" t="s">
        <v>53</v>
      </c>
      <c r="I1145" s="5" t="s">
        <v>62</v>
      </c>
      <c r="J1145" s="5">
        <v>0.1</v>
      </c>
      <c r="K1145" s="5" t="s">
        <v>73</v>
      </c>
      <c r="L1145" s="6">
        <v>1934.658</v>
      </c>
      <c r="M1145" s="5" t="s">
        <v>31</v>
      </c>
      <c r="N1145" s="5"/>
      <c r="O1145" s="5">
        <v>0</v>
      </c>
      <c r="P1145" s="5" t="s">
        <v>2287</v>
      </c>
      <c r="Q1145" s="5" t="s">
        <v>2155</v>
      </c>
      <c r="R1145" s="5">
        <v>7.34</v>
      </c>
      <c r="S1145" s="4">
        <v>45130</v>
      </c>
      <c r="T1145" s="4">
        <v>45140</v>
      </c>
      <c r="U1145" s="5">
        <f t="shared" si="53"/>
        <v>10</v>
      </c>
      <c r="V1145" s="5" t="s">
        <v>59</v>
      </c>
      <c r="X1145" s="5"/>
    </row>
    <row r="1146" spans="1:24">
      <c r="A1146" s="4">
        <v>45697</v>
      </c>
      <c r="B1146" s="5" t="str">
        <f t="shared" si="51"/>
        <v>February</v>
      </c>
      <c r="C1146" s="5" t="s">
        <v>18</v>
      </c>
      <c r="D1146" s="5" t="s">
        <v>24</v>
      </c>
      <c r="E1146" s="5">
        <v>13</v>
      </c>
      <c r="F1146" s="5">
        <v>492.66</v>
      </c>
      <c r="G1146" s="6">
        <f t="shared" si="52"/>
        <v>6404.58</v>
      </c>
      <c r="H1146" s="5" t="s">
        <v>53</v>
      </c>
      <c r="I1146" s="5" t="s">
        <v>62</v>
      </c>
      <c r="J1146" s="5">
        <v>0.1</v>
      </c>
      <c r="K1146" s="5" t="s">
        <v>73</v>
      </c>
      <c r="L1146" s="6">
        <v>5764.122</v>
      </c>
      <c r="M1146" s="5" t="s">
        <v>31</v>
      </c>
      <c r="N1146" s="5" t="s">
        <v>56</v>
      </c>
      <c r="O1146" s="5">
        <v>0</v>
      </c>
      <c r="P1146" s="5" t="s">
        <v>2288</v>
      </c>
      <c r="Q1146" s="5" t="s">
        <v>2289</v>
      </c>
      <c r="R1146" s="5">
        <v>46.21</v>
      </c>
      <c r="S1146" s="4">
        <v>45697</v>
      </c>
      <c r="T1146" s="4">
        <v>45702</v>
      </c>
      <c r="U1146" s="5">
        <f t="shared" si="53"/>
        <v>5</v>
      </c>
      <c r="V1146" s="5" t="s">
        <v>72</v>
      </c>
      <c r="X1146" s="5"/>
    </row>
    <row r="1147" spans="1:24">
      <c r="A1147" s="4">
        <v>44943</v>
      </c>
      <c r="B1147" s="5" t="str">
        <f t="shared" si="51"/>
        <v>January</v>
      </c>
      <c r="C1147" s="5" t="s">
        <v>17</v>
      </c>
      <c r="D1147" s="5" t="s">
        <v>25</v>
      </c>
      <c r="E1147" s="5">
        <v>3</v>
      </c>
      <c r="F1147" s="5">
        <v>348.38</v>
      </c>
      <c r="G1147" s="6">
        <f t="shared" si="52"/>
        <v>1045.14</v>
      </c>
      <c r="H1147" s="5" t="s">
        <v>53</v>
      </c>
      <c r="I1147" s="5" t="s">
        <v>54</v>
      </c>
      <c r="J1147" s="5">
        <v>0</v>
      </c>
      <c r="K1147" s="5" t="s">
        <v>78</v>
      </c>
      <c r="L1147" s="6">
        <v>1045.14</v>
      </c>
      <c r="M1147" s="5" t="s">
        <v>31</v>
      </c>
      <c r="N1147" s="5" t="s">
        <v>56</v>
      </c>
      <c r="O1147" s="5">
        <v>0</v>
      </c>
      <c r="P1147" s="5" t="s">
        <v>2290</v>
      </c>
      <c r="Q1147" s="5" t="s">
        <v>2291</v>
      </c>
      <c r="R1147" s="5">
        <v>26.25</v>
      </c>
      <c r="S1147" s="4">
        <v>44943</v>
      </c>
      <c r="T1147" s="4">
        <v>44949</v>
      </c>
      <c r="U1147" s="5">
        <f t="shared" si="53"/>
        <v>6</v>
      </c>
      <c r="V1147" s="5" t="s">
        <v>67</v>
      </c>
      <c r="X1147" s="5"/>
    </row>
    <row r="1148" spans="1:24">
      <c r="A1148" s="4">
        <v>45186</v>
      </c>
      <c r="B1148" s="5" t="str">
        <f t="shared" si="51"/>
        <v>September</v>
      </c>
      <c r="C1148" s="5" t="s">
        <v>18</v>
      </c>
      <c r="D1148" s="5" t="s">
        <v>23</v>
      </c>
      <c r="E1148" s="5">
        <v>6</v>
      </c>
      <c r="F1148" s="5">
        <v>437.59</v>
      </c>
      <c r="G1148" s="6">
        <f t="shared" si="52"/>
        <v>2625.54</v>
      </c>
      <c r="H1148" s="5" t="s">
        <v>81</v>
      </c>
      <c r="I1148" s="5" t="s">
        <v>54</v>
      </c>
      <c r="J1148" s="5">
        <v>0.05</v>
      </c>
      <c r="K1148" s="5" t="s">
        <v>82</v>
      </c>
      <c r="L1148" s="6">
        <v>2494.263</v>
      </c>
      <c r="M1148" s="5" t="s">
        <v>31</v>
      </c>
      <c r="N1148" s="5" t="s">
        <v>69</v>
      </c>
      <c r="O1148" s="5">
        <v>1</v>
      </c>
      <c r="P1148" s="5" t="s">
        <v>2292</v>
      </c>
      <c r="Q1148" s="5" t="s">
        <v>2293</v>
      </c>
      <c r="R1148" s="5">
        <v>39.4</v>
      </c>
      <c r="S1148" s="4">
        <v>45186</v>
      </c>
      <c r="T1148" s="4">
        <v>45195</v>
      </c>
      <c r="U1148" s="5">
        <f t="shared" si="53"/>
        <v>9</v>
      </c>
      <c r="V1148" s="5" t="s">
        <v>72</v>
      </c>
      <c r="X1148" s="5"/>
    </row>
    <row r="1149" spans="1:24">
      <c r="A1149" s="4">
        <v>45703</v>
      </c>
      <c r="B1149" s="5" t="str">
        <f t="shared" si="51"/>
        <v>February</v>
      </c>
      <c r="C1149" s="5" t="s">
        <v>18</v>
      </c>
      <c r="D1149" s="5" t="s">
        <v>27</v>
      </c>
      <c r="E1149" s="5">
        <v>19</v>
      </c>
      <c r="F1149" s="5">
        <v>118.09</v>
      </c>
      <c r="G1149" s="6">
        <f t="shared" si="52"/>
        <v>2243.71</v>
      </c>
      <c r="H1149" s="5" t="s">
        <v>81</v>
      </c>
      <c r="I1149" s="5" t="s">
        <v>54</v>
      </c>
      <c r="J1149" s="5">
        <v>0.1</v>
      </c>
      <c r="K1149" s="5" t="s">
        <v>63</v>
      </c>
      <c r="L1149" s="6">
        <v>2019.339</v>
      </c>
      <c r="M1149" s="5" t="s">
        <v>30</v>
      </c>
      <c r="N1149" s="5" t="s">
        <v>64</v>
      </c>
      <c r="O1149" s="5">
        <v>0</v>
      </c>
      <c r="P1149" s="5" t="s">
        <v>2294</v>
      </c>
      <c r="Q1149" s="5" t="s">
        <v>2295</v>
      </c>
      <c r="R1149" s="5">
        <v>10.77</v>
      </c>
      <c r="S1149" s="4">
        <v>45703</v>
      </c>
      <c r="T1149" s="4">
        <v>45711</v>
      </c>
      <c r="U1149" s="5">
        <f t="shared" si="53"/>
        <v>8</v>
      </c>
      <c r="V1149" s="5" t="s">
        <v>72</v>
      </c>
      <c r="X1149" s="5"/>
    </row>
    <row r="1150" spans="1:24">
      <c r="A1150" s="4">
        <v>45206</v>
      </c>
      <c r="B1150" s="5" t="str">
        <f t="shared" si="51"/>
        <v>October</v>
      </c>
      <c r="C1150" s="5" t="s">
        <v>20</v>
      </c>
      <c r="D1150" s="5" t="s">
        <v>101</v>
      </c>
      <c r="E1150" s="5">
        <v>15</v>
      </c>
      <c r="F1150" s="5">
        <v>188.57</v>
      </c>
      <c r="G1150" s="6">
        <f t="shared" si="52"/>
        <v>2828.55</v>
      </c>
      <c r="H1150" s="5" t="s">
        <v>77</v>
      </c>
      <c r="I1150" s="5" t="s">
        <v>54</v>
      </c>
      <c r="J1150" s="5">
        <v>0.05</v>
      </c>
      <c r="K1150" s="5" t="s">
        <v>89</v>
      </c>
      <c r="L1150" s="6">
        <v>2687.1225</v>
      </c>
      <c r="M1150" s="5" t="s">
        <v>32</v>
      </c>
      <c r="N1150" s="5" t="s">
        <v>56</v>
      </c>
      <c r="O1150" s="5">
        <v>1</v>
      </c>
      <c r="P1150" s="5" t="s">
        <v>2296</v>
      </c>
      <c r="Q1150" s="5" t="s">
        <v>2297</v>
      </c>
      <c r="R1150" s="5">
        <v>38.61</v>
      </c>
      <c r="S1150" s="4">
        <v>45206</v>
      </c>
      <c r="T1150" s="4">
        <v>45208</v>
      </c>
      <c r="U1150" s="5">
        <f t="shared" si="53"/>
        <v>2</v>
      </c>
      <c r="V1150" s="5" t="s">
        <v>94</v>
      </c>
      <c r="X1150" s="5"/>
    </row>
    <row r="1151" spans="1:24">
      <c r="A1151" s="4">
        <v>45146</v>
      </c>
      <c r="B1151" s="5" t="str">
        <f t="shared" si="51"/>
        <v>August</v>
      </c>
      <c r="C1151" s="5" t="s">
        <v>20</v>
      </c>
      <c r="D1151" s="5" t="s">
        <v>23</v>
      </c>
      <c r="E1151" s="5">
        <v>8</v>
      </c>
      <c r="F1151" s="5">
        <v>200.74</v>
      </c>
      <c r="G1151" s="6">
        <f t="shared" si="52"/>
        <v>1605.92</v>
      </c>
      <c r="H1151" s="5" t="s">
        <v>61</v>
      </c>
      <c r="I1151" s="5" t="s">
        <v>54</v>
      </c>
      <c r="J1151" s="5">
        <v>0</v>
      </c>
      <c r="K1151" s="5" t="s">
        <v>82</v>
      </c>
      <c r="L1151" s="6">
        <v>1605.92</v>
      </c>
      <c r="M1151" s="5" t="s">
        <v>31</v>
      </c>
      <c r="N1151" s="5" t="s">
        <v>64</v>
      </c>
      <c r="O1151" s="5">
        <v>1</v>
      </c>
      <c r="P1151" s="5" t="s">
        <v>2298</v>
      </c>
      <c r="Q1151" s="5" t="s">
        <v>2299</v>
      </c>
      <c r="R1151" s="5">
        <v>30.7</v>
      </c>
      <c r="S1151" s="4">
        <v>45146</v>
      </c>
      <c r="T1151" s="4">
        <v>45148</v>
      </c>
      <c r="U1151" s="5">
        <f t="shared" si="53"/>
        <v>2</v>
      </c>
      <c r="V1151" s="5" t="s">
        <v>94</v>
      </c>
      <c r="X1151" s="5"/>
    </row>
    <row r="1152" spans="1:24">
      <c r="A1152" s="4">
        <v>45159</v>
      </c>
      <c r="B1152" s="5" t="str">
        <f t="shared" si="51"/>
        <v>August</v>
      </c>
      <c r="C1152" s="5" t="s">
        <v>16</v>
      </c>
      <c r="D1152" s="5" t="s">
        <v>22</v>
      </c>
      <c r="E1152" s="5">
        <v>3</v>
      </c>
      <c r="F1152" s="5">
        <v>142.09</v>
      </c>
      <c r="G1152" s="6">
        <f t="shared" si="52"/>
        <v>426.27</v>
      </c>
      <c r="H1152" s="5" t="s">
        <v>77</v>
      </c>
      <c r="I1152" s="5" t="s">
        <v>54</v>
      </c>
      <c r="J1152" s="5">
        <v>0.15</v>
      </c>
      <c r="K1152" s="5" t="s">
        <v>73</v>
      </c>
      <c r="L1152" s="6">
        <v>362.3295</v>
      </c>
      <c r="M1152" s="5" t="s">
        <v>31</v>
      </c>
      <c r="N1152" s="5" t="s">
        <v>69</v>
      </c>
      <c r="O1152" s="5">
        <v>0</v>
      </c>
      <c r="P1152" s="5" t="s">
        <v>2300</v>
      </c>
      <c r="Q1152" s="5" t="s">
        <v>822</v>
      </c>
      <c r="R1152" s="5">
        <v>26.04</v>
      </c>
      <c r="S1152" s="4">
        <v>45159</v>
      </c>
      <c r="T1152" s="4">
        <v>45165</v>
      </c>
      <c r="U1152" s="5">
        <f t="shared" si="53"/>
        <v>6</v>
      </c>
      <c r="V1152" s="5" t="s">
        <v>59</v>
      </c>
      <c r="X1152" s="5"/>
    </row>
    <row r="1153" spans="1:24">
      <c r="A1153" s="4">
        <v>45480</v>
      </c>
      <c r="B1153" s="5" t="str">
        <f t="shared" si="51"/>
        <v>July</v>
      </c>
      <c r="C1153" s="5" t="s">
        <v>18</v>
      </c>
      <c r="D1153" s="5" t="s">
        <v>101</v>
      </c>
      <c r="E1153" s="5">
        <v>15</v>
      </c>
      <c r="F1153" s="5">
        <v>576.12</v>
      </c>
      <c r="G1153" s="6">
        <f t="shared" si="52"/>
        <v>8641.8</v>
      </c>
      <c r="H1153" s="5" t="s">
        <v>81</v>
      </c>
      <c r="I1153" s="5" t="s">
        <v>62</v>
      </c>
      <c r="J1153" s="5">
        <v>0.1</v>
      </c>
      <c r="K1153" s="5" t="s">
        <v>63</v>
      </c>
      <c r="L1153" s="6">
        <v>7777.62</v>
      </c>
      <c r="M1153" s="5" t="s">
        <v>30</v>
      </c>
      <c r="N1153" s="5" t="s">
        <v>69</v>
      </c>
      <c r="O1153" s="5">
        <v>0</v>
      </c>
      <c r="P1153" s="5" t="s">
        <v>2301</v>
      </c>
      <c r="Q1153" s="5" t="s">
        <v>2302</v>
      </c>
      <c r="R1153" s="5">
        <v>29.31</v>
      </c>
      <c r="S1153" s="4">
        <v>45480</v>
      </c>
      <c r="T1153" s="4">
        <v>45484</v>
      </c>
      <c r="U1153" s="5">
        <f t="shared" si="53"/>
        <v>4</v>
      </c>
      <c r="V1153" s="5" t="s">
        <v>72</v>
      </c>
      <c r="X1153" s="5"/>
    </row>
    <row r="1154" spans="1:24">
      <c r="A1154" s="4">
        <v>45674</v>
      </c>
      <c r="B1154" s="5" t="str">
        <f t="shared" si="51"/>
        <v>January</v>
      </c>
      <c r="C1154" s="5" t="s">
        <v>17</v>
      </c>
      <c r="D1154" s="5" t="s">
        <v>24</v>
      </c>
      <c r="E1154" s="5">
        <v>9</v>
      </c>
      <c r="F1154" s="5">
        <v>96.97</v>
      </c>
      <c r="G1154" s="6">
        <f t="shared" si="52"/>
        <v>872.73</v>
      </c>
      <c r="H1154" s="5" t="s">
        <v>81</v>
      </c>
      <c r="I1154" s="5" t="s">
        <v>62</v>
      </c>
      <c r="J1154" s="5">
        <v>0.15</v>
      </c>
      <c r="K1154" s="5" t="s">
        <v>89</v>
      </c>
      <c r="L1154" s="6">
        <v>741.8205</v>
      </c>
      <c r="M1154" s="5" t="s">
        <v>32</v>
      </c>
      <c r="N1154" s="5" t="s">
        <v>69</v>
      </c>
      <c r="O1154" s="5">
        <v>1</v>
      </c>
      <c r="P1154" s="5" t="s">
        <v>2303</v>
      </c>
      <c r="Q1154" s="5" t="s">
        <v>2304</v>
      </c>
      <c r="R1154" s="5">
        <v>30.87</v>
      </c>
      <c r="S1154" s="4">
        <v>45674</v>
      </c>
      <c r="T1154" s="4">
        <v>45681</v>
      </c>
      <c r="U1154" s="5">
        <f t="shared" si="53"/>
        <v>7</v>
      </c>
      <c r="V1154" s="5" t="s">
        <v>67</v>
      </c>
      <c r="X1154" s="5"/>
    </row>
    <row r="1155" spans="1:24">
      <c r="A1155" s="4">
        <v>45266</v>
      </c>
      <c r="B1155" s="5" t="str">
        <f t="shared" ref="B1155:B1218" si="54">TEXT(A1155,"mmmm")</f>
        <v>December</v>
      </c>
      <c r="C1155" s="5" t="s">
        <v>18</v>
      </c>
      <c r="D1155" s="5" t="s">
        <v>101</v>
      </c>
      <c r="E1155" s="5">
        <v>17</v>
      </c>
      <c r="F1155" s="5">
        <v>218.04</v>
      </c>
      <c r="G1155" s="6">
        <f t="shared" ref="G1155:G1218" si="55">F1155*E1155</f>
        <v>3706.68</v>
      </c>
      <c r="H1155" s="5" t="s">
        <v>81</v>
      </c>
      <c r="I1155" s="5" t="s">
        <v>54</v>
      </c>
      <c r="J1155" s="5">
        <v>0.15</v>
      </c>
      <c r="K1155" s="5" t="s">
        <v>89</v>
      </c>
      <c r="L1155" s="6">
        <v>3150.678</v>
      </c>
      <c r="M1155" s="5" t="s">
        <v>34</v>
      </c>
      <c r="N1155" s="5"/>
      <c r="O1155" s="5">
        <v>0</v>
      </c>
      <c r="P1155" s="5" t="s">
        <v>2305</v>
      </c>
      <c r="Q1155" s="5" t="s">
        <v>2306</v>
      </c>
      <c r="R1155" s="5">
        <v>16</v>
      </c>
      <c r="S1155" s="4">
        <v>45266</v>
      </c>
      <c r="T1155" s="4">
        <v>45276</v>
      </c>
      <c r="U1155" s="5">
        <f t="shared" ref="U1155:U1218" si="56">T1155-S1155</f>
        <v>10</v>
      </c>
      <c r="V1155" s="5" t="s">
        <v>72</v>
      </c>
      <c r="X1155" s="5"/>
    </row>
    <row r="1156" spans="1:24">
      <c r="A1156" s="4">
        <v>44986</v>
      </c>
      <c r="B1156" s="5" t="str">
        <f t="shared" si="54"/>
        <v>March</v>
      </c>
      <c r="C1156" s="5" t="s">
        <v>17</v>
      </c>
      <c r="D1156" s="5" t="s">
        <v>24</v>
      </c>
      <c r="E1156" s="5">
        <v>2</v>
      </c>
      <c r="F1156" s="5">
        <v>153.33</v>
      </c>
      <c r="G1156" s="6">
        <f t="shared" si="55"/>
        <v>306.66</v>
      </c>
      <c r="H1156" s="5" t="s">
        <v>77</v>
      </c>
      <c r="I1156" s="5" t="s">
        <v>54</v>
      </c>
      <c r="J1156" s="5">
        <v>0.05</v>
      </c>
      <c r="K1156" s="5" t="s">
        <v>78</v>
      </c>
      <c r="L1156" s="6">
        <v>291.327</v>
      </c>
      <c r="M1156" s="5" t="s">
        <v>34</v>
      </c>
      <c r="N1156" s="5"/>
      <c r="O1156" s="5">
        <v>0</v>
      </c>
      <c r="P1156" s="5" t="s">
        <v>2307</v>
      </c>
      <c r="Q1156" s="5" t="s">
        <v>2308</v>
      </c>
      <c r="R1156" s="5">
        <v>31.55</v>
      </c>
      <c r="S1156" s="4">
        <v>44986</v>
      </c>
      <c r="T1156" s="4">
        <v>44989</v>
      </c>
      <c r="U1156" s="5">
        <f t="shared" si="56"/>
        <v>3</v>
      </c>
      <c r="V1156" s="5" t="s">
        <v>67</v>
      </c>
      <c r="X1156" s="5"/>
    </row>
    <row r="1157" spans="1:24">
      <c r="A1157" s="4">
        <v>45699</v>
      </c>
      <c r="B1157" s="5" t="str">
        <f t="shared" si="54"/>
        <v>February</v>
      </c>
      <c r="C1157" s="5" t="s">
        <v>18</v>
      </c>
      <c r="D1157" s="5" t="s">
        <v>27</v>
      </c>
      <c r="E1157" s="5">
        <v>8</v>
      </c>
      <c r="F1157" s="5">
        <v>316.12</v>
      </c>
      <c r="G1157" s="6">
        <f t="shared" si="55"/>
        <v>2528.96</v>
      </c>
      <c r="H1157" s="5" t="s">
        <v>53</v>
      </c>
      <c r="I1157" s="5" t="s">
        <v>54</v>
      </c>
      <c r="J1157" s="5">
        <v>0.1</v>
      </c>
      <c r="K1157" s="5" t="s">
        <v>82</v>
      </c>
      <c r="L1157" s="6">
        <v>2276.064</v>
      </c>
      <c r="M1157" s="5" t="s">
        <v>31</v>
      </c>
      <c r="N1157" s="5" t="s">
        <v>69</v>
      </c>
      <c r="O1157" s="5">
        <v>0</v>
      </c>
      <c r="P1157" s="5" t="s">
        <v>2309</v>
      </c>
      <c r="Q1157" s="5" t="s">
        <v>2310</v>
      </c>
      <c r="R1157" s="5">
        <v>6.28</v>
      </c>
      <c r="S1157" s="4">
        <v>45699</v>
      </c>
      <c r="T1157" s="4">
        <v>45703</v>
      </c>
      <c r="U1157" s="5">
        <f t="shared" si="56"/>
        <v>4</v>
      </c>
      <c r="V1157" s="5" t="s">
        <v>72</v>
      </c>
      <c r="X1157" s="5"/>
    </row>
    <row r="1158" spans="1:24">
      <c r="A1158" s="4">
        <v>45097</v>
      </c>
      <c r="B1158" s="5" t="str">
        <f t="shared" si="54"/>
        <v>June</v>
      </c>
      <c r="C1158" s="5" t="s">
        <v>19</v>
      </c>
      <c r="D1158" s="5" t="s">
        <v>27</v>
      </c>
      <c r="E1158" s="5">
        <v>13</v>
      </c>
      <c r="F1158" s="5">
        <v>153.57</v>
      </c>
      <c r="G1158" s="6">
        <f t="shared" si="55"/>
        <v>1996.41</v>
      </c>
      <c r="H1158" s="5" t="s">
        <v>53</v>
      </c>
      <c r="I1158" s="5" t="s">
        <v>54</v>
      </c>
      <c r="J1158" s="5">
        <v>0.05</v>
      </c>
      <c r="K1158" s="5" t="s">
        <v>78</v>
      </c>
      <c r="L1158" s="6">
        <v>1896.5895</v>
      </c>
      <c r="M1158" s="5" t="s">
        <v>31</v>
      </c>
      <c r="N1158" s="5"/>
      <c r="O1158" s="5">
        <v>0</v>
      </c>
      <c r="P1158" s="5" t="s">
        <v>2311</v>
      </c>
      <c r="Q1158" s="5" t="s">
        <v>2312</v>
      </c>
      <c r="R1158" s="5">
        <v>27.98</v>
      </c>
      <c r="S1158" s="4">
        <v>45097</v>
      </c>
      <c r="T1158" s="4">
        <v>45102</v>
      </c>
      <c r="U1158" s="5">
        <f t="shared" si="56"/>
        <v>5</v>
      </c>
      <c r="V1158" s="5" t="s">
        <v>76</v>
      </c>
      <c r="X1158" s="5"/>
    </row>
    <row r="1159" spans="1:24">
      <c r="A1159" s="4">
        <v>45351</v>
      </c>
      <c r="B1159" s="5" t="str">
        <f t="shared" si="54"/>
        <v>February</v>
      </c>
      <c r="C1159" s="5" t="s">
        <v>20</v>
      </c>
      <c r="D1159" s="5" t="s">
        <v>27</v>
      </c>
      <c r="E1159" s="5">
        <v>7</v>
      </c>
      <c r="F1159" s="5">
        <v>208.31</v>
      </c>
      <c r="G1159" s="6">
        <f t="shared" si="55"/>
        <v>1458.17</v>
      </c>
      <c r="H1159" s="5" t="s">
        <v>77</v>
      </c>
      <c r="I1159" s="5" t="s">
        <v>54</v>
      </c>
      <c r="J1159" s="5">
        <v>0.05</v>
      </c>
      <c r="K1159" s="5" t="s">
        <v>73</v>
      </c>
      <c r="L1159" s="6">
        <v>1385.2615</v>
      </c>
      <c r="M1159" s="5" t="s">
        <v>30</v>
      </c>
      <c r="N1159" s="5" t="s">
        <v>64</v>
      </c>
      <c r="O1159" s="5">
        <v>0</v>
      </c>
      <c r="P1159" s="5" t="s">
        <v>2313</v>
      </c>
      <c r="Q1159" s="5" t="s">
        <v>2314</v>
      </c>
      <c r="R1159" s="5">
        <v>26.57</v>
      </c>
      <c r="S1159" s="4">
        <v>45351</v>
      </c>
      <c r="T1159" s="4">
        <v>45354</v>
      </c>
      <c r="U1159" s="5">
        <f t="shared" si="56"/>
        <v>3</v>
      </c>
      <c r="V1159" s="5" t="s">
        <v>94</v>
      </c>
      <c r="X1159" s="5"/>
    </row>
    <row r="1160" spans="1:24">
      <c r="A1160" s="4">
        <v>45838</v>
      </c>
      <c r="B1160" s="5" t="str">
        <f t="shared" si="54"/>
        <v>June</v>
      </c>
      <c r="C1160" s="5" t="s">
        <v>18</v>
      </c>
      <c r="D1160" s="5" t="s">
        <v>25</v>
      </c>
      <c r="E1160" s="5">
        <v>2</v>
      </c>
      <c r="F1160" s="5">
        <v>160.96</v>
      </c>
      <c r="G1160" s="6">
        <f t="shared" si="55"/>
        <v>321.92</v>
      </c>
      <c r="H1160" s="5" t="s">
        <v>77</v>
      </c>
      <c r="I1160" s="5" t="s">
        <v>54</v>
      </c>
      <c r="J1160" s="5">
        <v>0.1</v>
      </c>
      <c r="K1160" s="5" t="s">
        <v>55</v>
      </c>
      <c r="L1160" s="6">
        <v>289.728</v>
      </c>
      <c r="M1160" s="5" t="s">
        <v>31</v>
      </c>
      <c r="N1160" s="5" t="s">
        <v>69</v>
      </c>
      <c r="O1160" s="5">
        <v>0</v>
      </c>
      <c r="P1160" s="5" t="s">
        <v>2315</v>
      </c>
      <c r="Q1160" s="5" t="s">
        <v>2316</v>
      </c>
      <c r="R1160" s="5">
        <v>44.97</v>
      </c>
      <c r="S1160" s="4">
        <v>45838</v>
      </c>
      <c r="T1160" s="4">
        <v>45843</v>
      </c>
      <c r="U1160" s="5">
        <f t="shared" si="56"/>
        <v>5</v>
      </c>
      <c r="V1160" s="5" t="s">
        <v>72</v>
      </c>
      <c r="X1160" s="5"/>
    </row>
    <row r="1161" spans="1:24">
      <c r="A1161" s="4">
        <v>45523</v>
      </c>
      <c r="B1161" s="5" t="str">
        <f t="shared" si="54"/>
        <v>August</v>
      </c>
      <c r="C1161" s="5" t="s">
        <v>18</v>
      </c>
      <c r="D1161" s="5" t="s">
        <v>26</v>
      </c>
      <c r="E1161" s="5">
        <v>3</v>
      </c>
      <c r="F1161" s="5">
        <v>373.77</v>
      </c>
      <c r="G1161" s="6">
        <f t="shared" si="55"/>
        <v>1121.31</v>
      </c>
      <c r="H1161" s="5" t="s">
        <v>53</v>
      </c>
      <c r="I1161" s="5" t="s">
        <v>62</v>
      </c>
      <c r="J1161" s="5">
        <v>0.1</v>
      </c>
      <c r="K1161" s="5" t="s">
        <v>55</v>
      </c>
      <c r="L1161" s="6">
        <v>1009.179</v>
      </c>
      <c r="M1161" s="5" t="s">
        <v>34</v>
      </c>
      <c r="N1161" s="5" t="s">
        <v>69</v>
      </c>
      <c r="O1161" s="5">
        <v>1</v>
      </c>
      <c r="P1161" s="5" t="s">
        <v>2317</v>
      </c>
      <c r="Q1161" s="5" t="s">
        <v>2318</v>
      </c>
      <c r="R1161" s="5">
        <v>17.62</v>
      </c>
      <c r="S1161" s="4">
        <v>45523</v>
      </c>
      <c r="T1161" s="4">
        <v>45529</v>
      </c>
      <c r="U1161" s="5">
        <f t="shared" si="56"/>
        <v>6</v>
      </c>
      <c r="V1161" s="5" t="s">
        <v>72</v>
      </c>
      <c r="X1161" s="5"/>
    </row>
    <row r="1162" spans="1:24">
      <c r="A1162" s="4">
        <v>45306</v>
      </c>
      <c r="B1162" s="5" t="str">
        <f t="shared" si="54"/>
        <v>January</v>
      </c>
      <c r="C1162" s="5" t="s">
        <v>19</v>
      </c>
      <c r="D1162" s="5" t="s">
        <v>27</v>
      </c>
      <c r="E1162" s="5">
        <v>20</v>
      </c>
      <c r="F1162" s="5">
        <v>200.7</v>
      </c>
      <c r="G1162" s="6">
        <f t="shared" si="55"/>
        <v>4014</v>
      </c>
      <c r="H1162" s="5" t="s">
        <v>81</v>
      </c>
      <c r="I1162" s="5" t="s">
        <v>62</v>
      </c>
      <c r="J1162" s="5">
        <v>0.1</v>
      </c>
      <c r="K1162" s="5" t="s">
        <v>63</v>
      </c>
      <c r="L1162" s="6">
        <v>3612.6</v>
      </c>
      <c r="M1162" s="5" t="s">
        <v>30</v>
      </c>
      <c r="N1162" s="5" t="s">
        <v>56</v>
      </c>
      <c r="O1162" s="5">
        <v>0</v>
      </c>
      <c r="P1162" s="5" t="s">
        <v>2319</v>
      </c>
      <c r="Q1162" s="5" t="s">
        <v>2320</v>
      </c>
      <c r="R1162" s="5">
        <v>29.6</v>
      </c>
      <c r="S1162" s="4">
        <v>45306</v>
      </c>
      <c r="T1162" s="4">
        <v>45310</v>
      </c>
      <c r="U1162" s="5">
        <f t="shared" si="56"/>
        <v>4</v>
      </c>
      <c r="V1162" s="5" t="s">
        <v>76</v>
      </c>
      <c r="X1162" s="5"/>
    </row>
    <row r="1163" spans="1:24">
      <c r="A1163" s="4">
        <v>45512</v>
      </c>
      <c r="B1163" s="5" t="str">
        <f t="shared" si="54"/>
        <v>August</v>
      </c>
      <c r="C1163" s="5" t="s">
        <v>19</v>
      </c>
      <c r="D1163" s="5" t="s">
        <v>24</v>
      </c>
      <c r="E1163" s="5">
        <v>14</v>
      </c>
      <c r="F1163" s="5">
        <v>115.77</v>
      </c>
      <c r="G1163" s="6">
        <f t="shared" si="55"/>
        <v>1620.78</v>
      </c>
      <c r="H1163" s="5" t="s">
        <v>53</v>
      </c>
      <c r="I1163" s="5" t="s">
        <v>54</v>
      </c>
      <c r="J1163" s="5">
        <v>0.15</v>
      </c>
      <c r="K1163" s="5" t="s">
        <v>73</v>
      </c>
      <c r="L1163" s="6">
        <v>1377.663</v>
      </c>
      <c r="M1163" s="5" t="s">
        <v>32</v>
      </c>
      <c r="N1163" s="5" t="s">
        <v>64</v>
      </c>
      <c r="O1163" s="5">
        <v>1</v>
      </c>
      <c r="P1163" s="5" t="s">
        <v>2321</v>
      </c>
      <c r="Q1163" s="5" t="s">
        <v>2322</v>
      </c>
      <c r="R1163" s="5">
        <v>20.12</v>
      </c>
      <c r="S1163" s="4">
        <v>45512</v>
      </c>
      <c r="T1163" s="4">
        <v>45515</v>
      </c>
      <c r="U1163" s="5">
        <f t="shared" si="56"/>
        <v>3</v>
      </c>
      <c r="V1163" s="5" t="s">
        <v>76</v>
      </c>
      <c r="X1163" s="5"/>
    </row>
    <row r="1164" spans="1:24">
      <c r="A1164" s="4">
        <v>45570</v>
      </c>
      <c r="B1164" s="5" t="str">
        <f t="shared" si="54"/>
        <v>October</v>
      </c>
      <c r="C1164" s="5" t="s">
        <v>20</v>
      </c>
      <c r="D1164" s="5" t="s">
        <v>23</v>
      </c>
      <c r="E1164" s="5">
        <v>12</v>
      </c>
      <c r="F1164" s="5">
        <v>535.41</v>
      </c>
      <c r="G1164" s="6">
        <f t="shared" si="55"/>
        <v>6424.92</v>
      </c>
      <c r="H1164" s="5" t="s">
        <v>77</v>
      </c>
      <c r="I1164" s="5" t="s">
        <v>62</v>
      </c>
      <c r="J1164" s="5">
        <v>0.1</v>
      </c>
      <c r="K1164" s="5" t="s">
        <v>73</v>
      </c>
      <c r="L1164" s="6">
        <v>5782.428</v>
      </c>
      <c r="M1164" s="5" t="s">
        <v>31</v>
      </c>
      <c r="N1164" s="5"/>
      <c r="O1164" s="5">
        <v>0</v>
      </c>
      <c r="P1164" s="5" t="s">
        <v>2323</v>
      </c>
      <c r="Q1164" s="5" t="s">
        <v>2324</v>
      </c>
      <c r="R1164" s="5">
        <v>27.82</v>
      </c>
      <c r="S1164" s="4">
        <v>45570</v>
      </c>
      <c r="T1164" s="4">
        <v>45572</v>
      </c>
      <c r="U1164" s="5">
        <f t="shared" si="56"/>
        <v>2</v>
      </c>
      <c r="V1164" s="5" t="s">
        <v>94</v>
      </c>
      <c r="X1164" s="5"/>
    </row>
    <row r="1165" spans="1:24">
      <c r="A1165" s="4">
        <v>45304</v>
      </c>
      <c r="B1165" s="5" t="str">
        <f t="shared" si="54"/>
        <v>January</v>
      </c>
      <c r="C1165" s="5" t="s">
        <v>17</v>
      </c>
      <c r="D1165" s="5" t="s">
        <v>24</v>
      </c>
      <c r="E1165" s="5">
        <v>12</v>
      </c>
      <c r="F1165" s="5">
        <v>103.59</v>
      </c>
      <c r="G1165" s="6">
        <f t="shared" si="55"/>
        <v>1243.08</v>
      </c>
      <c r="H1165" s="5" t="s">
        <v>61</v>
      </c>
      <c r="I1165" s="5" t="s">
        <v>62</v>
      </c>
      <c r="J1165" s="5">
        <v>0.1</v>
      </c>
      <c r="K1165" s="5" t="s">
        <v>73</v>
      </c>
      <c r="L1165" s="6">
        <v>1118.772</v>
      </c>
      <c r="M1165" s="5" t="s">
        <v>33</v>
      </c>
      <c r="N1165" s="5" t="s">
        <v>56</v>
      </c>
      <c r="O1165" s="5">
        <v>0</v>
      </c>
      <c r="P1165" s="5" t="s">
        <v>2325</v>
      </c>
      <c r="Q1165" s="5" t="s">
        <v>2326</v>
      </c>
      <c r="R1165" s="5">
        <v>48.11</v>
      </c>
      <c r="S1165" s="4">
        <v>45304</v>
      </c>
      <c r="T1165" s="4">
        <v>45312</v>
      </c>
      <c r="U1165" s="5">
        <f t="shared" si="56"/>
        <v>8</v>
      </c>
      <c r="V1165" s="5" t="s">
        <v>67</v>
      </c>
      <c r="X1165" s="5"/>
    </row>
    <row r="1166" spans="1:24">
      <c r="A1166" s="4">
        <v>45014</v>
      </c>
      <c r="B1166" s="5" t="str">
        <f t="shared" si="54"/>
        <v>March</v>
      </c>
      <c r="C1166" s="5" t="s">
        <v>20</v>
      </c>
      <c r="D1166" s="5" t="s">
        <v>22</v>
      </c>
      <c r="E1166" s="5">
        <v>18</v>
      </c>
      <c r="F1166" s="5">
        <v>176.32</v>
      </c>
      <c r="G1166" s="6">
        <f t="shared" si="55"/>
        <v>3173.76</v>
      </c>
      <c r="H1166" s="5" t="s">
        <v>53</v>
      </c>
      <c r="I1166" s="5" t="s">
        <v>54</v>
      </c>
      <c r="J1166" s="5">
        <v>0.05</v>
      </c>
      <c r="K1166" s="5" t="s">
        <v>82</v>
      </c>
      <c r="L1166" s="6">
        <v>3015.072</v>
      </c>
      <c r="M1166" s="5" t="s">
        <v>33</v>
      </c>
      <c r="N1166" s="5"/>
      <c r="O1166" s="5">
        <v>0</v>
      </c>
      <c r="P1166" s="5" t="s">
        <v>2327</v>
      </c>
      <c r="Q1166" s="5" t="s">
        <v>2328</v>
      </c>
      <c r="R1166" s="5">
        <v>36.35</v>
      </c>
      <c r="S1166" s="4">
        <v>45014</v>
      </c>
      <c r="T1166" s="4">
        <v>45020</v>
      </c>
      <c r="U1166" s="5">
        <f t="shared" si="56"/>
        <v>6</v>
      </c>
      <c r="V1166" s="5" t="s">
        <v>94</v>
      </c>
      <c r="X1166" s="5"/>
    </row>
    <row r="1167" spans="1:24">
      <c r="A1167" s="4">
        <v>45218</v>
      </c>
      <c r="B1167" s="5" t="str">
        <f t="shared" si="54"/>
        <v>October</v>
      </c>
      <c r="C1167" s="5" t="s">
        <v>18</v>
      </c>
      <c r="D1167" s="5" t="s">
        <v>27</v>
      </c>
      <c r="E1167" s="5">
        <v>5</v>
      </c>
      <c r="F1167" s="5">
        <v>112.44</v>
      </c>
      <c r="G1167" s="6">
        <f t="shared" si="55"/>
        <v>562.2</v>
      </c>
      <c r="H1167" s="5" t="s">
        <v>81</v>
      </c>
      <c r="I1167" s="5" t="s">
        <v>62</v>
      </c>
      <c r="J1167" s="5">
        <v>0.1</v>
      </c>
      <c r="K1167" s="5" t="s">
        <v>89</v>
      </c>
      <c r="L1167" s="6">
        <v>505.98</v>
      </c>
      <c r="M1167" s="5" t="s">
        <v>32</v>
      </c>
      <c r="N1167" s="5"/>
      <c r="O1167" s="5">
        <v>1</v>
      </c>
      <c r="P1167" s="5" t="s">
        <v>2329</v>
      </c>
      <c r="Q1167" s="5" t="s">
        <v>382</v>
      </c>
      <c r="R1167" s="5">
        <v>7.46</v>
      </c>
      <c r="S1167" s="4">
        <v>45218</v>
      </c>
      <c r="T1167" s="4">
        <v>45222</v>
      </c>
      <c r="U1167" s="5">
        <f t="shared" si="56"/>
        <v>4</v>
      </c>
      <c r="V1167" s="5" t="s">
        <v>72</v>
      </c>
      <c r="X1167" s="5"/>
    </row>
    <row r="1168" spans="1:24">
      <c r="A1168" s="4">
        <v>45222</v>
      </c>
      <c r="B1168" s="5" t="str">
        <f t="shared" si="54"/>
        <v>October</v>
      </c>
      <c r="C1168" s="5" t="s">
        <v>20</v>
      </c>
      <c r="D1168" s="5" t="s">
        <v>25</v>
      </c>
      <c r="E1168" s="5">
        <v>20</v>
      </c>
      <c r="F1168" s="5">
        <v>19.3</v>
      </c>
      <c r="G1168" s="6">
        <f t="shared" si="55"/>
        <v>386</v>
      </c>
      <c r="H1168" s="5" t="s">
        <v>77</v>
      </c>
      <c r="I1168" s="5" t="s">
        <v>54</v>
      </c>
      <c r="J1168" s="5">
        <v>0</v>
      </c>
      <c r="K1168" s="5" t="s">
        <v>89</v>
      </c>
      <c r="L1168" s="6">
        <v>386</v>
      </c>
      <c r="M1168" s="5" t="s">
        <v>33</v>
      </c>
      <c r="N1168" s="5" t="s">
        <v>64</v>
      </c>
      <c r="O1168" s="5">
        <v>0</v>
      </c>
      <c r="P1168" s="5" t="s">
        <v>2330</v>
      </c>
      <c r="Q1168" s="5" t="s">
        <v>2331</v>
      </c>
      <c r="R1168" s="5">
        <v>47.23</v>
      </c>
      <c r="S1168" s="4">
        <v>45222</v>
      </c>
      <c r="T1168" s="4">
        <v>45231</v>
      </c>
      <c r="U1168" s="5">
        <f t="shared" si="56"/>
        <v>9</v>
      </c>
      <c r="V1168" s="5" t="s">
        <v>94</v>
      </c>
      <c r="X1168" s="5"/>
    </row>
    <row r="1169" spans="1:24">
      <c r="A1169" s="4">
        <v>45009</v>
      </c>
      <c r="B1169" s="5" t="str">
        <f t="shared" si="54"/>
        <v>March</v>
      </c>
      <c r="C1169" s="5" t="s">
        <v>17</v>
      </c>
      <c r="D1169" s="5" t="s">
        <v>23</v>
      </c>
      <c r="E1169" s="5">
        <v>9</v>
      </c>
      <c r="F1169" s="5">
        <v>233.11</v>
      </c>
      <c r="G1169" s="6">
        <f t="shared" si="55"/>
        <v>2097.99</v>
      </c>
      <c r="H1169" s="5" t="s">
        <v>53</v>
      </c>
      <c r="I1169" s="5" t="s">
        <v>62</v>
      </c>
      <c r="J1169" s="5">
        <v>0.05</v>
      </c>
      <c r="K1169" s="5" t="s">
        <v>55</v>
      </c>
      <c r="L1169" s="6">
        <v>1993.0905</v>
      </c>
      <c r="M1169" s="5" t="s">
        <v>33</v>
      </c>
      <c r="N1169" s="5" t="s">
        <v>69</v>
      </c>
      <c r="O1169" s="5">
        <v>0</v>
      </c>
      <c r="P1169" s="5" t="s">
        <v>2332</v>
      </c>
      <c r="Q1169" s="5" t="s">
        <v>2333</v>
      </c>
      <c r="R1169" s="5">
        <v>31.43</v>
      </c>
      <c r="S1169" s="4">
        <v>45009</v>
      </c>
      <c r="T1169" s="4">
        <v>45013</v>
      </c>
      <c r="U1169" s="5">
        <f t="shared" si="56"/>
        <v>4</v>
      </c>
      <c r="V1169" s="5" t="s">
        <v>67</v>
      </c>
      <c r="X1169" s="5"/>
    </row>
    <row r="1170" spans="1:24">
      <c r="A1170" s="4">
        <v>45513</v>
      </c>
      <c r="B1170" s="5" t="str">
        <f t="shared" si="54"/>
        <v>August</v>
      </c>
      <c r="C1170" s="5" t="s">
        <v>20</v>
      </c>
      <c r="D1170" s="5" t="s">
        <v>27</v>
      </c>
      <c r="E1170" s="5">
        <v>17</v>
      </c>
      <c r="F1170" s="5">
        <v>66.48</v>
      </c>
      <c r="G1170" s="6">
        <f t="shared" si="55"/>
        <v>1130.16</v>
      </c>
      <c r="H1170" s="5" t="s">
        <v>77</v>
      </c>
      <c r="I1170" s="5" t="s">
        <v>54</v>
      </c>
      <c r="J1170" s="5">
        <v>0.15</v>
      </c>
      <c r="K1170" s="5" t="s">
        <v>55</v>
      </c>
      <c r="L1170" s="6">
        <v>960.636</v>
      </c>
      <c r="M1170" s="5" t="s">
        <v>31</v>
      </c>
      <c r="N1170" s="5" t="s">
        <v>69</v>
      </c>
      <c r="O1170" s="5">
        <v>1</v>
      </c>
      <c r="P1170" s="5" t="s">
        <v>2334</v>
      </c>
      <c r="Q1170" s="5" t="s">
        <v>2335</v>
      </c>
      <c r="R1170" s="5">
        <v>10.79</v>
      </c>
      <c r="S1170" s="4">
        <v>45513</v>
      </c>
      <c r="T1170" s="4">
        <v>45518</v>
      </c>
      <c r="U1170" s="5">
        <f t="shared" si="56"/>
        <v>5</v>
      </c>
      <c r="V1170" s="5" t="s">
        <v>94</v>
      </c>
      <c r="X1170" s="5"/>
    </row>
    <row r="1171" spans="1:24">
      <c r="A1171" s="4">
        <v>45042</v>
      </c>
      <c r="B1171" s="5" t="str">
        <f t="shared" si="54"/>
        <v>April</v>
      </c>
      <c r="C1171" s="5" t="s">
        <v>17</v>
      </c>
      <c r="D1171" s="5" t="s">
        <v>22</v>
      </c>
      <c r="E1171" s="5">
        <v>17</v>
      </c>
      <c r="F1171" s="5">
        <v>504.63</v>
      </c>
      <c r="G1171" s="6">
        <f t="shared" si="55"/>
        <v>8578.71</v>
      </c>
      <c r="H1171" s="5" t="s">
        <v>61</v>
      </c>
      <c r="I1171" s="5" t="s">
        <v>54</v>
      </c>
      <c r="J1171" s="5">
        <v>0.1</v>
      </c>
      <c r="K1171" s="5" t="s">
        <v>78</v>
      </c>
      <c r="L1171" s="6">
        <v>7720.839</v>
      </c>
      <c r="M1171" s="5" t="s">
        <v>30</v>
      </c>
      <c r="N1171" s="5" t="s">
        <v>69</v>
      </c>
      <c r="O1171" s="5">
        <v>1</v>
      </c>
      <c r="P1171" s="5" t="s">
        <v>2336</v>
      </c>
      <c r="Q1171" s="5" t="s">
        <v>2337</v>
      </c>
      <c r="R1171" s="5">
        <v>48.33</v>
      </c>
      <c r="S1171" s="4">
        <v>45042</v>
      </c>
      <c r="T1171" s="4">
        <v>45052</v>
      </c>
      <c r="U1171" s="5">
        <f t="shared" si="56"/>
        <v>10</v>
      </c>
      <c r="V1171" s="5" t="s">
        <v>67</v>
      </c>
      <c r="X1171" s="5"/>
    </row>
    <row r="1172" spans="1:24">
      <c r="A1172" s="4">
        <v>45355</v>
      </c>
      <c r="B1172" s="5" t="str">
        <f t="shared" si="54"/>
        <v>March</v>
      </c>
      <c r="C1172" s="5" t="s">
        <v>20</v>
      </c>
      <c r="D1172" s="5" t="s">
        <v>101</v>
      </c>
      <c r="E1172" s="5">
        <v>11</v>
      </c>
      <c r="F1172" s="5">
        <v>97.84</v>
      </c>
      <c r="G1172" s="6">
        <f t="shared" si="55"/>
        <v>1076.24</v>
      </c>
      <c r="H1172" s="5" t="s">
        <v>53</v>
      </c>
      <c r="I1172" s="5" t="s">
        <v>62</v>
      </c>
      <c r="J1172" s="5">
        <v>0.05</v>
      </c>
      <c r="K1172" s="5" t="s">
        <v>63</v>
      </c>
      <c r="L1172" s="6">
        <v>1022.428</v>
      </c>
      <c r="M1172" s="5" t="s">
        <v>33</v>
      </c>
      <c r="N1172" s="5" t="s">
        <v>64</v>
      </c>
      <c r="O1172" s="5">
        <v>1</v>
      </c>
      <c r="P1172" s="5" t="s">
        <v>2338</v>
      </c>
      <c r="Q1172" s="5" t="s">
        <v>2339</v>
      </c>
      <c r="R1172" s="5">
        <v>45.97</v>
      </c>
      <c r="S1172" s="4">
        <v>45355</v>
      </c>
      <c r="T1172" s="4">
        <v>45363</v>
      </c>
      <c r="U1172" s="5">
        <f t="shared" si="56"/>
        <v>8</v>
      </c>
      <c r="V1172" s="5" t="s">
        <v>94</v>
      </c>
      <c r="X1172" s="5"/>
    </row>
    <row r="1173" spans="1:24">
      <c r="A1173" s="4">
        <v>44971</v>
      </c>
      <c r="B1173" s="5" t="str">
        <f t="shared" si="54"/>
        <v>February</v>
      </c>
      <c r="C1173" s="5" t="s">
        <v>16</v>
      </c>
      <c r="D1173" s="5" t="s">
        <v>101</v>
      </c>
      <c r="E1173" s="5">
        <v>7</v>
      </c>
      <c r="F1173" s="5">
        <v>468.14</v>
      </c>
      <c r="G1173" s="6">
        <f t="shared" si="55"/>
        <v>3276.98</v>
      </c>
      <c r="H1173" s="5" t="s">
        <v>61</v>
      </c>
      <c r="I1173" s="5" t="s">
        <v>62</v>
      </c>
      <c r="J1173" s="5">
        <v>0.15</v>
      </c>
      <c r="K1173" s="5" t="s">
        <v>89</v>
      </c>
      <c r="L1173" s="6">
        <v>2785.433</v>
      </c>
      <c r="M1173" s="5" t="s">
        <v>34</v>
      </c>
      <c r="N1173" s="5" t="s">
        <v>64</v>
      </c>
      <c r="O1173" s="5">
        <v>0</v>
      </c>
      <c r="P1173" s="5" t="s">
        <v>2340</v>
      </c>
      <c r="Q1173" s="5" t="s">
        <v>2341</v>
      </c>
      <c r="R1173" s="5">
        <v>47.56</v>
      </c>
      <c r="S1173" s="4">
        <v>44971</v>
      </c>
      <c r="T1173" s="4">
        <v>44974</v>
      </c>
      <c r="U1173" s="5">
        <f t="shared" si="56"/>
        <v>3</v>
      </c>
      <c r="V1173" s="5" t="s">
        <v>59</v>
      </c>
      <c r="X1173" s="5"/>
    </row>
    <row r="1174" spans="1:24">
      <c r="A1174" s="4">
        <v>45044</v>
      </c>
      <c r="B1174" s="5" t="str">
        <f t="shared" si="54"/>
        <v>April</v>
      </c>
      <c r="C1174" s="5" t="s">
        <v>20</v>
      </c>
      <c r="D1174" s="5" t="s">
        <v>101</v>
      </c>
      <c r="E1174" s="5">
        <v>20</v>
      </c>
      <c r="F1174" s="5">
        <v>476.69</v>
      </c>
      <c r="G1174" s="6">
        <f t="shared" si="55"/>
        <v>9533.8</v>
      </c>
      <c r="H1174" s="5" t="s">
        <v>53</v>
      </c>
      <c r="I1174" s="5" t="s">
        <v>54</v>
      </c>
      <c r="J1174" s="5">
        <v>0.05</v>
      </c>
      <c r="K1174" s="5" t="s">
        <v>89</v>
      </c>
      <c r="L1174" s="6">
        <v>9057.11</v>
      </c>
      <c r="M1174" s="5" t="s">
        <v>30</v>
      </c>
      <c r="N1174" s="5" t="s">
        <v>69</v>
      </c>
      <c r="O1174" s="5">
        <v>0</v>
      </c>
      <c r="P1174" s="5" t="s">
        <v>2342</v>
      </c>
      <c r="Q1174" s="5" t="s">
        <v>2343</v>
      </c>
      <c r="R1174" s="5">
        <v>10.2</v>
      </c>
      <c r="S1174" s="4">
        <v>45044</v>
      </c>
      <c r="T1174" s="4">
        <v>45049</v>
      </c>
      <c r="U1174" s="5">
        <f t="shared" si="56"/>
        <v>5</v>
      </c>
      <c r="V1174" s="5" t="s">
        <v>94</v>
      </c>
      <c r="X1174" s="5"/>
    </row>
    <row r="1175" spans="1:24">
      <c r="A1175" s="4">
        <v>45354</v>
      </c>
      <c r="B1175" s="5" t="str">
        <f t="shared" si="54"/>
        <v>March</v>
      </c>
      <c r="C1175" s="5" t="s">
        <v>18</v>
      </c>
      <c r="D1175" s="5" t="s">
        <v>23</v>
      </c>
      <c r="E1175" s="5">
        <v>2</v>
      </c>
      <c r="F1175" s="5">
        <v>160.73</v>
      </c>
      <c r="G1175" s="6">
        <f t="shared" si="55"/>
        <v>321.46</v>
      </c>
      <c r="H1175" s="5" t="s">
        <v>61</v>
      </c>
      <c r="I1175" s="5" t="s">
        <v>54</v>
      </c>
      <c r="J1175" s="5">
        <v>0.15</v>
      </c>
      <c r="K1175" s="5" t="s">
        <v>73</v>
      </c>
      <c r="L1175" s="6">
        <v>273.241</v>
      </c>
      <c r="M1175" s="5" t="s">
        <v>34</v>
      </c>
      <c r="N1175" s="5" t="s">
        <v>56</v>
      </c>
      <c r="O1175" s="5">
        <v>0</v>
      </c>
      <c r="P1175" s="5" t="s">
        <v>2344</v>
      </c>
      <c r="Q1175" s="5" t="s">
        <v>2345</v>
      </c>
      <c r="R1175" s="5">
        <v>20.18</v>
      </c>
      <c r="S1175" s="4">
        <v>45354</v>
      </c>
      <c r="T1175" s="4">
        <v>45362</v>
      </c>
      <c r="U1175" s="5">
        <f t="shared" si="56"/>
        <v>8</v>
      </c>
      <c r="V1175" s="5" t="s">
        <v>72</v>
      </c>
      <c r="X1175" s="5"/>
    </row>
    <row r="1176" spans="1:24">
      <c r="A1176" s="4">
        <v>45539</v>
      </c>
      <c r="B1176" s="5" t="str">
        <f t="shared" si="54"/>
        <v>September</v>
      </c>
      <c r="C1176" s="5" t="s">
        <v>20</v>
      </c>
      <c r="D1176" s="5" t="s">
        <v>101</v>
      </c>
      <c r="E1176" s="5">
        <v>9</v>
      </c>
      <c r="F1176" s="5">
        <v>228.98</v>
      </c>
      <c r="G1176" s="6">
        <f t="shared" si="55"/>
        <v>2060.82</v>
      </c>
      <c r="H1176" s="5" t="s">
        <v>81</v>
      </c>
      <c r="I1176" s="5" t="s">
        <v>62</v>
      </c>
      <c r="J1176" s="5">
        <v>0.15</v>
      </c>
      <c r="K1176" s="5" t="s">
        <v>73</v>
      </c>
      <c r="L1176" s="6">
        <v>1751.697</v>
      </c>
      <c r="M1176" s="5" t="s">
        <v>30</v>
      </c>
      <c r="N1176" s="5" t="s">
        <v>69</v>
      </c>
      <c r="O1176" s="5">
        <v>0</v>
      </c>
      <c r="P1176" s="5" t="s">
        <v>2346</v>
      </c>
      <c r="Q1176" s="5" t="s">
        <v>2347</v>
      </c>
      <c r="R1176" s="5">
        <v>45.79</v>
      </c>
      <c r="S1176" s="4">
        <v>45539</v>
      </c>
      <c r="T1176" s="4">
        <v>45543</v>
      </c>
      <c r="U1176" s="5">
        <f t="shared" si="56"/>
        <v>4</v>
      </c>
      <c r="V1176" s="5" t="s">
        <v>94</v>
      </c>
      <c r="X1176" s="5"/>
    </row>
    <row r="1177" spans="1:24">
      <c r="A1177" s="4">
        <v>45656</v>
      </c>
      <c r="B1177" s="5" t="str">
        <f t="shared" si="54"/>
        <v>December</v>
      </c>
      <c r="C1177" s="5" t="s">
        <v>16</v>
      </c>
      <c r="D1177" s="5" t="s">
        <v>101</v>
      </c>
      <c r="E1177" s="5">
        <v>19</v>
      </c>
      <c r="F1177" s="5">
        <v>336.5</v>
      </c>
      <c r="G1177" s="6">
        <f t="shared" si="55"/>
        <v>6393.5</v>
      </c>
      <c r="H1177" s="5" t="s">
        <v>53</v>
      </c>
      <c r="I1177" s="5" t="s">
        <v>54</v>
      </c>
      <c r="J1177" s="5">
        <v>0</v>
      </c>
      <c r="K1177" s="5" t="s">
        <v>63</v>
      </c>
      <c r="L1177" s="6">
        <v>6393.5</v>
      </c>
      <c r="M1177" s="5" t="s">
        <v>30</v>
      </c>
      <c r="N1177" s="5" t="s">
        <v>69</v>
      </c>
      <c r="O1177" s="5">
        <v>0</v>
      </c>
      <c r="P1177" s="5" t="s">
        <v>2348</v>
      </c>
      <c r="Q1177" s="5" t="s">
        <v>2349</v>
      </c>
      <c r="R1177" s="5">
        <v>27.43</v>
      </c>
      <c r="S1177" s="4">
        <v>45656</v>
      </c>
      <c r="T1177" s="4">
        <v>45664</v>
      </c>
      <c r="U1177" s="5">
        <f t="shared" si="56"/>
        <v>8</v>
      </c>
      <c r="V1177" s="5" t="s">
        <v>59</v>
      </c>
      <c r="X1177" s="5"/>
    </row>
    <row r="1178" spans="1:24">
      <c r="A1178" s="4">
        <v>45332</v>
      </c>
      <c r="B1178" s="5" t="str">
        <f t="shared" si="54"/>
        <v>February</v>
      </c>
      <c r="C1178" s="5" t="s">
        <v>16</v>
      </c>
      <c r="D1178" s="5" t="s">
        <v>27</v>
      </c>
      <c r="E1178" s="5">
        <v>18</v>
      </c>
      <c r="F1178" s="5">
        <v>411.59</v>
      </c>
      <c r="G1178" s="6">
        <f t="shared" si="55"/>
        <v>7408.62</v>
      </c>
      <c r="H1178" s="5" t="s">
        <v>61</v>
      </c>
      <c r="I1178" s="5" t="s">
        <v>54</v>
      </c>
      <c r="J1178" s="5">
        <v>0</v>
      </c>
      <c r="K1178" s="5" t="s">
        <v>89</v>
      </c>
      <c r="L1178" s="6">
        <v>7408.62</v>
      </c>
      <c r="M1178" s="5" t="s">
        <v>32</v>
      </c>
      <c r="N1178" s="5" t="s">
        <v>69</v>
      </c>
      <c r="O1178" s="5">
        <v>0</v>
      </c>
      <c r="P1178" s="5" t="s">
        <v>2350</v>
      </c>
      <c r="Q1178" s="5" t="s">
        <v>2351</v>
      </c>
      <c r="R1178" s="5">
        <v>9.62</v>
      </c>
      <c r="S1178" s="4">
        <v>45332</v>
      </c>
      <c r="T1178" s="4">
        <v>45338</v>
      </c>
      <c r="U1178" s="5">
        <f t="shared" si="56"/>
        <v>6</v>
      </c>
      <c r="V1178" s="5" t="s">
        <v>59</v>
      </c>
      <c r="X1178" s="5"/>
    </row>
    <row r="1179" spans="1:24">
      <c r="A1179" s="4">
        <v>45176</v>
      </c>
      <c r="B1179" s="5" t="str">
        <f t="shared" si="54"/>
        <v>September</v>
      </c>
      <c r="C1179" s="5" t="s">
        <v>19</v>
      </c>
      <c r="D1179" s="5" t="s">
        <v>27</v>
      </c>
      <c r="E1179" s="5">
        <v>1</v>
      </c>
      <c r="F1179" s="5">
        <v>431.49</v>
      </c>
      <c r="G1179" s="6">
        <f t="shared" si="55"/>
        <v>431.49</v>
      </c>
      <c r="H1179" s="5" t="s">
        <v>77</v>
      </c>
      <c r="I1179" s="5" t="s">
        <v>54</v>
      </c>
      <c r="J1179" s="5">
        <v>0.15</v>
      </c>
      <c r="K1179" s="5" t="s">
        <v>63</v>
      </c>
      <c r="L1179" s="6">
        <v>366.7665</v>
      </c>
      <c r="M1179" s="5" t="s">
        <v>34</v>
      </c>
      <c r="N1179" s="5" t="s">
        <v>64</v>
      </c>
      <c r="O1179" s="5">
        <v>0</v>
      </c>
      <c r="P1179" s="5" t="s">
        <v>2352</v>
      </c>
      <c r="Q1179" s="5" t="s">
        <v>2353</v>
      </c>
      <c r="R1179" s="5">
        <v>17.53</v>
      </c>
      <c r="S1179" s="4">
        <v>45176</v>
      </c>
      <c r="T1179" s="4">
        <v>45184</v>
      </c>
      <c r="U1179" s="5">
        <f t="shared" si="56"/>
        <v>8</v>
      </c>
      <c r="V1179" s="5" t="s">
        <v>76</v>
      </c>
      <c r="X1179" s="5"/>
    </row>
    <row r="1180" spans="1:24">
      <c r="A1180" s="4">
        <v>45149</v>
      </c>
      <c r="B1180" s="5" t="str">
        <f t="shared" si="54"/>
        <v>August</v>
      </c>
      <c r="C1180" s="5" t="s">
        <v>16</v>
      </c>
      <c r="D1180" s="5" t="s">
        <v>22</v>
      </c>
      <c r="E1180" s="5">
        <v>18</v>
      </c>
      <c r="F1180" s="5">
        <v>495.39</v>
      </c>
      <c r="G1180" s="6">
        <f t="shared" si="55"/>
        <v>8917.02</v>
      </c>
      <c r="H1180" s="5" t="s">
        <v>61</v>
      </c>
      <c r="I1180" s="5" t="s">
        <v>54</v>
      </c>
      <c r="J1180" s="5">
        <v>0</v>
      </c>
      <c r="K1180" s="5" t="s">
        <v>78</v>
      </c>
      <c r="L1180" s="6">
        <v>8917.02</v>
      </c>
      <c r="M1180" s="5" t="s">
        <v>31</v>
      </c>
      <c r="N1180" s="5" t="s">
        <v>64</v>
      </c>
      <c r="O1180" s="5">
        <v>0</v>
      </c>
      <c r="P1180" s="5" t="s">
        <v>2354</v>
      </c>
      <c r="Q1180" s="5" t="s">
        <v>2355</v>
      </c>
      <c r="R1180" s="5">
        <v>14.88</v>
      </c>
      <c r="S1180" s="4">
        <v>45149</v>
      </c>
      <c r="T1180" s="4">
        <v>45153</v>
      </c>
      <c r="U1180" s="5">
        <f t="shared" si="56"/>
        <v>4</v>
      </c>
      <c r="V1180" s="5" t="s">
        <v>59</v>
      </c>
      <c r="X1180" s="5"/>
    </row>
    <row r="1181" spans="1:24">
      <c r="A1181" s="4">
        <v>44997</v>
      </c>
      <c r="B1181" s="5" t="str">
        <f t="shared" si="54"/>
        <v>March</v>
      </c>
      <c r="C1181" s="5" t="s">
        <v>20</v>
      </c>
      <c r="D1181" s="5" t="s">
        <v>23</v>
      </c>
      <c r="E1181" s="5">
        <v>4</v>
      </c>
      <c r="F1181" s="5">
        <v>149.3</v>
      </c>
      <c r="G1181" s="6">
        <f t="shared" si="55"/>
        <v>597.2</v>
      </c>
      <c r="H1181" s="5" t="s">
        <v>61</v>
      </c>
      <c r="I1181" s="5" t="s">
        <v>54</v>
      </c>
      <c r="J1181" s="5">
        <v>0.1</v>
      </c>
      <c r="K1181" s="5" t="s">
        <v>82</v>
      </c>
      <c r="L1181" s="6">
        <v>537.48</v>
      </c>
      <c r="M1181" s="5" t="s">
        <v>33</v>
      </c>
      <c r="N1181" s="5" t="s">
        <v>56</v>
      </c>
      <c r="O1181" s="5">
        <v>0</v>
      </c>
      <c r="P1181" s="5" t="s">
        <v>2356</v>
      </c>
      <c r="Q1181" s="5" t="s">
        <v>2357</v>
      </c>
      <c r="R1181" s="5">
        <v>47.84</v>
      </c>
      <c r="S1181" s="4">
        <v>44997</v>
      </c>
      <c r="T1181" s="4">
        <v>45001</v>
      </c>
      <c r="U1181" s="5">
        <f t="shared" si="56"/>
        <v>4</v>
      </c>
      <c r="V1181" s="5" t="s">
        <v>94</v>
      </c>
      <c r="X1181" s="5"/>
    </row>
    <row r="1182" spans="1:24">
      <c r="A1182" s="4">
        <v>45014</v>
      </c>
      <c r="B1182" s="5" t="str">
        <f t="shared" si="54"/>
        <v>March</v>
      </c>
      <c r="C1182" s="5" t="s">
        <v>19</v>
      </c>
      <c r="D1182" s="5" t="s">
        <v>24</v>
      </c>
      <c r="E1182" s="5">
        <v>18</v>
      </c>
      <c r="F1182" s="5">
        <v>179.97</v>
      </c>
      <c r="G1182" s="6">
        <f t="shared" si="55"/>
        <v>3239.46</v>
      </c>
      <c r="H1182" s="5" t="s">
        <v>77</v>
      </c>
      <c r="I1182" s="5" t="s">
        <v>54</v>
      </c>
      <c r="J1182" s="5">
        <v>0.1</v>
      </c>
      <c r="K1182" s="5" t="s">
        <v>55</v>
      </c>
      <c r="L1182" s="6">
        <v>2915.514</v>
      </c>
      <c r="M1182" s="5" t="s">
        <v>34</v>
      </c>
      <c r="N1182" s="5" t="s">
        <v>64</v>
      </c>
      <c r="O1182" s="5">
        <v>0</v>
      </c>
      <c r="P1182" s="5" t="s">
        <v>2358</v>
      </c>
      <c r="Q1182" s="5" t="s">
        <v>2359</v>
      </c>
      <c r="R1182" s="5">
        <v>22.15</v>
      </c>
      <c r="S1182" s="4">
        <v>45014</v>
      </c>
      <c r="T1182" s="4">
        <v>45016</v>
      </c>
      <c r="U1182" s="5">
        <f t="shared" si="56"/>
        <v>2</v>
      </c>
      <c r="V1182" s="5" t="s">
        <v>76</v>
      </c>
      <c r="X1182" s="5"/>
    </row>
    <row r="1183" spans="1:24">
      <c r="A1183" s="4">
        <v>45705</v>
      </c>
      <c r="B1183" s="5" t="str">
        <f t="shared" si="54"/>
        <v>February</v>
      </c>
      <c r="C1183" s="5" t="s">
        <v>17</v>
      </c>
      <c r="D1183" s="5" t="s">
        <v>25</v>
      </c>
      <c r="E1183" s="5">
        <v>11</v>
      </c>
      <c r="F1183" s="5">
        <v>381.14</v>
      </c>
      <c r="G1183" s="6">
        <f t="shared" si="55"/>
        <v>4192.54</v>
      </c>
      <c r="H1183" s="5" t="s">
        <v>53</v>
      </c>
      <c r="I1183" s="5" t="s">
        <v>62</v>
      </c>
      <c r="J1183" s="5">
        <v>0.05</v>
      </c>
      <c r="K1183" s="5" t="s">
        <v>73</v>
      </c>
      <c r="L1183" s="6">
        <v>3982.913</v>
      </c>
      <c r="M1183" s="5" t="s">
        <v>31</v>
      </c>
      <c r="N1183" s="5" t="s">
        <v>56</v>
      </c>
      <c r="O1183" s="5">
        <v>0</v>
      </c>
      <c r="P1183" s="5" t="s">
        <v>2360</v>
      </c>
      <c r="Q1183" s="5" t="s">
        <v>2361</v>
      </c>
      <c r="R1183" s="5">
        <v>32.83</v>
      </c>
      <c r="S1183" s="4">
        <v>45705</v>
      </c>
      <c r="T1183" s="4">
        <v>45715</v>
      </c>
      <c r="U1183" s="5">
        <f t="shared" si="56"/>
        <v>10</v>
      </c>
      <c r="V1183" s="5" t="s">
        <v>67</v>
      </c>
      <c r="X1183" s="5"/>
    </row>
    <row r="1184" spans="1:24">
      <c r="A1184" s="4">
        <v>45298</v>
      </c>
      <c r="B1184" s="5" t="str">
        <f t="shared" si="54"/>
        <v>January</v>
      </c>
      <c r="C1184" s="5" t="s">
        <v>18</v>
      </c>
      <c r="D1184" s="5" t="s">
        <v>25</v>
      </c>
      <c r="E1184" s="5">
        <v>5</v>
      </c>
      <c r="F1184" s="5">
        <v>454.62</v>
      </c>
      <c r="G1184" s="6">
        <f t="shared" si="55"/>
        <v>2273.1</v>
      </c>
      <c r="H1184" s="5" t="s">
        <v>77</v>
      </c>
      <c r="I1184" s="5" t="s">
        <v>54</v>
      </c>
      <c r="J1184" s="5">
        <v>0.05</v>
      </c>
      <c r="K1184" s="5" t="s">
        <v>82</v>
      </c>
      <c r="L1184" s="6">
        <v>2159.445</v>
      </c>
      <c r="M1184" s="5" t="s">
        <v>31</v>
      </c>
      <c r="N1184" s="5"/>
      <c r="O1184" s="5">
        <v>0</v>
      </c>
      <c r="P1184" s="5" t="s">
        <v>2362</v>
      </c>
      <c r="Q1184" s="5" t="s">
        <v>2363</v>
      </c>
      <c r="R1184" s="5">
        <v>10.19</v>
      </c>
      <c r="S1184" s="4">
        <v>45298</v>
      </c>
      <c r="T1184" s="4">
        <v>45306</v>
      </c>
      <c r="U1184" s="5">
        <f t="shared" si="56"/>
        <v>8</v>
      </c>
      <c r="V1184" s="5" t="s">
        <v>72</v>
      </c>
      <c r="X1184" s="5"/>
    </row>
    <row r="1185" spans="1:24">
      <c r="A1185" s="4">
        <v>44940</v>
      </c>
      <c r="B1185" s="5" t="str">
        <f t="shared" si="54"/>
        <v>January</v>
      </c>
      <c r="C1185" s="5" t="s">
        <v>16</v>
      </c>
      <c r="D1185" s="5" t="s">
        <v>23</v>
      </c>
      <c r="E1185" s="5">
        <v>17</v>
      </c>
      <c r="F1185" s="5">
        <v>226.56</v>
      </c>
      <c r="G1185" s="6">
        <f t="shared" si="55"/>
        <v>3851.52</v>
      </c>
      <c r="H1185" s="5" t="s">
        <v>61</v>
      </c>
      <c r="I1185" s="5" t="s">
        <v>54</v>
      </c>
      <c r="J1185" s="5">
        <v>0.1</v>
      </c>
      <c r="K1185" s="5" t="s">
        <v>82</v>
      </c>
      <c r="L1185" s="6">
        <v>3466.368</v>
      </c>
      <c r="M1185" s="5" t="s">
        <v>31</v>
      </c>
      <c r="N1185" s="5" t="s">
        <v>69</v>
      </c>
      <c r="O1185" s="5">
        <v>1</v>
      </c>
      <c r="P1185" s="5" t="s">
        <v>2364</v>
      </c>
      <c r="Q1185" s="5" t="s">
        <v>2365</v>
      </c>
      <c r="R1185" s="5">
        <v>36.89</v>
      </c>
      <c r="S1185" s="4">
        <v>44940</v>
      </c>
      <c r="T1185" s="4">
        <v>44946</v>
      </c>
      <c r="U1185" s="5">
        <f t="shared" si="56"/>
        <v>6</v>
      </c>
      <c r="V1185" s="5" t="s">
        <v>59</v>
      </c>
      <c r="X1185" s="5"/>
    </row>
    <row r="1186" spans="1:24">
      <c r="A1186" s="4">
        <v>45294</v>
      </c>
      <c r="B1186" s="5" t="str">
        <f t="shared" si="54"/>
        <v>January</v>
      </c>
      <c r="C1186" s="5" t="s">
        <v>20</v>
      </c>
      <c r="D1186" s="5" t="s">
        <v>22</v>
      </c>
      <c r="E1186" s="5">
        <v>2</v>
      </c>
      <c r="F1186" s="5">
        <v>132.91</v>
      </c>
      <c r="G1186" s="6">
        <f t="shared" si="55"/>
        <v>265.82</v>
      </c>
      <c r="H1186" s="5" t="s">
        <v>61</v>
      </c>
      <c r="I1186" s="5" t="s">
        <v>54</v>
      </c>
      <c r="J1186" s="5">
        <v>0</v>
      </c>
      <c r="K1186" s="5" t="s">
        <v>89</v>
      </c>
      <c r="L1186" s="6">
        <v>265.82</v>
      </c>
      <c r="M1186" s="5" t="s">
        <v>33</v>
      </c>
      <c r="N1186" s="5" t="s">
        <v>69</v>
      </c>
      <c r="O1186" s="5">
        <v>0</v>
      </c>
      <c r="P1186" s="5" t="s">
        <v>2366</v>
      </c>
      <c r="Q1186" s="5" t="s">
        <v>2367</v>
      </c>
      <c r="R1186" s="5">
        <v>7.76</v>
      </c>
      <c r="S1186" s="4">
        <v>45294</v>
      </c>
      <c r="T1186" s="4">
        <v>45303</v>
      </c>
      <c r="U1186" s="5">
        <f t="shared" si="56"/>
        <v>9</v>
      </c>
      <c r="V1186" s="5" t="s">
        <v>94</v>
      </c>
      <c r="X1186" s="5"/>
    </row>
    <row r="1187" spans="1:24">
      <c r="A1187" s="4">
        <v>45163</v>
      </c>
      <c r="B1187" s="5" t="str">
        <f t="shared" si="54"/>
        <v>August</v>
      </c>
      <c r="C1187" s="5" t="s">
        <v>17</v>
      </c>
      <c r="D1187" s="5" t="s">
        <v>24</v>
      </c>
      <c r="E1187" s="5">
        <v>2</v>
      </c>
      <c r="F1187" s="5">
        <v>35.69</v>
      </c>
      <c r="G1187" s="6">
        <f t="shared" si="55"/>
        <v>71.38</v>
      </c>
      <c r="H1187" s="5" t="s">
        <v>77</v>
      </c>
      <c r="I1187" s="5" t="s">
        <v>62</v>
      </c>
      <c r="J1187" s="5">
        <v>0</v>
      </c>
      <c r="K1187" s="5" t="s">
        <v>55</v>
      </c>
      <c r="L1187" s="6">
        <v>71.38</v>
      </c>
      <c r="M1187" s="5" t="s">
        <v>33</v>
      </c>
      <c r="N1187" s="5" t="s">
        <v>56</v>
      </c>
      <c r="O1187" s="5">
        <v>0</v>
      </c>
      <c r="P1187" s="5" t="s">
        <v>2368</v>
      </c>
      <c r="Q1187" s="5" t="s">
        <v>2369</v>
      </c>
      <c r="R1187" s="5">
        <v>39.89</v>
      </c>
      <c r="S1187" s="4">
        <v>45163</v>
      </c>
      <c r="T1187" s="4">
        <v>45166</v>
      </c>
      <c r="U1187" s="5">
        <f t="shared" si="56"/>
        <v>3</v>
      </c>
      <c r="V1187" s="5" t="s">
        <v>67</v>
      </c>
      <c r="X1187" s="5"/>
    </row>
    <row r="1188" spans="1:24">
      <c r="A1188" s="4">
        <v>45793</v>
      </c>
      <c r="B1188" s="5" t="str">
        <f t="shared" si="54"/>
        <v>May</v>
      </c>
      <c r="C1188" s="5" t="s">
        <v>18</v>
      </c>
      <c r="D1188" s="5" t="s">
        <v>24</v>
      </c>
      <c r="E1188" s="5">
        <v>6</v>
      </c>
      <c r="F1188" s="5">
        <v>451.93</v>
      </c>
      <c r="G1188" s="6">
        <f t="shared" si="55"/>
        <v>2711.58</v>
      </c>
      <c r="H1188" s="5" t="s">
        <v>61</v>
      </c>
      <c r="I1188" s="5" t="s">
        <v>54</v>
      </c>
      <c r="J1188" s="5">
        <v>0.15</v>
      </c>
      <c r="K1188" s="5" t="s">
        <v>55</v>
      </c>
      <c r="L1188" s="6">
        <v>2304.843</v>
      </c>
      <c r="M1188" s="5" t="s">
        <v>34</v>
      </c>
      <c r="N1188" s="5" t="s">
        <v>69</v>
      </c>
      <c r="O1188" s="5">
        <v>1</v>
      </c>
      <c r="P1188" s="5" t="s">
        <v>2370</v>
      </c>
      <c r="Q1188" s="5" t="s">
        <v>2371</v>
      </c>
      <c r="R1188" s="5">
        <v>49.37</v>
      </c>
      <c r="S1188" s="4">
        <v>45793</v>
      </c>
      <c r="T1188" s="4">
        <v>45802</v>
      </c>
      <c r="U1188" s="5">
        <f t="shared" si="56"/>
        <v>9</v>
      </c>
      <c r="V1188" s="5" t="s">
        <v>72</v>
      </c>
      <c r="X1188" s="5"/>
    </row>
    <row r="1189" spans="1:24">
      <c r="A1189" s="4">
        <v>45290</v>
      </c>
      <c r="B1189" s="5" t="str">
        <f t="shared" si="54"/>
        <v>December</v>
      </c>
      <c r="C1189" s="5" t="s">
        <v>17</v>
      </c>
      <c r="D1189" s="5" t="s">
        <v>22</v>
      </c>
      <c r="E1189" s="5">
        <v>7</v>
      </c>
      <c r="F1189" s="5">
        <v>270.47</v>
      </c>
      <c r="G1189" s="6">
        <f t="shared" si="55"/>
        <v>1893.29</v>
      </c>
      <c r="H1189" s="5" t="s">
        <v>81</v>
      </c>
      <c r="I1189" s="5" t="s">
        <v>54</v>
      </c>
      <c r="J1189" s="5">
        <v>0.05</v>
      </c>
      <c r="K1189" s="5" t="s">
        <v>82</v>
      </c>
      <c r="L1189" s="6">
        <v>1798.6255</v>
      </c>
      <c r="M1189" s="5" t="s">
        <v>32</v>
      </c>
      <c r="N1189" s="5" t="s">
        <v>69</v>
      </c>
      <c r="O1189" s="5">
        <v>1</v>
      </c>
      <c r="P1189" s="5" t="s">
        <v>2372</v>
      </c>
      <c r="Q1189" s="5" t="s">
        <v>2373</v>
      </c>
      <c r="R1189" s="5">
        <v>41.56</v>
      </c>
      <c r="S1189" s="4">
        <v>45290</v>
      </c>
      <c r="T1189" s="4">
        <v>45294</v>
      </c>
      <c r="U1189" s="5">
        <f t="shared" si="56"/>
        <v>4</v>
      </c>
      <c r="V1189" s="5" t="s">
        <v>67</v>
      </c>
      <c r="X1189" s="5"/>
    </row>
    <row r="1190" spans="1:24">
      <c r="A1190" s="4">
        <v>45571</v>
      </c>
      <c r="B1190" s="5" t="str">
        <f t="shared" si="54"/>
        <v>October</v>
      </c>
      <c r="C1190" s="5" t="s">
        <v>17</v>
      </c>
      <c r="D1190" s="5" t="s">
        <v>23</v>
      </c>
      <c r="E1190" s="5">
        <v>13</v>
      </c>
      <c r="F1190" s="5">
        <v>55.46</v>
      </c>
      <c r="G1190" s="6">
        <f t="shared" si="55"/>
        <v>720.98</v>
      </c>
      <c r="H1190" s="5" t="s">
        <v>61</v>
      </c>
      <c r="I1190" s="5" t="s">
        <v>62</v>
      </c>
      <c r="J1190" s="5">
        <v>0.05</v>
      </c>
      <c r="K1190" s="5" t="s">
        <v>89</v>
      </c>
      <c r="L1190" s="6">
        <v>684.931</v>
      </c>
      <c r="M1190" s="5" t="s">
        <v>32</v>
      </c>
      <c r="N1190" s="5" t="s">
        <v>56</v>
      </c>
      <c r="O1190" s="5">
        <v>1</v>
      </c>
      <c r="P1190" s="5" t="s">
        <v>2374</v>
      </c>
      <c r="Q1190" s="5" t="s">
        <v>2375</v>
      </c>
      <c r="R1190" s="5">
        <v>18.01</v>
      </c>
      <c r="S1190" s="4">
        <v>45571</v>
      </c>
      <c r="T1190" s="4">
        <v>45574</v>
      </c>
      <c r="U1190" s="5">
        <f t="shared" si="56"/>
        <v>3</v>
      </c>
      <c r="V1190" s="5" t="s">
        <v>67</v>
      </c>
      <c r="X1190" s="5"/>
    </row>
    <row r="1191" spans="1:24">
      <c r="A1191" s="4">
        <v>44997</v>
      </c>
      <c r="B1191" s="5" t="str">
        <f t="shared" si="54"/>
        <v>March</v>
      </c>
      <c r="C1191" s="5" t="s">
        <v>19</v>
      </c>
      <c r="D1191" s="5" t="s">
        <v>101</v>
      </c>
      <c r="E1191" s="5">
        <v>17</v>
      </c>
      <c r="F1191" s="5">
        <v>515.12</v>
      </c>
      <c r="G1191" s="6">
        <f t="shared" si="55"/>
        <v>8757.04</v>
      </c>
      <c r="H1191" s="5" t="s">
        <v>81</v>
      </c>
      <c r="I1191" s="5" t="s">
        <v>54</v>
      </c>
      <c r="J1191" s="5">
        <v>0.15</v>
      </c>
      <c r="K1191" s="5" t="s">
        <v>89</v>
      </c>
      <c r="L1191" s="6">
        <v>7443.484</v>
      </c>
      <c r="M1191" s="5" t="s">
        <v>32</v>
      </c>
      <c r="N1191" s="5" t="s">
        <v>64</v>
      </c>
      <c r="O1191" s="5">
        <v>1</v>
      </c>
      <c r="P1191" s="5" t="s">
        <v>2376</v>
      </c>
      <c r="Q1191" s="5" t="s">
        <v>251</v>
      </c>
      <c r="R1191" s="5">
        <v>32.74</v>
      </c>
      <c r="S1191" s="4">
        <v>44997</v>
      </c>
      <c r="T1191" s="4">
        <v>45007</v>
      </c>
      <c r="U1191" s="5">
        <f t="shared" si="56"/>
        <v>10</v>
      </c>
      <c r="V1191" s="5" t="s">
        <v>76</v>
      </c>
      <c r="X1191" s="5"/>
    </row>
    <row r="1192" spans="1:24">
      <c r="A1192" s="4">
        <v>45388</v>
      </c>
      <c r="B1192" s="5" t="str">
        <f t="shared" si="54"/>
        <v>April</v>
      </c>
      <c r="C1192" s="5" t="s">
        <v>18</v>
      </c>
      <c r="D1192" s="5" t="s">
        <v>23</v>
      </c>
      <c r="E1192" s="5">
        <v>1</v>
      </c>
      <c r="F1192" s="5">
        <v>256.63</v>
      </c>
      <c r="G1192" s="6">
        <f t="shared" si="55"/>
        <v>256.63</v>
      </c>
      <c r="H1192" s="5" t="s">
        <v>81</v>
      </c>
      <c r="I1192" s="5" t="s">
        <v>54</v>
      </c>
      <c r="J1192" s="5">
        <v>0</v>
      </c>
      <c r="K1192" s="5" t="s">
        <v>78</v>
      </c>
      <c r="L1192" s="6">
        <v>256.63</v>
      </c>
      <c r="M1192" s="5" t="s">
        <v>31</v>
      </c>
      <c r="N1192" s="5" t="s">
        <v>56</v>
      </c>
      <c r="O1192" s="5">
        <v>0</v>
      </c>
      <c r="P1192" s="5" t="s">
        <v>2377</v>
      </c>
      <c r="Q1192" s="5" t="s">
        <v>2378</v>
      </c>
      <c r="R1192" s="5">
        <v>12.97</v>
      </c>
      <c r="S1192" s="4">
        <v>45388</v>
      </c>
      <c r="T1192" s="4">
        <v>45390</v>
      </c>
      <c r="U1192" s="5">
        <f t="shared" si="56"/>
        <v>2</v>
      </c>
      <c r="V1192" s="5" t="s">
        <v>72</v>
      </c>
      <c r="X1192" s="5"/>
    </row>
    <row r="1193" spans="1:24">
      <c r="A1193" s="4">
        <v>44946</v>
      </c>
      <c r="B1193" s="5" t="str">
        <f t="shared" si="54"/>
        <v>January</v>
      </c>
      <c r="C1193" s="5" t="s">
        <v>18</v>
      </c>
      <c r="D1193" s="5" t="s">
        <v>101</v>
      </c>
      <c r="E1193" s="5">
        <v>4</v>
      </c>
      <c r="F1193" s="5">
        <v>423.99</v>
      </c>
      <c r="G1193" s="6">
        <f t="shared" si="55"/>
        <v>1695.96</v>
      </c>
      <c r="H1193" s="5" t="s">
        <v>53</v>
      </c>
      <c r="I1193" s="5" t="s">
        <v>62</v>
      </c>
      <c r="J1193" s="5">
        <v>0.05</v>
      </c>
      <c r="K1193" s="5" t="s">
        <v>73</v>
      </c>
      <c r="L1193" s="6">
        <v>1611.162</v>
      </c>
      <c r="M1193" s="5" t="s">
        <v>30</v>
      </c>
      <c r="N1193" s="5" t="s">
        <v>56</v>
      </c>
      <c r="O1193" s="5">
        <v>0</v>
      </c>
      <c r="P1193" s="5" t="s">
        <v>2379</v>
      </c>
      <c r="Q1193" s="5" t="s">
        <v>2380</v>
      </c>
      <c r="R1193" s="5">
        <v>20.05</v>
      </c>
      <c r="S1193" s="4">
        <v>44946</v>
      </c>
      <c r="T1193" s="4">
        <v>44951</v>
      </c>
      <c r="U1193" s="5">
        <f t="shared" si="56"/>
        <v>5</v>
      </c>
      <c r="V1193" s="5" t="s">
        <v>72</v>
      </c>
      <c r="X1193" s="5"/>
    </row>
    <row r="1194" spans="1:24">
      <c r="A1194" s="4">
        <v>45481</v>
      </c>
      <c r="B1194" s="5" t="str">
        <f t="shared" si="54"/>
        <v>July</v>
      </c>
      <c r="C1194" s="5" t="s">
        <v>20</v>
      </c>
      <c r="D1194" s="5" t="s">
        <v>22</v>
      </c>
      <c r="E1194" s="5">
        <v>15</v>
      </c>
      <c r="F1194" s="5">
        <v>77.89</v>
      </c>
      <c r="G1194" s="6">
        <f t="shared" si="55"/>
        <v>1168.35</v>
      </c>
      <c r="H1194" s="5" t="s">
        <v>53</v>
      </c>
      <c r="I1194" s="5" t="s">
        <v>54</v>
      </c>
      <c r="J1194" s="5">
        <v>0.05</v>
      </c>
      <c r="K1194" s="5" t="s">
        <v>82</v>
      </c>
      <c r="L1194" s="6">
        <v>1109.9325</v>
      </c>
      <c r="M1194" s="5" t="s">
        <v>32</v>
      </c>
      <c r="N1194" s="5"/>
      <c r="O1194" s="5">
        <v>0</v>
      </c>
      <c r="P1194" s="5" t="s">
        <v>2381</v>
      </c>
      <c r="Q1194" s="5" t="s">
        <v>2382</v>
      </c>
      <c r="R1194" s="5">
        <v>20.87</v>
      </c>
      <c r="S1194" s="4">
        <v>45481</v>
      </c>
      <c r="T1194" s="4">
        <v>45485</v>
      </c>
      <c r="U1194" s="5">
        <f t="shared" si="56"/>
        <v>4</v>
      </c>
      <c r="V1194" s="5" t="s">
        <v>94</v>
      </c>
      <c r="X1194" s="5"/>
    </row>
    <row r="1195" spans="1:24">
      <c r="A1195" s="4">
        <v>45205</v>
      </c>
      <c r="B1195" s="5" t="str">
        <f t="shared" si="54"/>
        <v>October</v>
      </c>
      <c r="C1195" s="5" t="s">
        <v>18</v>
      </c>
      <c r="D1195" s="5" t="s">
        <v>23</v>
      </c>
      <c r="E1195" s="5">
        <v>12</v>
      </c>
      <c r="F1195" s="5">
        <v>11.95</v>
      </c>
      <c r="G1195" s="6">
        <f t="shared" si="55"/>
        <v>143.4</v>
      </c>
      <c r="H1195" s="5" t="s">
        <v>61</v>
      </c>
      <c r="I1195" s="5" t="s">
        <v>62</v>
      </c>
      <c r="J1195" s="5">
        <v>0.05</v>
      </c>
      <c r="K1195" s="5" t="s">
        <v>78</v>
      </c>
      <c r="L1195" s="6">
        <v>136.23</v>
      </c>
      <c r="M1195" s="5" t="s">
        <v>30</v>
      </c>
      <c r="N1195" s="5"/>
      <c r="O1195" s="5">
        <v>0</v>
      </c>
      <c r="P1195" s="5" t="s">
        <v>2383</v>
      </c>
      <c r="Q1195" s="5" t="s">
        <v>2384</v>
      </c>
      <c r="R1195" s="5">
        <v>26.66</v>
      </c>
      <c r="S1195" s="4">
        <v>45205</v>
      </c>
      <c r="T1195" s="4">
        <v>45215</v>
      </c>
      <c r="U1195" s="5">
        <f t="shared" si="56"/>
        <v>10</v>
      </c>
      <c r="V1195" s="5" t="s">
        <v>72</v>
      </c>
      <c r="X1195" s="5"/>
    </row>
    <row r="1196" spans="1:24">
      <c r="A1196" s="4">
        <v>45180</v>
      </c>
      <c r="B1196" s="5" t="str">
        <f t="shared" si="54"/>
        <v>September</v>
      </c>
      <c r="C1196" s="5" t="s">
        <v>16</v>
      </c>
      <c r="D1196" s="5" t="s">
        <v>24</v>
      </c>
      <c r="E1196" s="5">
        <v>7</v>
      </c>
      <c r="F1196" s="5">
        <v>67.05</v>
      </c>
      <c r="G1196" s="6">
        <f t="shared" si="55"/>
        <v>469.35</v>
      </c>
      <c r="H1196" s="5" t="s">
        <v>81</v>
      </c>
      <c r="I1196" s="5" t="s">
        <v>54</v>
      </c>
      <c r="J1196" s="5">
        <v>0.1</v>
      </c>
      <c r="K1196" s="5" t="s">
        <v>78</v>
      </c>
      <c r="L1196" s="6">
        <v>422.415</v>
      </c>
      <c r="M1196" s="5" t="s">
        <v>34</v>
      </c>
      <c r="N1196" s="5" t="s">
        <v>56</v>
      </c>
      <c r="O1196" s="5">
        <v>0</v>
      </c>
      <c r="P1196" s="5" t="s">
        <v>2385</v>
      </c>
      <c r="Q1196" s="5" t="s">
        <v>291</v>
      </c>
      <c r="R1196" s="5">
        <v>36.67</v>
      </c>
      <c r="S1196" s="4">
        <v>45180</v>
      </c>
      <c r="T1196" s="4">
        <v>45187</v>
      </c>
      <c r="U1196" s="5">
        <f t="shared" si="56"/>
        <v>7</v>
      </c>
      <c r="V1196" s="5" t="s">
        <v>59</v>
      </c>
      <c r="X1196" s="5"/>
    </row>
    <row r="1197" spans="1:24">
      <c r="A1197" s="4">
        <v>45183</v>
      </c>
      <c r="B1197" s="5" t="str">
        <f t="shared" si="54"/>
        <v>September</v>
      </c>
      <c r="C1197" s="5" t="s">
        <v>18</v>
      </c>
      <c r="D1197" s="5" t="s">
        <v>23</v>
      </c>
      <c r="E1197" s="5">
        <v>19</v>
      </c>
      <c r="F1197" s="5">
        <v>118.15</v>
      </c>
      <c r="G1197" s="6">
        <f t="shared" si="55"/>
        <v>2244.85</v>
      </c>
      <c r="H1197" s="5" t="s">
        <v>77</v>
      </c>
      <c r="I1197" s="5" t="s">
        <v>62</v>
      </c>
      <c r="J1197" s="5">
        <v>0.15</v>
      </c>
      <c r="K1197" s="5" t="s">
        <v>73</v>
      </c>
      <c r="L1197" s="6">
        <v>1908.1225</v>
      </c>
      <c r="M1197" s="5" t="s">
        <v>34</v>
      </c>
      <c r="N1197" s="5" t="s">
        <v>64</v>
      </c>
      <c r="O1197" s="5">
        <v>0</v>
      </c>
      <c r="P1197" s="5" t="s">
        <v>2386</v>
      </c>
      <c r="Q1197" s="5" t="s">
        <v>2387</v>
      </c>
      <c r="R1197" s="5">
        <v>12.95</v>
      </c>
      <c r="S1197" s="4">
        <v>45183</v>
      </c>
      <c r="T1197" s="4">
        <v>45188</v>
      </c>
      <c r="U1197" s="5">
        <f t="shared" si="56"/>
        <v>5</v>
      </c>
      <c r="V1197" s="5" t="s">
        <v>72</v>
      </c>
      <c r="X1197" s="5"/>
    </row>
    <row r="1198" spans="1:24">
      <c r="A1198" s="4">
        <v>45236</v>
      </c>
      <c r="B1198" s="5" t="str">
        <f t="shared" si="54"/>
        <v>November</v>
      </c>
      <c r="C1198" s="5" t="s">
        <v>18</v>
      </c>
      <c r="D1198" s="5" t="s">
        <v>27</v>
      </c>
      <c r="E1198" s="5">
        <v>16</v>
      </c>
      <c r="F1198" s="5">
        <v>114.47</v>
      </c>
      <c r="G1198" s="6">
        <f t="shared" si="55"/>
        <v>1831.52</v>
      </c>
      <c r="H1198" s="5" t="s">
        <v>53</v>
      </c>
      <c r="I1198" s="5" t="s">
        <v>54</v>
      </c>
      <c r="J1198" s="5">
        <v>0.15</v>
      </c>
      <c r="K1198" s="5" t="s">
        <v>78</v>
      </c>
      <c r="L1198" s="6">
        <v>1556.792</v>
      </c>
      <c r="M1198" s="5" t="s">
        <v>30</v>
      </c>
      <c r="N1198" s="5"/>
      <c r="O1198" s="5">
        <v>0</v>
      </c>
      <c r="P1198" s="5" t="s">
        <v>2388</v>
      </c>
      <c r="Q1198" s="5" t="s">
        <v>497</v>
      </c>
      <c r="R1198" s="5">
        <v>43.85</v>
      </c>
      <c r="S1198" s="4">
        <v>45236</v>
      </c>
      <c r="T1198" s="4">
        <v>45241</v>
      </c>
      <c r="U1198" s="5">
        <f t="shared" si="56"/>
        <v>5</v>
      </c>
      <c r="V1198" s="5" t="s">
        <v>72</v>
      </c>
      <c r="X1198" s="5"/>
    </row>
    <row r="1199" spans="1:24">
      <c r="A1199" s="4">
        <v>45466</v>
      </c>
      <c r="B1199" s="5" t="str">
        <f t="shared" si="54"/>
        <v>June</v>
      </c>
      <c r="C1199" s="5" t="s">
        <v>18</v>
      </c>
      <c r="D1199" s="5" t="s">
        <v>26</v>
      </c>
      <c r="E1199" s="5">
        <v>9</v>
      </c>
      <c r="F1199" s="5">
        <v>36.21</v>
      </c>
      <c r="G1199" s="6">
        <f t="shared" si="55"/>
        <v>325.89</v>
      </c>
      <c r="H1199" s="5" t="s">
        <v>77</v>
      </c>
      <c r="I1199" s="5" t="s">
        <v>54</v>
      </c>
      <c r="J1199" s="5">
        <v>0.15</v>
      </c>
      <c r="K1199" s="5" t="s">
        <v>89</v>
      </c>
      <c r="L1199" s="6">
        <v>277.0065</v>
      </c>
      <c r="M1199" s="5" t="s">
        <v>32</v>
      </c>
      <c r="N1199" s="5" t="s">
        <v>56</v>
      </c>
      <c r="O1199" s="5">
        <v>0</v>
      </c>
      <c r="P1199" s="5" t="s">
        <v>2389</v>
      </c>
      <c r="Q1199" s="5" t="s">
        <v>2390</v>
      </c>
      <c r="R1199" s="5">
        <v>6.71</v>
      </c>
      <c r="S1199" s="4">
        <v>45466</v>
      </c>
      <c r="T1199" s="4">
        <v>45473</v>
      </c>
      <c r="U1199" s="5">
        <f t="shared" si="56"/>
        <v>7</v>
      </c>
      <c r="V1199" s="5" t="s">
        <v>72</v>
      </c>
      <c r="X1199" s="5"/>
    </row>
    <row r="1200" spans="1:24">
      <c r="A1200" s="4">
        <v>45015</v>
      </c>
      <c r="B1200" s="5" t="str">
        <f t="shared" si="54"/>
        <v>March</v>
      </c>
      <c r="C1200" s="5" t="s">
        <v>20</v>
      </c>
      <c r="D1200" s="5" t="s">
        <v>27</v>
      </c>
      <c r="E1200" s="5">
        <v>10</v>
      </c>
      <c r="F1200" s="5">
        <v>52.58</v>
      </c>
      <c r="G1200" s="6">
        <f t="shared" si="55"/>
        <v>525.8</v>
      </c>
      <c r="H1200" s="5" t="s">
        <v>53</v>
      </c>
      <c r="I1200" s="5" t="s">
        <v>54</v>
      </c>
      <c r="J1200" s="5">
        <v>0.1</v>
      </c>
      <c r="K1200" s="5" t="s">
        <v>55</v>
      </c>
      <c r="L1200" s="6">
        <v>473.22</v>
      </c>
      <c r="M1200" s="5" t="s">
        <v>34</v>
      </c>
      <c r="N1200" s="5" t="s">
        <v>69</v>
      </c>
      <c r="O1200" s="5">
        <v>0</v>
      </c>
      <c r="P1200" s="5" t="s">
        <v>2391</v>
      </c>
      <c r="Q1200" s="5" t="s">
        <v>2392</v>
      </c>
      <c r="R1200" s="5">
        <v>14.01</v>
      </c>
      <c r="S1200" s="4">
        <v>45015</v>
      </c>
      <c r="T1200" s="4">
        <v>45025</v>
      </c>
      <c r="U1200" s="5">
        <f t="shared" si="56"/>
        <v>10</v>
      </c>
      <c r="V1200" s="5" t="s">
        <v>94</v>
      </c>
      <c r="X1200" s="5"/>
    </row>
    <row r="1201" spans="1:24">
      <c r="A1201" s="4">
        <v>45570</v>
      </c>
      <c r="B1201" s="5" t="str">
        <f t="shared" si="54"/>
        <v>October</v>
      </c>
      <c r="C1201" s="5" t="s">
        <v>16</v>
      </c>
      <c r="D1201" s="5" t="s">
        <v>23</v>
      </c>
      <c r="E1201" s="5">
        <v>6</v>
      </c>
      <c r="F1201" s="5">
        <v>272.26</v>
      </c>
      <c r="G1201" s="6">
        <f t="shared" si="55"/>
        <v>1633.56</v>
      </c>
      <c r="H1201" s="5" t="s">
        <v>61</v>
      </c>
      <c r="I1201" s="5" t="s">
        <v>62</v>
      </c>
      <c r="J1201" s="5">
        <v>0.1</v>
      </c>
      <c r="K1201" s="5" t="s">
        <v>78</v>
      </c>
      <c r="L1201" s="6">
        <v>1470.204</v>
      </c>
      <c r="M1201" s="5" t="s">
        <v>33</v>
      </c>
      <c r="N1201" s="5" t="s">
        <v>64</v>
      </c>
      <c r="O1201" s="5">
        <v>0</v>
      </c>
      <c r="P1201" s="5" t="s">
        <v>2393</v>
      </c>
      <c r="Q1201" s="5" t="s">
        <v>2394</v>
      </c>
      <c r="R1201" s="5">
        <v>43.67</v>
      </c>
      <c r="S1201" s="4">
        <v>45570</v>
      </c>
      <c r="T1201" s="4">
        <v>45580</v>
      </c>
      <c r="U1201" s="5">
        <f t="shared" si="56"/>
        <v>10</v>
      </c>
      <c r="V1201" s="5" t="s">
        <v>59</v>
      </c>
      <c r="X1201" s="5"/>
    </row>
    <row r="1202" spans="1:24">
      <c r="A1202" s="4">
        <v>45004</v>
      </c>
      <c r="B1202" s="5" t="str">
        <f t="shared" si="54"/>
        <v>March</v>
      </c>
      <c r="C1202" s="5" t="s">
        <v>19</v>
      </c>
      <c r="D1202" s="5" t="s">
        <v>25</v>
      </c>
      <c r="E1202" s="5">
        <v>10</v>
      </c>
      <c r="F1202" s="5">
        <v>124.97</v>
      </c>
      <c r="G1202" s="6">
        <f t="shared" si="55"/>
        <v>1249.7</v>
      </c>
      <c r="H1202" s="5" t="s">
        <v>81</v>
      </c>
      <c r="I1202" s="5" t="s">
        <v>62</v>
      </c>
      <c r="J1202" s="5">
        <v>0.15</v>
      </c>
      <c r="K1202" s="5" t="s">
        <v>55</v>
      </c>
      <c r="L1202" s="6">
        <v>1062.245</v>
      </c>
      <c r="M1202" s="5" t="s">
        <v>31</v>
      </c>
      <c r="N1202" s="5" t="s">
        <v>69</v>
      </c>
      <c r="O1202" s="5">
        <v>1</v>
      </c>
      <c r="P1202" s="5" t="s">
        <v>2395</v>
      </c>
      <c r="Q1202" s="5" t="s">
        <v>2396</v>
      </c>
      <c r="R1202" s="5">
        <v>40.23</v>
      </c>
      <c r="S1202" s="4">
        <v>45004</v>
      </c>
      <c r="T1202" s="4">
        <v>45014</v>
      </c>
      <c r="U1202" s="5">
        <f t="shared" si="56"/>
        <v>10</v>
      </c>
      <c r="V1202" s="5" t="s">
        <v>76</v>
      </c>
      <c r="X1202" s="5"/>
    </row>
    <row r="1203" spans="1:24">
      <c r="A1203" s="4">
        <v>45733</v>
      </c>
      <c r="B1203" s="5" t="str">
        <f t="shared" si="54"/>
        <v>March</v>
      </c>
      <c r="C1203" s="5" t="s">
        <v>18</v>
      </c>
      <c r="D1203" s="5" t="s">
        <v>23</v>
      </c>
      <c r="E1203" s="5">
        <v>9</v>
      </c>
      <c r="F1203" s="5">
        <v>228.62</v>
      </c>
      <c r="G1203" s="6">
        <f t="shared" si="55"/>
        <v>2057.58</v>
      </c>
      <c r="H1203" s="5" t="s">
        <v>77</v>
      </c>
      <c r="I1203" s="5" t="s">
        <v>62</v>
      </c>
      <c r="J1203" s="5">
        <v>0.05</v>
      </c>
      <c r="K1203" s="5" t="s">
        <v>55</v>
      </c>
      <c r="L1203" s="6">
        <v>1954.701</v>
      </c>
      <c r="M1203" s="5" t="s">
        <v>31</v>
      </c>
      <c r="N1203" s="5" t="s">
        <v>64</v>
      </c>
      <c r="O1203" s="5">
        <v>0</v>
      </c>
      <c r="P1203" s="5" t="s">
        <v>2397</v>
      </c>
      <c r="Q1203" s="5" t="s">
        <v>2398</v>
      </c>
      <c r="R1203" s="5">
        <v>31.43</v>
      </c>
      <c r="S1203" s="4">
        <v>45733</v>
      </c>
      <c r="T1203" s="4">
        <v>45737</v>
      </c>
      <c r="U1203" s="5">
        <f t="shared" si="56"/>
        <v>4</v>
      </c>
      <c r="V1203" s="5" t="s">
        <v>72</v>
      </c>
      <c r="X1203" s="5"/>
    </row>
    <row r="1204" spans="1:24">
      <c r="A1204" s="4">
        <v>45644</v>
      </c>
      <c r="B1204" s="5" t="str">
        <f t="shared" si="54"/>
        <v>December</v>
      </c>
      <c r="C1204" s="5" t="s">
        <v>19</v>
      </c>
      <c r="D1204" s="5" t="s">
        <v>22</v>
      </c>
      <c r="E1204" s="5">
        <v>20</v>
      </c>
      <c r="F1204" s="5">
        <v>282.91</v>
      </c>
      <c r="G1204" s="6">
        <f t="shared" si="55"/>
        <v>5658.2</v>
      </c>
      <c r="H1204" s="5" t="s">
        <v>61</v>
      </c>
      <c r="I1204" s="5" t="s">
        <v>54</v>
      </c>
      <c r="J1204" s="5">
        <v>0.15</v>
      </c>
      <c r="K1204" s="5" t="s">
        <v>73</v>
      </c>
      <c r="L1204" s="6">
        <v>4809.47</v>
      </c>
      <c r="M1204" s="5" t="s">
        <v>33</v>
      </c>
      <c r="N1204" s="5" t="s">
        <v>56</v>
      </c>
      <c r="O1204" s="5">
        <v>0</v>
      </c>
      <c r="P1204" s="5" t="s">
        <v>2399</v>
      </c>
      <c r="Q1204" s="5" t="s">
        <v>2400</v>
      </c>
      <c r="R1204" s="5">
        <v>8.19</v>
      </c>
      <c r="S1204" s="4">
        <v>45644</v>
      </c>
      <c r="T1204" s="4">
        <v>45654</v>
      </c>
      <c r="U1204" s="5">
        <f t="shared" si="56"/>
        <v>10</v>
      </c>
      <c r="V1204" s="5" t="s">
        <v>76</v>
      </c>
      <c r="X1204" s="5"/>
    </row>
    <row r="1205" spans="1:24">
      <c r="A1205" s="4">
        <v>45663</v>
      </c>
      <c r="B1205" s="5" t="str">
        <f t="shared" si="54"/>
        <v>January</v>
      </c>
      <c r="C1205" s="5" t="s">
        <v>20</v>
      </c>
      <c r="D1205" s="5" t="s">
        <v>101</v>
      </c>
      <c r="E1205" s="5">
        <v>17</v>
      </c>
      <c r="F1205" s="5">
        <v>129.62</v>
      </c>
      <c r="G1205" s="6">
        <f t="shared" si="55"/>
        <v>2203.54</v>
      </c>
      <c r="H1205" s="5" t="s">
        <v>81</v>
      </c>
      <c r="I1205" s="5" t="s">
        <v>62</v>
      </c>
      <c r="J1205" s="5">
        <v>0.15</v>
      </c>
      <c r="K1205" s="5" t="s">
        <v>55</v>
      </c>
      <c r="L1205" s="6">
        <v>1873.009</v>
      </c>
      <c r="M1205" s="5" t="s">
        <v>30</v>
      </c>
      <c r="N1205" s="5" t="s">
        <v>56</v>
      </c>
      <c r="O1205" s="5">
        <v>0</v>
      </c>
      <c r="P1205" s="5" t="s">
        <v>2401</v>
      </c>
      <c r="Q1205" s="5" t="s">
        <v>2402</v>
      </c>
      <c r="R1205" s="5">
        <v>24.28</v>
      </c>
      <c r="S1205" s="4">
        <v>45663</v>
      </c>
      <c r="T1205" s="4">
        <v>45665</v>
      </c>
      <c r="U1205" s="5">
        <f t="shared" si="56"/>
        <v>2</v>
      </c>
      <c r="V1205" s="5" t="s">
        <v>94</v>
      </c>
      <c r="X1205" s="5"/>
    </row>
    <row r="1206" spans="1:24">
      <c r="A1206" s="4">
        <v>45671</v>
      </c>
      <c r="B1206" s="5" t="str">
        <f t="shared" si="54"/>
        <v>January</v>
      </c>
      <c r="C1206" s="5" t="s">
        <v>19</v>
      </c>
      <c r="D1206" s="5" t="s">
        <v>26</v>
      </c>
      <c r="E1206" s="5">
        <v>6</v>
      </c>
      <c r="F1206" s="5">
        <v>162.35</v>
      </c>
      <c r="G1206" s="6">
        <f t="shared" si="55"/>
        <v>974.1</v>
      </c>
      <c r="H1206" s="5" t="s">
        <v>53</v>
      </c>
      <c r="I1206" s="5" t="s">
        <v>54</v>
      </c>
      <c r="J1206" s="5">
        <v>0.05</v>
      </c>
      <c r="K1206" s="5" t="s">
        <v>55</v>
      </c>
      <c r="L1206" s="6">
        <v>925.395</v>
      </c>
      <c r="M1206" s="5" t="s">
        <v>32</v>
      </c>
      <c r="N1206" s="5" t="s">
        <v>64</v>
      </c>
      <c r="O1206" s="5">
        <v>1</v>
      </c>
      <c r="P1206" s="5" t="s">
        <v>2403</v>
      </c>
      <c r="Q1206" s="5" t="s">
        <v>2404</v>
      </c>
      <c r="R1206" s="5">
        <v>19.18</v>
      </c>
      <c r="S1206" s="4">
        <v>45671</v>
      </c>
      <c r="T1206" s="4">
        <v>45677</v>
      </c>
      <c r="U1206" s="5">
        <f t="shared" si="56"/>
        <v>6</v>
      </c>
      <c r="V1206" s="5" t="s">
        <v>76</v>
      </c>
      <c r="X1206" s="5"/>
    </row>
    <row r="1207" spans="1:24">
      <c r="A1207" s="4">
        <v>44952</v>
      </c>
      <c r="B1207" s="5" t="str">
        <f t="shared" si="54"/>
        <v>January</v>
      </c>
      <c r="C1207" s="5" t="s">
        <v>17</v>
      </c>
      <c r="D1207" s="5" t="s">
        <v>27</v>
      </c>
      <c r="E1207" s="5">
        <v>14</v>
      </c>
      <c r="F1207" s="5">
        <v>209.82</v>
      </c>
      <c r="G1207" s="6">
        <f t="shared" si="55"/>
        <v>2937.48</v>
      </c>
      <c r="H1207" s="5" t="s">
        <v>53</v>
      </c>
      <c r="I1207" s="5" t="s">
        <v>54</v>
      </c>
      <c r="J1207" s="5">
        <v>0</v>
      </c>
      <c r="K1207" s="5" t="s">
        <v>55</v>
      </c>
      <c r="L1207" s="6">
        <v>2937.48</v>
      </c>
      <c r="M1207" s="5" t="s">
        <v>34</v>
      </c>
      <c r="N1207" s="5" t="s">
        <v>64</v>
      </c>
      <c r="O1207" s="5">
        <v>0</v>
      </c>
      <c r="P1207" s="5" t="s">
        <v>2405</v>
      </c>
      <c r="Q1207" s="5" t="s">
        <v>2406</v>
      </c>
      <c r="R1207" s="5">
        <v>36.11</v>
      </c>
      <c r="S1207" s="4">
        <v>44952</v>
      </c>
      <c r="T1207" s="4">
        <v>44956</v>
      </c>
      <c r="U1207" s="5">
        <f t="shared" si="56"/>
        <v>4</v>
      </c>
      <c r="V1207" s="5" t="s">
        <v>67</v>
      </c>
      <c r="X1207" s="5"/>
    </row>
    <row r="1208" spans="1:24">
      <c r="A1208" s="4">
        <v>45508</v>
      </c>
      <c r="B1208" s="5" t="str">
        <f t="shared" si="54"/>
        <v>August</v>
      </c>
      <c r="C1208" s="5" t="s">
        <v>18</v>
      </c>
      <c r="D1208" s="5" t="s">
        <v>22</v>
      </c>
      <c r="E1208" s="5">
        <v>16</v>
      </c>
      <c r="F1208" s="5">
        <v>293.44</v>
      </c>
      <c r="G1208" s="6">
        <f t="shared" si="55"/>
        <v>4695.04</v>
      </c>
      <c r="H1208" s="5" t="s">
        <v>81</v>
      </c>
      <c r="I1208" s="5" t="s">
        <v>54</v>
      </c>
      <c r="J1208" s="5">
        <v>0.05</v>
      </c>
      <c r="K1208" s="5" t="s">
        <v>82</v>
      </c>
      <c r="L1208" s="6">
        <v>4460.288</v>
      </c>
      <c r="M1208" s="5" t="s">
        <v>31</v>
      </c>
      <c r="N1208" s="5" t="s">
        <v>64</v>
      </c>
      <c r="O1208" s="5">
        <v>0</v>
      </c>
      <c r="P1208" s="5" t="s">
        <v>2407</v>
      </c>
      <c r="Q1208" s="5" t="s">
        <v>2408</v>
      </c>
      <c r="R1208" s="5">
        <v>42.56</v>
      </c>
      <c r="S1208" s="4">
        <v>45508</v>
      </c>
      <c r="T1208" s="4">
        <v>45518</v>
      </c>
      <c r="U1208" s="5">
        <f t="shared" si="56"/>
        <v>10</v>
      </c>
      <c r="V1208" s="5" t="s">
        <v>72</v>
      </c>
      <c r="X1208" s="5"/>
    </row>
    <row r="1209" spans="1:24">
      <c r="A1209" s="4">
        <v>45335</v>
      </c>
      <c r="B1209" s="5" t="str">
        <f t="shared" si="54"/>
        <v>February</v>
      </c>
      <c r="C1209" s="5" t="s">
        <v>18</v>
      </c>
      <c r="D1209" s="5" t="s">
        <v>23</v>
      </c>
      <c r="E1209" s="5">
        <v>11</v>
      </c>
      <c r="F1209" s="5">
        <v>185.52</v>
      </c>
      <c r="G1209" s="6">
        <f t="shared" si="55"/>
        <v>2040.72</v>
      </c>
      <c r="H1209" s="5" t="s">
        <v>81</v>
      </c>
      <c r="I1209" s="5" t="s">
        <v>54</v>
      </c>
      <c r="J1209" s="5">
        <v>0.15</v>
      </c>
      <c r="K1209" s="5" t="s">
        <v>82</v>
      </c>
      <c r="L1209" s="6">
        <v>1734.612</v>
      </c>
      <c r="M1209" s="5" t="s">
        <v>32</v>
      </c>
      <c r="N1209" s="5" t="s">
        <v>69</v>
      </c>
      <c r="O1209" s="5">
        <v>0</v>
      </c>
      <c r="P1209" s="5" t="s">
        <v>2409</v>
      </c>
      <c r="Q1209" s="5" t="s">
        <v>2410</v>
      </c>
      <c r="R1209" s="5">
        <v>38.53</v>
      </c>
      <c r="S1209" s="4">
        <v>45335</v>
      </c>
      <c r="T1209" s="4">
        <v>45338</v>
      </c>
      <c r="U1209" s="5">
        <f t="shared" si="56"/>
        <v>3</v>
      </c>
      <c r="V1209" s="5" t="s">
        <v>72</v>
      </c>
      <c r="X1209" s="5"/>
    </row>
    <row r="1210" spans="1:24">
      <c r="A1210" s="4">
        <v>44968</v>
      </c>
      <c r="B1210" s="5" t="str">
        <f t="shared" si="54"/>
        <v>February</v>
      </c>
      <c r="C1210" s="5" t="s">
        <v>19</v>
      </c>
      <c r="D1210" s="5" t="s">
        <v>24</v>
      </c>
      <c r="E1210" s="5">
        <v>18</v>
      </c>
      <c r="F1210" s="5">
        <v>268.38</v>
      </c>
      <c r="G1210" s="6">
        <f t="shared" si="55"/>
        <v>4830.84</v>
      </c>
      <c r="H1210" s="5" t="s">
        <v>81</v>
      </c>
      <c r="I1210" s="5" t="s">
        <v>54</v>
      </c>
      <c r="J1210" s="5">
        <v>0.15</v>
      </c>
      <c r="K1210" s="5" t="s">
        <v>63</v>
      </c>
      <c r="L1210" s="6">
        <v>4106.214</v>
      </c>
      <c r="M1210" s="5" t="s">
        <v>34</v>
      </c>
      <c r="N1210" s="5" t="s">
        <v>56</v>
      </c>
      <c r="O1210" s="5">
        <v>0</v>
      </c>
      <c r="P1210" s="5" t="s">
        <v>2411</v>
      </c>
      <c r="Q1210" s="5" t="s">
        <v>2412</v>
      </c>
      <c r="R1210" s="5">
        <v>48.38</v>
      </c>
      <c r="S1210" s="4">
        <v>44968</v>
      </c>
      <c r="T1210" s="4">
        <v>44971</v>
      </c>
      <c r="U1210" s="5">
        <f t="shared" si="56"/>
        <v>3</v>
      </c>
      <c r="V1210" s="5" t="s">
        <v>76</v>
      </c>
      <c r="X1210" s="5"/>
    </row>
    <row r="1211" spans="1:24">
      <c r="A1211" s="4">
        <v>45460</v>
      </c>
      <c r="B1211" s="5" t="str">
        <f t="shared" si="54"/>
        <v>June</v>
      </c>
      <c r="C1211" s="5" t="s">
        <v>16</v>
      </c>
      <c r="D1211" s="5" t="s">
        <v>27</v>
      </c>
      <c r="E1211" s="5">
        <v>18</v>
      </c>
      <c r="F1211" s="5">
        <v>547.05</v>
      </c>
      <c r="G1211" s="6">
        <f t="shared" si="55"/>
        <v>9846.9</v>
      </c>
      <c r="H1211" s="5" t="s">
        <v>77</v>
      </c>
      <c r="I1211" s="5" t="s">
        <v>54</v>
      </c>
      <c r="J1211" s="5">
        <v>0.1</v>
      </c>
      <c r="K1211" s="5" t="s">
        <v>78</v>
      </c>
      <c r="L1211" s="6">
        <v>8862.21</v>
      </c>
      <c r="M1211" s="5" t="s">
        <v>34</v>
      </c>
      <c r="N1211" s="5" t="s">
        <v>56</v>
      </c>
      <c r="O1211" s="5">
        <v>0</v>
      </c>
      <c r="P1211" s="5" t="s">
        <v>2413</v>
      </c>
      <c r="Q1211" s="5" t="s">
        <v>2414</v>
      </c>
      <c r="R1211" s="5">
        <v>10.99</v>
      </c>
      <c r="S1211" s="4">
        <v>45460</v>
      </c>
      <c r="T1211" s="4">
        <v>45465</v>
      </c>
      <c r="U1211" s="5">
        <f t="shared" si="56"/>
        <v>5</v>
      </c>
      <c r="V1211" s="5" t="s">
        <v>59</v>
      </c>
      <c r="X1211" s="5"/>
    </row>
    <row r="1212" spans="1:24">
      <c r="A1212" s="4">
        <v>45449</v>
      </c>
      <c r="B1212" s="5" t="str">
        <f t="shared" si="54"/>
        <v>June</v>
      </c>
      <c r="C1212" s="5" t="s">
        <v>17</v>
      </c>
      <c r="D1212" s="5" t="s">
        <v>22</v>
      </c>
      <c r="E1212" s="5">
        <v>1</v>
      </c>
      <c r="F1212" s="5">
        <v>354.21</v>
      </c>
      <c r="G1212" s="6">
        <f t="shared" si="55"/>
        <v>354.21</v>
      </c>
      <c r="H1212" s="5" t="s">
        <v>61</v>
      </c>
      <c r="I1212" s="5" t="s">
        <v>54</v>
      </c>
      <c r="J1212" s="5">
        <v>0.15</v>
      </c>
      <c r="K1212" s="5" t="s">
        <v>78</v>
      </c>
      <c r="L1212" s="6">
        <v>301.0785</v>
      </c>
      <c r="M1212" s="5" t="s">
        <v>30</v>
      </c>
      <c r="N1212" s="5"/>
      <c r="O1212" s="5">
        <v>0</v>
      </c>
      <c r="P1212" s="5" t="s">
        <v>2415</v>
      </c>
      <c r="Q1212" s="5" t="s">
        <v>2416</v>
      </c>
      <c r="R1212" s="5">
        <v>26.16</v>
      </c>
      <c r="S1212" s="4">
        <v>45449</v>
      </c>
      <c r="T1212" s="4">
        <v>45455</v>
      </c>
      <c r="U1212" s="5">
        <f t="shared" si="56"/>
        <v>6</v>
      </c>
      <c r="V1212" s="5" t="s">
        <v>67</v>
      </c>
      <c r="X1212" s="5"/>
    </row>
    <row r="1213" spans="1:24">
      <c r="A1213" s="4">
        <v>45256</v>
      </c>
      <c r="B1213" s="5" t="str">
        <f t="shared" si="54"/>
        <v>November</v>
      </c>
      <c r="C1213" s="5" t="s">
        <v>17</v>
      </c>
      <c r="D1213" s="5" t="s">
        <v>25</v>
      </c>
      <c r="E1213" s="5">
        <v>18</v>
      </c>
      <c r="F1213" s="5">
        <v>250.93</v>
      </c>
      <c r="G1213" s="6">
        <f t="shared" si="55"/>
        <v>4516.74</v>
      </c>
      <c r="H1213" s="5" t="s">
        <v>77</v>
      </c>
      <c r="I1213" s="5" t="s">
        <v>54</v>
      </c>
      <c r="J1213" s="5">
        <v>0.05</v>
      </c>
      <c r="K1213" s="5" t="s">
        <v>89</v>
      </c>
      <c r="L1213" s="6">
        <v>4290.903</v>
      </c>
      <c r="M1213" s="5" t="s">
        <v>31</v>
      </c>
      <c r="N1213" s="5"/>
      <c r="O1213" s="5">
        <v>0</v>
      </c>
      <c r="P1213" s="5" t="s">
        <v>2417</v>
      </c>
      <c r="Q1213" s="5" t="s">
        <v>2418</v>
      </c>
      <c r="R1213" s="5">
        <v>47.67</v>
      </c>
      <c r="S1213" s="4">
        <v>45256</v>
      </c>
      <c r="T1213" s="4">
        <v>45262</v>
      </c>
      <c r="U1213" s="5">
        <f t="shared" si="56"/>
        <v>6</v>
      </c>
      <c r="V1213" s="5" t="s">
        <v>67</v>
      </c>
      <c r="X1213" s="5"/>
    </row>
    <row r="1214" spans="1:24">
      <c r="A1214" s="4">
        <v>45389</v>
      </c>
      <c r="B1214" s="5" t="str">
        <f t="shared" si="54"/>
        <v>April</v>
      </c>
      <c r="C1214" s="5" t="s">
        <v>20</v>
      </c>
      <c r="D1214" s="5" t="s">
        <v>27</v>
      </c>
      <c r="E1214" s="5">
        <v>18</v>
      </c>
      <c r="F1214" s="5">
        <v>587.25</v>
      </c>
      <c r="G1214" s="6">
        <f t="shared" si="55"/>
        <v>10570.5</v>
      </c>
      <c r="H1214" s="5" t="s">
        <v>77</v>
      </c>
      <c r="I1214" s="5" t="s">
        <v>54</v>
      </c>
      <c r="J1214" s="5">
        <v>0.15</v>
      </c>
      <c r="K1214" s="5" t="s">
        <v>78</v>
      </c>
      <c r="L1214" s="6">
        <v>8984.925</v>
      </c>
      <c r="M1214" s="5" t="s">
        <v>30</v>
      </c>
      <c r="N1214" s="5"/>
      <c r="O1214" s="5">
        <v>0</v>
      </c>
      <c r="P1214" s="5" t="s">
        <v>2419</v>
      </c>
      <c r="Q1214" s="5" t="s">
        <v>2420</v>
      </c>
      <c r="R1214" s="5">
        <v>42.15</v>
      </c>
      <c r="S1214" s="4">
        <v>45389</v>
      </c>
      <c r="T1214" s="4">
        <v>45391</v>
      </c>
      <c r="U1214" s="5">
        <f t="shared" si="56"/>
        <v>2</v>
      </c>
      <c r="V1214" s="5" t="s">
        <v>94</v>
      </c>
      <c r="X1214" s="5"/>
    </row>
    <row r="1215" spans="1:24">
      <c r="A1215" s="4">
        <v>44960</v>
      </c>
      <c r="B1215" s="5" t="str">
        <f t="shared" si="54"/>
        <v>February</v>
      </c>
      <c r="C1215" s="5" t="s">
        <v>20</v>
      </c>
      <c r="D1215" s="5" t="s">
        <v>24</v>
      </c>
      <c r="E1215" s="5">
        <v>2</v>
      </c>
      <c r="F1215" s="5">
        <v>438.06</v>
      </c>
      <c r="G1215" s="6">
        <f t="shared" si="55"/>
        <v>876.12</v>
      </c>
      <c r="H1215" s="5" t="s">
        <v>53</v>
      </c>
      <c r="I1215" s="5" t="s">
        <v>62</v>
      </c>
      <c r="J1215" s="5">
        <v>0</v>
      </c>
      <c r="K1215" s="5" t="s">
        <v>73</v>
      </c>
      <c r="L1215" s="6">
        <v>876.12</v>
      </c>
      <c r="M1215" s="5" t="s">
        <v>30</v>
      </c>
      <c r="N1215" s="5" t="s">
        <v>56</v>
      </c>
      <c r="O1215" s="5">
        <v>1</v>
      </c>
      <c r="P1215" s="5" t="s">
        <v>2421</v>
      </c>
      <c r="Q1215" s="5" t="s">
        <v>2422</v>
      </c>
      <c r="R1215" s="5">
        <v>12.9</v>
      </c>
      <c r="S1215" s="4">
        <v>44960</v>
      </c>
      <c r="T1215" s="4">
        <v>44966</v>
      </c>
      <c r="U1215" s="5">
        <f t="shared" si="56"/>
        <v>6</v>
      </c>
      <c r="V1215" s="5" t="s">
        <v>94</v>
      </c>
      <c r="X1215" s="5"/>
    </row>
    <row r="1216" spans="1:24">
      <c r="A1216" s="4">
        <v>45621</v>
      </c>
      <c r="B1216" s="5" t="str">
        <f t="shared" si="54"/>
        <v>November</v>
      </c>
      <c r="C1216" s="5" t="s">
        <v>16</v>
      </c>
      <c r="D1216" s="5" t="s">
        <v>25</v>
      </c>
      <c r="E1216" s="5">
        <v>14</v>
      </c>
      <c r="F1216" s="5">
        <v>6.1</v>
      </c>
      <c r="G1216" s="6">
        <f t="shared" si="55"/>
        <v>85.4</v>
      </c>
      <c r="H1216" s="5" t="s">
        <v>77</v>
      </c>
      <c r="I1216" s="5" t="s">
        <v>54</v>
      </c>
      <c r="J1216" s="5">
        <v>0.15</v>
      </c>
      <c r="K1216" s="5" t="s">
        <v>78</v>
      </c>
      <c r="L1216" s="6">
        <v>72.59</v>
      </c>
      <c r="M1216" s="5" t="s">
        <v>30</v>
      </c>
      <c r="N1216" s="5" t="s">
        <v>56</v>
      </c>
      <c r="O1216" s="5">
        <v>1</v>
      </c>
      <c r="P1216" s="5" t="s">
        <v>2423</v>
      </c>
      <c r="Q1216" s="5" t="s">
        <v>2424</v>
      </c>
      <c r="R1216" s="5">
        <v>10.18</v>
      </c>
      <c r="S1216" s="4">
        <v>45621</v>
      </c>
      <c r="T1216" s="4">
        <v>45626</v>
      </c>
      <c r="U1216" s="5">
        <f t="shared" si="56"/>
        <v>5</v>
      </c>
      <c r="V1216" s="5" t="s">
        <v>59</v>
      </c>
      <c r="X1216" s="5"/>
    </row>
    <row r="1217" spans="1:24">
      <c r="A1217" s="4">
        <v>45473</v>
      </c>
      <c r="B1217" s="5" t="str">
        <f t="shared" si="54"/>
        <v>June</v>
      </c>
      <c r="C1217" s="5" t="s">
        <v>18</v>
      </c>
      <c r="D1217" s="5" t="s">
        <v>22</v>
      </c>
      <c r="E1217" s="5">
        <v>2</v>
      </c>
      <c r="F1217" s="5">
        <v>80.14</v>
      </c>
      <c r="G1217" s="6">
        <f t="shared" si="55"/>
        <v>160.28</v>
      </c>
      <c r="H1217" s="5" t="s">
        <v>81</v>
      </c>
      <c r="I1217" s="5" t="s">
        <v>54</v>
      </c>
      <c r="J1217" s="5">
        <v>0</v>
      </c>
      <c r="K1217" s="5" t="s">
        <v>78</v>
      </c>
      <c r="L1217" s="6">
        <v>160.28</v>
      </c>
      <c r="M1217" s="5" t="s">
        <v>30</v>
      </c>
      <c r="N1217" s="5" t="s">
        <v>56</v>
      </c>
      <c r="O1217" s="5">
        <v>1</v>
      </c>
      <c r="P1217" s="5" t="s">
        <v>2425</v>
      </c>
      <c r="Q1217" s="5" t="s">
        <v>2426</v>
      </c>
      <c r="R1217" s="5">
        <v>13.41</v>
      </c>
      <c r="S1217" s="4">
        <v>45473</v>
      </c>
      <c r="T1217" s="4">
        <v>45476</v>
      </c>
      <c r="U1217" s="5">
        <f t="shared" si="56"/>
        <v>3</v>
      </c>
      <c r="V1217" s="5" t="s">
        <v>72</v>
      </c>
      <c r="X1217" s="5"/>
    </row>
    <row r="1218" spans="1:24">
      <c r="A1218" s="4">
        <v>45140</v>
      </c>
      <c r="B1218" s="5" t="str">
        <f t="shared" si="54"/>
        <v>August</v>
      </c>
      <c r="C1218" s="5" t="s">
        <v>17</v>
      </c>
      <c r="D1218" s="5" t="s">
        <v>22</v>
      </c>
      <c r="E1218" s="5">
        <v>11</v>
      </c>
      <c r="F1218" s="5">
        <v>66.97</v>
      </c>
      <c r="G1218" s="6">
        <f t="shared" si="55"/>
        <v>736.67</v>
      </c>
      <c r="H1218" s="5" t="s">
        <v>61</v>
      </c>
      <c r="I1218" s="5" t="s">
        <v>62</v>
      </c>
      <c r="J1218" s="5">
        <v>0.15</v>
      </c>
      <c r="K1218" s="5" t="s">
        <v>89</v>
      </c>
      <c r="L1218" s="6">
        <v>626.1695</v>
      </c>
      <c r="M1218" s="5" t="s">
        <v>31</v>
      </c>
      <c r="N1218" s="5" t="s">
        <v>56</v>
      </c>
      <c r="O1218" s="5">
        <v>1</v>
      </c>
      <c r="P1218" s="5" t="s">
        <v>2427</v>
      </c>
      <c r="Q1218" s="5" t="s">
        <v>2428</v>
      </c>
      <c r="R1218" s="5">
        <v>20.35</v>
      </c>
      <c r="S1218" s="4">
        <v>45140</v>
      </c>
      <c r="T1218" s="4">
        <v>45149</v>
      </c>
      <c r="U1218" s="5">
        <f t="shared" si="56"/>
        <v>9</v>
      </c>
      <c r="V1218" s="5" t="s">
        <v>67</v>
      </c>
      <c r="X1218" s="5"/>
    </row>
    <row r="1219" spans="1:24">
      <c r="A1219" s="4">
        <v>45344</v>
      </c>
      <c r="B1219" s="5" t="str">
        <f t="shared" ref="B1219:B1282" si="57">TEXT(A1219,"mmmm")</f>
        <v>February</v>
      </c>
      <c r="C1219" s="5" t="s">
        <v>17</v>
      </c>
      <c r="D1219" s="5" t="s">
        <v>25</v>
      </c>
      <c r="E1219" s="5">
        <v>6</v>
      </c>
      <c r="F1219" s="5">
        <v>181.34</v>
      </c>
      <c r="G1219" s="6">
        <f t="shared" ref="G1219:G1282" si="58">F1219*E1219</f>
        <v>1088.04</v>
      </c>
      <c r="H1219" s="5" t="s">
        <v>61</v>
      </c>
      <c r="I1219" s="5" t="s">
        <v>54</v>
      </c>
      <c r="J1219" s="5">
        <v>0</v>
      </c>
      <c r="K1219" s="5" t="s">
        <v>63</v>
      </c>
      <c r="L1219" s="6">
        <v>1088.04</v>
      </c>
      <c r="M1219" s="5" t="s">
        <v>34</v>
      </c>
      <c r="N1219" s="5" t="s">
        <v>56</v>
      </c>
      <c r="O1219" s="5">
        <v>0</v>
      </c>
      <c r="P1219" s="5" t="s">
        <v>2429</v>
      </c>
      <c r="Q1219" s="5" t="s">
        <v>2430</v>
      </c>
      <c r="R1219" s="5">
        <v>27.65</v>
      </c>
      <c r="S1219" s="4">
        <v>45344</v>
      </c>
      <c r="T1219" s="4">
        <v>45349</v>
      </c>
      <c r="U1219" s="5">
        <f t="shared" ref="U1219:U1282" si="59">T1219-S1219</f>
        <v>5</v>
      </c>
      <c r="V1219" s="5" t="s">
        <v>67</v>
      </c>
      <c r="X1219" s="5"/>
    </row>
    <row r="1220" spans="1:24">
      <c r="A1220" s="4">
        <v>45625</v>
      </c>
      <c r="B1220" s="5" t="str">
        <f t="shared" si="57"/>
        <v>November</v>
      </c>
      <c r="C1220" s="5" t="s">
        <v>18</v>
      </c>
      <c r="D1220" s="5" t="s">
        <v>26</v>
      </c>
      <c r="E1220" s="5">
        <v>15</v>
      </c>
      <c r="F1220" s="5">
        <v>570</v>
      </c>
      <c r="G1220" s="6">
        <f t="shared" si="58"/>
        <v>8550</v>
      </c>
      <c r="H1220" s="5" t="s">
        <v>81</v>
      </c>
      <c r="I1220" s="5" t="s">
        <v>54</v>
      </c>
      <c r="J1220" s="5">
        <v>0.05</v>
      </c>
      <c r="K1220" s="5" t="s">
        <v>73</v>
      </c>
      <c r="L1220" s="6">
        <v>8122.5</v>
      </c>
      <c r="M1220" s="5" t="s">
        <v>31</v>
      </c>
      <c r="N1220" s="5"/>
      <c r="O1220" s="5">
        <v>0</v>
      </c>
      <c r="P1220" s="5" t="s">
        <v>2431</v>
      </c>
      <c r="Q1220" s="5" t="s">
        <v>2432</v>
      </c>
      <c r="R1220" s="5">
        <v>7.62</v>
      </c>
      <c r="S1220" s="4">
        <v>45625</v>
      </c>
      <c r="T1220" s="4">
        <v>45635</v>
      </c>
      <c r="U1220" s="5">
        <f t="shared" si="59"/>
        <v>10</v>
      </c>
      <c r="V1220" s="5" t="s">
        <v>72</v>
      </c>
      <c r="X1220" s="5"/>
    </row>
    <row r="1221" spans="1:24">
      <c r="A1221" s="4">
        <v>45128</v>
      </c>
      <c r="B1221" s="5" t="str">
        <f t="shared" si="57"/>
        <v>July</v>
      </c>
      <c r="C1221" s="5" t="s">
        <v>18</v>
      </c>
      <c r="D1221" s="5" t="s">
        <v>26</v>
      </c>
      <c r="E1221" s="5">
        <v>9</v>
      </c>
      <c r="F1221" s="5">
        <v>587.79</v>
      </c>
      <c r="G1221" s="6">
        <f t="shared" si="58"/>
        <v>5290.11</v>
      </c>
      <c r="H1221" s="5" t="s">
        <v>81</v>
      </c>
      <c r="I1221" s="5" t="s">
        <v>54</v>
      </c>
      <c r="J1221" s="5">
        <v>0.15</v>
      </c>
      <c r="K1221" s="5" t="s">
        <v>89</v>
      </c>
      <c r="L1221" s="6">
        <v>4496.5935</v>
      </c>
      <c r="M1221" s="5" t="s">
        <v>30</v>
      </c>
      <c r="N1221" s="5"/>
      <c r="O1221" s="5">
        <v>0</v>
      </c>
      <c r="P1221" s="5" t="s">
        <v>2433</v>
      </c>
      <c r="Q1221" s="5" t="s">
        <v>2434</v>
      </c>
      <c r="R1221" s="5">
        <v>24.64</v>
      </c>
      <c r="S1221" s="4">
        <v>45128</v>
      </c>
      <c r="T1221" s="4">
        <v>45138</v>
      </c>
      <c r="U1221" s="5">
        <f t="shared" si="59"/>
        <v>10</v>
      </c>
      <c r="V1221" s="5" t="s">
        <v>72</v>
      </c>
      <c r="X1221" s="5"/>
    </row>
    <row r="1222" spans="1:24">
      <c r="A1222" s="4">
        <v>45030</v>
      </c>
      <c r="B1222" s="5" t="str">
        <f t="shared" si="57"/>
        <v>April</v>
      </c>
      <c r="C1222" s="5" t="s">
        <v>19</v>
      </c>
      <c r="D1222" s="5" t="s">
        <v>23</v>
      </c>
      <c r="E1222" s="5">
        <v>6</v>
      </c>
      <c r="F1222" s="5">
        <v>196.31</v>
      </c>
      <c r="G1222" s="6">
        <f t="shared" si="58"/>
        <v>1177.86</v>
      </c>
      <c r="H1222" s="5" t="s">
        <v>77</v>
      </c>
      <c r="I1222" s="5" t="s">
        <v>62</v>
      </c>
      <c r="J1222" s="5">
        <v>0.1</v>
      </c>
      <c r="K1222" s="5" t="s">
        <v>78</v>
      </c>
      <c r="L1222" s="6">
        <v>1060.074</v>
      </c>
      <c r="M1222" s="5" t="s">
        <v>30</v>
      </c>
      <c r="N1222" s="5" t="s">
        <v>69</v>
      </c>
      <c r="O1222" s="5">
        <v>0</v>
      </c>
      <c r="P1222" s="5" t="s">
        <v>2435</v>
      </c>
      <c r="Q1222" s="5" t="s">
        <v>2436</v>
      </c>
      <c r="R1222" s="5">
        <v>38.65</v>
      </c>
      <c r="S1222" s="4">
        <v>45030</v>
      </c>
      <c r="T1222" s="4">
        <v>45033</v>
      </c>
      <c r="U1222" s="5">
        <f t="shared" si="59"/>
        <v>3</v>
      </c>
      <c r="V1222" s="5" t="s">
        <v>76</v>
      </c>
      <c r="X1222" s="5"/>
    </row>
    <row r="1223" spans="1:24">
      <c r="A1223" s="4">
        <v>44958</v>
      </c>
      <c r="B1223" s="5" t="str">
        <f t="shared" si="57"/>
        <v>February</v>
      </c>
      <c r="C1223" s="5" t="s">
        <v>18</v>
      </c>
      <c r="D1223" s="5" t="s">
        <v>23</v>
      </c>
      <c r="E1223" s="5">
        <v>8</v>
      </c>
      <c r="F1223" s="5">
        <v>430.06</v>
      </c>
      <c r="G1223" s="6">
        <f t="shared" si="58"/>
        <v>3440.48</v>
      </c>
      <c r="H1223" s="5" t="s">
        <v>53</v>
      </c>
      <c r="I1223" s="5" t="s">
        <v>54</v>
      </c>
      <c r="J1223" s="5">
        <v>0.05</v>
      </c>
      <c r="K1223" s="5" t="s">
        <v>89</v>
      </c>
      <c r="L1223" s="6">
        <v>3268.456</v>
      </c>
      <c r="M1223" s="5" t="s">
        <v>33</v>
      </c>
      <c r="N1223" s="5" t="s">
        <v>64</v>
      </c>
      <c r="O1223" s="5">
        <v>0</v>
      </c>
      <c r="P1223" s="5" t="s">
        <v>2437</v>
      </c>
      <c r="Q1223" s="5" t="s">
        <v>2438</v>
      </c>
      <c r="R1223" s="5">
        <v>38.45</v>
      </c>
      <c r="S1223" s="4">
        <v>44958</v>
      </c>
      <c r="T1223" s="4">
        <v>44962</v>
      </c>
      <c r="U1223" s="5">
        <f t="shared" si="59"/>
        <v>4</v>
      </c>
      <c r="V1223" s="5" t="s">
        <v>72</v>
      </c>
      <c r="X1223" s="5"/>
    </row>
    <row r="1224" spans="1:24">
      <c r="A1224" s="4">
        <v>45473</v>
      </c>
      <c r="B1224" s="5" t="str">
        <f t="shared" si="57"/>
        <v>June</v>
      </c>
      <c r="C1224" s="5" t="s">
        <v>16</v>
      </c>
      <c r="D1224" s="5" t="s">
        <v>26</v>
      </c>
      <c r="E1224" s="5">
        <v>14</v>
      </c>
      <c r="F1224" s="5">
        <v>429.72</v>
      </c>
      <c r="G1224" s="6">
        <f t="shared" si="58"/>
        <v>6016.08</v>
      </c>
      <c r="H1224" s="5" t="s">
        <v>61</v>
      </c>
      <c r="I1224" s="5" t="s">
        <v>62</v>
      </c>
      <c r="J1224" s="5">
        <v>0.1</v>
      </c>
      <c r="K1224" s="5" t="s">
        <v>55</v>
      </c>
      <c r="L1224" s="6">
        <v>5414.472</v>
      </c>
      <c r="M1224" s="5" t="s">
        <v>34</v>
      </c>
      <c r="N1224" s="5" t="s">
        <v>64</v>
      </c>
      <c r="O1224" s="5">
        <v>0</v>
      </c>
      <c r="P1224" s="5" t="s">
        <v>2439</v>
      </c>
      <c r="Q1224" s="5" t="s">
        <v>2440</v>
      </c>
      <c r="R1224" s="5">
        <v>45.78</v>
      </c>
      <c r="S1224" s="4">
        <v>45473</v>
      </c>
      <c r="T1224" s="4">
        <v>45478</v>
      </c>
      <c r="U1224" s="5">
        <f t="shared" si="59"/>
        <v>5</v>
      </c>
      <c r="V1224" s="5" t="s">
        <v>59</v>
      </c>
      <c r="X1224" s="5"/>
    </row>
    <row r="1225" spans="1:24">
      <c r="A1225" s="4">
        <v>45217</v>
      </c>
      <c r="B1225" s="5" t="str">
        <f t="shared" si="57"/>
        <v>October</v>
      </c>
      <c r="C1225" s="5" t="s">
        <v>19</v>
      </c>
      <c r="D1225" s="5" t="s">
        <v>23</v>
      </c>
      <c r="E1225" s="5">
        <v>13</v>
      </c>
      <c r="F1225" s="5">
        <v>127.34</v>
      </c>
      <c r="G1225" s="6">
        <f t="shared" si="58"/>
        <v>1655.42</v>
      </c>
      <c r="H1225" s="5" t="s">
        <v>81</v>
      </c>
      <c r="I1225" s="5" t="s">
        <v>54</v>
      </c>
      <c r="J1225" s="5">
        <v>0</v>
      </c>
      <c r="K1225" s="5" t="s">
        <v>63</v>
      </c>
      <c r="L1225" s="6">
        <v>1655.42</v>
      </c>
      <c r="M1225" s="5" t="s">
        <v>32</v>
      </c>
      <c r="N1225" s="5" t="s">
        <v>69</v>
      </c>
      <c r="O1225" s="5">
        <v>0</v>
      </c>
      <c r="P1225" s="5" t="s">
        <v>2441</v>
      </c>
      <c r="Q1225" s="5" t="s">
        <v>2442</v>
      </c>
      <c r="R1225" s="5">
        <v>6.15</v>
      </c>
      <c r="S1225" s="4">
        <v>45217</v>
      </c>
      <c r="T1225" s="4">
        <v>45220</v>
      </c>
      <c r="U1225" s="5">
        <f t="shared" si="59"/>
        <v>3</v>
      </c>
      <c r="V1225" s="5" t="s">
        <v>76</v>
      </c>
      <c r="X1225" s="5"/>
    </row>
    <row r="1226" spans="1:24">
      <c r="A1226" s="4">
        <v>45477</v>
      </c>
      <c r="B1226" s="5" t="str">
        <f t="shared" si="57"/>
        <v>July</v>
      </c>
      <c r="C1226" s="5" t="s">
        <v>16</v>
      </c>
      <c r="D1226" s="5" t="s">
        <v>26</v>
      </c>
      <c r="E1226" s="5">
        <v>6</v>
      </c>
      <c r="F1226" s="5">
        <v>421.97</v>
      </c>
      <c r="G1226" s="6">
        <f t="shared" si="58"/>
        <v>2531.82</v>
      </c>
      <c r="H1226" s="5" t="s">
        <v>53</v>
      </c>
      <c r="I1226" s="5" t="s">
        <v>54</v>
      </c>
      <c r="J1226" s="5">
        <v>0.05</v>
      </c>
      <c r="K1226" s="5" t="s">
        <v>89</v>
      </c>
      <c r="L1226" s="6">
        <v>2405.229</v>
      </c>
      <c r="M1226" s="5" t="s">
        <v>34</v>
      </c>
      <c r="N1226" s="5" t="s">
        <v>69</v>
      </c>
      <c r="O1226" s="5">
        <v>0</v>
      </c>
      <c r="P1226" s="5" t="s">
        <v>2443</v>
      </c>
      <c r="Q1226" s="5" t="s">
        <v>2444</v>
      </c>
      <c r="R1226" s="5">
        <v>41.31</v>
      </c>
      <c r="S1226" s="4">
        <v>45477</v>
      </c>
      <c r="T1226" s="4">
        <v>45486</v>
      </c>
      <c r="U1226" s="5">
        <f t="shared" si="59"/>
        <v>9</v>
      </c>
      <c r="V1226" s="5" t="s">
        <v>59</v>
      </c>
      <c r="X1226" s="5"/>
    </row>
    <row r="1227" spans="1:24">
      <c r="A1227" s="4">
        <v>45477</v>
      </c>
      <c r="B1227" s="5" t="str">
        <f t="shared" si="57"/>
        <v>July</v>
      </c>
      <c r="C1227" s="5" t="s">
        <v>16</v>
      </c>
      <c r="D1227" s="5" t="s">
        <v>101</v>
      </c>
      <c r="E1227" s="5">
        <v>5</v>
      </c>
      <c r="F1227" s="5">
        <v>225.69</v>
      </c>
      <c r="G1227" s="6">
        <f t="shared" si="58"/>
        <v>1128.45</v>
      </c>
      <c r="H1227" s="5" t="s">
        <v>61</v>
      </c>
      <c r="I1227" s="5" t="s">
        <v>54</v>
      </c>
      <c r="J1227" s="5">
        <v>0.15</v>
      </c>
      <c r="K1227" s="5" t="s">
        <v>78</v>
      </c>
      <c r="L1227" s="6">
        <v>959.1825</v>
      </c>
      <c r="M1227" s="5" t="s">
        <v>31</v>
      </c>
      <c r="N1227" s="5" t="s">
        <v>69</v>
      </c>
      <c r="O1227" s="5">
        <v>0</v>
      </c>
      <c r="P1227" s="5" t="s">
        <v>2445</v>
      </c>
      <c r="Q1227" s="5" t="s">
        <v>2446</v>
      </c>
      <c r="R1227" s="5">
        <v>47.6</v>
      </c>
      <c r="S1227" s="4">
        <v>45477</v>
      </c>
      <c r="T1227" s="4">
        <v>45485</v>
      </c>
      <c r="U1227" s="5">
        <f t="shared" si="59"/>
        <v>8</v>
      </c>
      <c r="V1227" s="5" t="s">
        <v>59</v>
      </c>
      <c r="X1227" s="5"/>
    </row>
    <row r="1228" spans="1:24">
      <c r="A1228" s="4">
        <v>45134</v>
      </c>
      <c r="B1228" s="5" t="str">
        <f t="shared" si="57"/>
        <v>July</v>
      </c>
      <c r="C1228" s="5" t="s">
        <v>18</v>
      </c>
      <c r="D1228" s="5" t="s">
        <v>26</v>
      </c>
      <c r="E1228" s="5">
        <v>10</v>
      </c>
      <c r="F1228" s="5">
        <v>322.11</v>
      </c>
      <c r="G1228" s="6">
        <f t="shared" si="58"/>
        <v>3221.1</v>
      </c>
      <c r="H1228" s="5" t="s">
        <v>61</v>
      </c>
      <c r="I1228" s="5" t="s">
        <v>62</v>
      </c>
      <c r="J1228" s="5">
        <v>0.15</v>
      </c>
      <c r="K1228" s="5" t="s">
        <v>82</v>
      </c>
      <c r="L1228" s="6">
        <v>2737.935</v>
      </c>
      <c r="M1228" s="5" t="s">
        <v>33</v>
      </c>
      <c r="N1228" s="5" t="s">
        <v>69</v>
      </c>
      <c r="O1228" s="5">
        <v>0</v>
      </c>
      <c r="P1228" s="5" t="s">
        <v>2447</v>
      </c>
      <c r="Q1228" s="5" t="s">
        <v>2448</v>
      </c>
      <c r="R1228" s="5">
        <v>28.72</v>
      </c>
      <c r="S1228" s="4">
        <v>45134</v>
      </c>
      <c r="T1228" s="4">
        <v>45140</v>
      </c>
      <c r="U1228" s="5">
        <f t="shared" si="59"/>
        <v>6</v>
      </c>
      <c r="V1228" s="5" t="s">
        <v>72</v>
      </c>
      <c r="X1228" s="5"/>
    </row>
    <row r="1229" spans="1:24">
      <c r="A1229" s="4">
        <v>45717</v>
      </c>
      <c r="B1229" s="5" t="str">
        <f t="shared" si="57"/>
        <v>March</v>
      </c>
      <c r="C1229" s="5" t="s">
        <v>20</v>
      </c>
      <c r="D1229" s="5" t="s">
        <v>24</v>
      </c>
      <c r="E1229" s="5">
        <v>4</v>
      </c>
      <c r="F1229" s="5">
        <v>209.3</v>
      </c>
      <c r="G1229" s="6">
        <f t="shared" si="58"/>
        <v>837.2</v>
      </c>
      <c r="H1229" s="5" t="s">
        <v>53</v>
      </c>
      <c r="I1229" s="5" t="s">
        <v>62</v>
      </c>
      <c r="J1229" s="5">
        <v>0.05</v>
      </c>
      <c r="K1229" s="5" t="s">
        <v>63</v>
      </c>
      <c r="L1229" s="6">
        <v>795.34</v>
      </c>
      <c r="M1229" s="5" t="s">
        <v>31</v>
      </c>
      <c r="N1229" s="5"/>
      <c r="O1229" s="5">
        <v>0</v>
      </c>
      <c r="P1229" s="5" t="s">
        <v>2449</v>
      </c>
      <c r="Q1229" s="5" t="s">
        <v>2450</v>
      </c>
      <c r="R1229" s="5">
        <v>6.89</v>
      </c>
      <c r="S1229" s="4">
        <v>45717</v>
      </c>
      <c r="T1229" s="4">
        <v>45722</v>
      </c>
      <c r="U1229" s="5">
        <f t="shared" si="59"/>
        <v>5</v>
      </c>
      <c r="V1229" s="5" t="s">
        <v>94</v>
      </c>
      <c r="X1229" s="5"/>
    </row>
    <row r="1230" spans="1:24">
      <c r="A1230" s="4">
        <v>44980</v>
      </c>
      <c r="B1230" s="5" t="str">
        <f t="shared" si="57"/>
        <v>February</v>
      </c>
      <c r="C1230" s="5" t="s">
        <v>19</v>
      </c>
      <c r="D1230" s="5" t="s">
        <v>24</v>
      </c>
      <c r="E1230" s="5">
        <v>16</v>
      </c>
      <c r="F1230" s="5">
        <v>326.16</v>
      </c>
      <c r="G1230" s="6">
        <f t="shared" si="58"/>
        <v>5218.56</v>
      </c>
      <c r="H1230" s="5" t="s">
        <v>77</v>
      </c>
      <c r="I1230" s="5" t="s">
        <v>54</v>
      </c>
      <c r="J1230" s="5">
        <v>0.1</v>
      </c>
      <c r="K1230" s="5" t="s">
        <v>73</v>
      </c>
      <c r="L1230" s="6">
        <v>4696.704</v>
      </c>
      <c r="M1230" s="5" t="s">
        <v>32</v>
      </c>
      <c r="N1230" s="5"/>
      <c r="O1230" s="5">
        <v>0</v>
      </c>
      <c r="P1230" s="5" t="s">
        <v>2451</v>
      </c>
      <c r="Q1230" s="5" t="s">
        <v>2452</v>
      </c>
      <c r="R1230" s="5">
        <v>44.3</v>
      </c>
      <c r="S1230" s="4">
        <v>44980</v>
      </c>
      <c r="T1230" s="4">
        <v>44982</v>
      </c>
      <c r="U1230" s="5">
        <f t="shared" si="59"/>
        <v>2</v>
      </c>
      <c r="V1230" s="5" t="s">
        <v>76</v>
      </c>
      <c r="X1230" s="5"/>
    </row>
    <row r="1231" spans="1:24">
      <c r="A1231" s="4">
        <v>44937</v>
      </c>
      <c r="B1231" s="5" t="str">
        <f t="shared" si="57"/>
        <v>January</v>
      </c>
      <c r="C1231" s="5" t="s">
        <v>16</v>
      </c>
      <c r="D1231" s="5" t="s">
        <v>26</v>
      </c>
      <c r="E1231" s="5">
        <v>13</v>
      </c>
      <c r="F1231" s="5">
        <v>515.42</v>
      </c>
      <c r="G1231" s="6">
        <f t="shared" si="58"/>
        <v>6700.46</v>
      </c>
      <c r="H1231" s="5" t="s">
        <v>81</v>
      </c>
      <c r="I1231" s="5" t="s">
        <v>62</v>
      </c>
      <c r="J1231" s="5">
        <v>0</v>
      </c>
      <c r="K1231" s="5" t="s">
        <v>89</v>
      </c>
      <c r="L1231" s="6">
        <v>6700.46</v>
      </c>
      <c r="M1231" s="5" t="s">
        <v>30</v>
      </c>
      <c r="N1231" s="5" t="s">
        <v>56</v>
      </c>
      <c r="O1231" s="5">
        <v>0</v>
      </c>
      <c r="P1231" s="5" t="s">
        <v>2453</v>
      </c>
      <c r="Q1231" s="5" t="s">
        <v>2454</v>
      </c>
      <c r="R1231" s="5">
        <v>43.37</v>
      </c>
      <c r="S1231" s="4">
        <v>44937</v>
      </c>
      <c r="T1231" s="4">
        <v>44946</v>
      </c>
      <c r="U1231" s="5">
        <f t="shared" si="59"/>
        <v>9</v>
      </c>
      <c r="V1231" s="5" t="s">
        <v>59</v>
      </c>
      <c r="X1231" s="5"/>
    </row>
    <row r="1232" spans="1:24">
      <c r="A1232" s="4">
        <v>45398</v>
      </c>
      <c r="B1232" s="5" t="str">
        <f t="shared" si="57"/>
        <v>April</v>
      </c>
      <c r="C1232" s="5" t="s">
        <v>20</v>
      </c>
      <c r="D1232" s="5" t="s">
        <v>101</v>
      </c>
      <c r="E1232" s="5">
        <v>7</v>
      </c>
      <c r="F1232" s="5">
        <v>129.83</v>
      </c>
      <c r="G1232" s="6">
        <f t="shared" si="58"/>
        <v>908.81</v>
      </c>
      <c r="H1232" s="5" t="s">
        <v>61</v>
      </c>
      <c r="I1232" s="5" t="s">
        <v>54</v>
      </c>
      <c r="J1232" s="5">
        <v>0</v>
      </c>
      <c r="K1232" s="5" t="s">
        <v>78</v>
      </c>
      <c r="L1232" s="6">
        <v>908.81</v>
      </c>
      <c r="M1232" s="5" t="s">
        <v>31</v>
      </c>
      <c r="N1232" s="5" t="s">
        <v>69</v>
      </c>
      <c r="O1232" s="5">
        <v>0</v>
      </c>
      <c r="P1232" s="5" t="s">
        <v>2455</v>
      </c>
      <c r="Q1232" s="5" t="s">
        <v>2456</v>
      </c>
      <c r="R1232" s="5">
        <v>13.12</v>
      </c>
      <c r="S1232" s="4">
        <v>45398</v>
      </c>
      <c r="T1232" s="4">
        <v>45402</v>
      </c>
      <c r="U1232" s="5">
        <f t="shared" si="59"/>
        <v>4</v>
      </c>
      <c r="V1232" s="5" t="s">
        <v>94</v>
      </c>
      <c r="X1232" s="5"/>
    </row>
    <row r="1233" spans="1:24">
      <c r="A1233" s="4">
        <v>45360</v>
      </c>
      <c r="B1233" s="5" t="str">
        <f t="shared" si="57"/>
        <v>March</v>
      </c>
      <c r="C1233" s="5" t="s">
        <v>19</v>
      </c>
      <c r="D1233" s="5" t="s">
        <v>26</v>
      </c>
      <c r="E1233" s="5">
        <v>17</v>
      </c>
      <c r="F1233" s="5">
        <v>376.15</v>
      </c>
      <c r="G1233" s="6">
        <f t="shared" si="58"/>
        <v>6394.55</v>
      </c>
      <c r="H1233" s="5" t="s">
        <v>77</v>
      </c>
      <c r="I1233" s="5" t="s">
        <v>62</v>
      </c>
      <c r="J1233" s="5">
        <v>0.05</v>
      </c>
      <c r="K1233" s="5" t="s">
        <v>82</v>
      </c>
      <c r="L1233" s="6">
        <v>6074.8225</v>
      </c>
      <c r="M1233" s="5" t="s">
        <v>31</v>
      </c>
      <c r="N1233" s="5" t="s">
        <v>69</v>
      </c>
      <c r="O1233" s="5">
        <v>1</v>
      </c>
      <c r="P1233" s="5" t="s">
        <v>2457</v>
      </c>
      <c r="Q1233" s="5" t="s">
        <v>2458</v>
      </c>
      <c r="R1233" s="5">
        <v>31.96</v>
      </c>
      <c r="S1233" s="4">
        <v>45360</v>
      </c>
      <c r="T1233" s="4">
        <v>45363</v>
      </c>
      <c r="U1233" s="5">
        <f t="shared" si="59"/>
        <v>3</v>
      </c>
      <c r="V1233" s="5" t="s">
        <v>76</v>
      </c>
      <c r="X1233" s="5"/>
    </row>
    <row r="1234" spans="1:24">
      <c r="A1234" s="4">
        <v>45572</v>
      </c>
      <c r="B1234" s="5" t="str">
        <f t="shared" si="57"/>
        <v>October</v>
      </c>
      <c r="C1234" s="5" t="s">
        <v>17</v>
      </c>
      <c r="D1234" s="5" t="s">
        <v>25</v>
      </c>
      <c r="E1234" s="5">
        <v>8</v>
      </c>
      <c r="F1234" s="5">
        <v>385.46</v>
      </c>
      <c r="G1234" s="6">
        <f t="shared" si="58"/>
        <v>3083.68</v>
      </c>
      <c r="H1234" s="5" t="s">
        <v>61</v>
      </c>
      <c r="I1234" s="5" t="s">
        <v>54</v>
      </c>
      <c r="J1234" s="5">
        <v>0</v>
      </c>
      <c r="K1234" s="5" t="s">
        <v>89</v>
      </c>
      <c r="L1234" s="6">
        <v>3083.68</v>
      </c>
      <c r="M1234" s="5" t="s">
        <v>34</v>
      </c>
      <c r="N1234" s="5" t="s">
        <v>64</v>
      </c>
      <c r="O1234" s="5">
        <v>0</v>
      </c>
      <c r="P1234" s="5" t="s">
        <v>2459</v>
      </c>
      <c r="Q1234" s="5" t="s">
        <v>2460</v>
      </c>
      <c r="R1234" s="5">
        <v>8.89</v>
      </c>
      <c r="S1234" s="4">
        <v>45572</v>
      </c>
      <c r="T1234" s="4">
        <v>45576</v>
      </c>
      <c r="U1234" s="5">
        <f t="shared" si="59"/>
        <v>4</v>
      </c>
      <c r="V1234" s="5" t="s">
        <v>67</v>
      </c>
      <c r="X1234" s="5"/>
    </row>
    <row r="1235" spans="1:24">
      <c r="A1235" s="4">
        <v>45205</v>
      </c>
      <c r="B1235" s="5" t="str">
        <f t="shared" si="57"/>
        <v>October</v>
      </c>
      <c r="C1235" s="5" t="s">
        <v>20</v>
      </c>
      <c r="D1235" s="5" t="s">
        <v>27</v>
      </c>
      <c r="E1235" s="5">
        <v>2</v>
      </c>
      <c r="F1235" s="5">
        <v>474.13</v>
      </c>
      <c r="G1235" s="6">
        <f t="shared" si="58"/>
        <v>948.26</v>
      </c>
      <c r="H1235" s="5" t="s">
        <v>81</v>
      </c>
      <c r="I1235" s="5" t="s">
        <v>54</v>
      </c>
      <c r="J1235" s="5">
        <v>0</v>
      </c>
      <c r="K1235" s="5" t="s">
        <v>78</v>
      </c>
      <c r="L1235" s="6">
        <v>948.26</v>
      </c>
      <c r="M1235" s="5" t="s">
        <v>31</v>
      </c>
      <c r="N1235" s="5" t="s">
        <v>56</v>
      </c>
      <c r="O1235" s="5">
        <v>1</v>
      </c>
      <c r="P1235" s="5" t="s">
        <v>2461</v>
      </c>
      <c r="Q1235" s="5" t="s">
        <v>2462</v>
      </c>
      <c r="R1235" s="5">
        <v>14.41</v>
      </c>
      <c r="S1235" s="4">
        <v>45205</v>
      </c>
      <c r="T1235" s="4">
        <v>45214</v>
      </c>
      <c r="U1235" s="5">
        <f t="shared" si="59"/>
        <v>9</v>
      </c>
      <c r="V1235" s="5" t="s">
        <v>94</v>
      </c>
      <c r="X1235" s="5"/>
    </row>
    <row r="1236" spans="1:24">
      <c r="A1236" s="4">
        <v>45024</v>
      </c>
      <c r="B1236" s="5" t="str">
        <f t="shared" si="57"/>
        <v>April</v>
      </c>
      <c r="C1236" s="5" t="s">
        <v>20</v>
      </c>
      <c r="D1236" s="5" t="s">
        <v>26</v>
      </c>
      <c r="E1236" s="5">
        <v>15</v>
      </c>
      <c r="F1236" s="5">
        <v>506.17</v>
      </c>
      <c r="G1236" s="6">
        <f t="shared" si="58"/>
        <v>7592.55</v>
      </c>
      <c r="H1236" s="5" t="s">
        <v>53</v>
      </c>
      <c r="I1236" s="5" t="s">
        <v>54</v>
      </c>
      <c r="J1236" s="5">
        <v>0.05</v>
      </c>
      <c r="K1236" s="5" t="s">
        <v>63</v>
      </c>
      <c r="L1236" s="6">
        <v>7212.9225</v>
      </c>
      <c r="M1236" s="5" t="s">
        <v>30</v>
      </c>
      <c r="N1236" s="5"/>
      <c r="O1236" s="5">
        <v>0</v>
      </c>
      <c r="P1236" s="5" t="s">
        <v>2463</v>
      </c>
      <c r="Q1236" s="5" t="s">
        <v>2464</v>
      </c>
      <c r="R1236" s="5">
        <v>41.73</v>
      </c>
      <c r="S1236" s="4">
        <v>45024</v>
      </c>
      <c r="T1236" s="4">
        <v>45029</v>
      </c>
      <c r="U1236" s="5">
        <f t="shared" si="59"/>
        <v>5</v>
      </c>
      <c r="V1236" s="5" t="s">
        <v>94</v>
      </c>
      <c r="X1236" s="5"/>
    </row>
    <row r="1237" spans="1:24">
      <c r="A1237" s="4">
        <v>45342</v>
      </c>
      <c r="B1237" s="5" t="str">
        <f t="shared" si="57"/>
        <v>February</v>
      </c>
      <c r="C1237" s="5" t="s">
        <v>17</v>
      </c>
      <c r="D1237" s="5" t="s">
        <v>23</v>
      </c>
      <c r="E1237" s="5">
        <v>1</v>
      </c>
      <c r="F1237" s="5">
        <v>67.38</v>
      </c>
      <c r="G1237" s="6">
        <f t="shared" si="58"/>
        <v>67.38</v>
      </c>
      <c r="H1237" s="5" t="s">
        <v>81</v>
      </c>
      <c r="I1237" s="5" t="s">
        <v>62</v>
      </c>
      <c r="J1237" s="5">
        <v>0.15</v>
      </c>
      <c r="K1237" s="5" t="s">
        <v>63</v>
      </c>
      <c r="L1237" s="6">
        <v>57.273</v>
      </c>
      <c r="M1237" s="5" t="s">
        <v>32</v>
      </c>
      <c r="N1237" s="5" t="s">
        <v>69</v>
      </c>
      <c r="O1237" s="5">
        <v>0</v>
      </c>
      <c r="P1237" s="5" t="s">
        <v>2465</v>
      </c>
      <c r="Q1237" s="5" t="s">
        <v>2466</v>
      </c>
      <c r="R1237" s="5">
        <v>6.14</v>
      </c>
      <c r="S1237" s="4">
        <v>45342</v>
      </c>
      <c r="T1237" s="4">
        <v>45349</v>
      </c>
      <c r="U1237" s="5">
        <f t="shared" si="59"/>
        <v>7</v>
      </c>
      <c r="V1237" s="5" t="s">
        <v>67</v>
      </c>
      <c r="X1237" s="5"/>
    </row>
    <row r="1238" spans="1:24">
      <c r="A1238" s="4">
        <v>44956</v>
      </c>
      <c r="B1238" s="5" t="str">
        <f t="shared" si="57"/>
        <v>January</v>
      </c>
      <c r="C1238" s="5" t="s">
        <v>20</v>
      </c>
      <c r="D1238" s="5" t="s">
        <v>25</v>
      </c>
      <c r="E1238" s="5">
        <v>15</v>
      </c>
      <c r="F1238" s="5">
        <v>274.3</v>
      </c>
      <c r="G1238" s="6">
        <f t="shared" si="58"/>
        <v>4114.5</v>
      </c>
      <c r="H1238" s="5" t="s">
        <v>53</v>
      </c>
      <c r="I1238" s="5" t="s">
        <v>62</v>
      </c>
      <c r="J1238" s="5">
        <v>0.15</v>
      </c>
      <c r="K1238" s="5" t="s">
        <v>73</v>
      </c>
      <c r="L1238" s="6">
        <v>3497.325</v>
      </c>
      <c r="M1238" s="5" t="s">
        <v>32</v>
      </c>
      <c r="N1238" s="5"/>
      <c r="O1238" s="5">
        <v>0</v>
      </c>
      <c r="P1238" s="5" t="s">
        <v>2467</v>
      </c>
      <c r="Q1238" s="5" t="s">
        <v>2468</v>
      </c>
      <c r="R1238" s="5">
        <v>21.56</v>
      </c>
      <c r="S1238" s="4">
        <v>44956</v>
      </c>
      <c r="T1238" s="4">
        <v>44965</v>
      </c>
      <c r="U1238" s="5">
        <f t="shared" si="59"/>
        <v>9</v>
      </c>
      <c r="V1238" s="5" t="s">
        <v>94</v>
      </c>
      <c r="X1238" s="5"/>
    </row>
    <row r="1239" spans="1:24">
      <c r="A1239" s="4">
        <v>45058</v>
      </c>
      <c r="B1239" s="5" t="str">
        <f t="shared" si="57"/>
        <v>May</v>
      </c>
      <c r="C1239" s="5" t="s">
        <v>17</v>
      </c>
      <c r="D1239" s="5" t="s">
        <v>26</v>
      </c>
      <c r="E1239" s="5">
        <v>2</v>
      </c>
      <c r="F1239" s="5">
        <v>334.48</v>
      </c>
      <c r="G1239" s="6">
        <f t="shared" si="58"/>
        <v>668.96</v>
      </c>
      <c r="H1239" s="5" t="s">
        <v>53</v>
      </c>
      <c r="I1239" s="5" t="s">
        <v>54</v>
      </c>
      <c r="J1239" s="5">
        <v>0</v>
      </c>
      <c r="K1239" s="5" t="s">
        <v>63</v>
      </c>
      <c r="L1239" s="6">
        <v>668.96</v>
      </c>
      <c r="M1239" s="5" t="s">
        <v>33</v>
      </c>
      <c r="N1239" s="5"/>
      <c r="O1239" s="5">
        <v>0</v>
      </c>
      <c r="P1239" s="5" t="s">
        <v>2469</v>
      </c>
      <c r="Q1239" s="5" t="s">
        <v>2470</v>
      </c>
      <c r="R1239" s="5">
        <v>31.53</v>
      </c>
      <c r="S1239" s="4">
        <v>45058</v>
      </c>
      <c r="T1239" s="4">
        <v>45066</v>
      </c>
      <c r="U1239" s="5">
        <f t="shared" si="59"/>
        <v>8</v>
      </c>
      <c r="V1239" s="5" t="s">
        <v>67</v>
      </c>
      <c r="X1239" s="5"/>
    </row>
    <row r="1240" spans="1:24">
      <c r="A1240" s="4">
        <v>45299</v>
      </c>
      <c r="B1240" s="5" t="str">
        <f t="shared" si="57"/>
        <v>January</v>
      </c>
      <c r="C1240" s="5" t="s">
        <v>17</v>
      </c>
      <c r="D1240" s="5" t="s">
        <v>25</v>
      </c>
      <c r="E1240" s="5">
        <v>7</v>
      </c>
      <c r="F1240" s="5">
        <v>562.6</v>
      </c>
      <c r="G1240" s="6">
        <f t="shared" si="58"/>
        <v>3938.2</v>
      </c>
      <c r="H1240" s="5" t="s">
        <v>61</v>
      </c>
      <c r="I1240" s="5" t="s">
        <v>62</v>
      </c>
      <c r="J1240" s="5">
        <v>0.15</v>
      </c>
      <c r="K1240" s="5" t="s">
        <v>55</v>
      </c>
      <c r="L1240" s="6">
        <v>3347.47</v>
      </c>
      <c r="M1240" s="5" t="s">
        <v>30</v>
      </c>
      <c r="N1240" s="5" t="s">
        <v>69</v>
      </c>
      <c r="O1240" s="5">
        <v>0</v>
      </c>
      <c r="P1240" s="5" t="s">
        <v>2471</v>
      </c>
      <c r="Q1240" s="5" t="s">
        <v>2472</v>
      </c>
      <c r="R1240" s="5">
        <v>19.95</v>
      </c>
      <c r="S1240" s="4">
        <v>45299</v>
      </c>
      <c r="T1240" s="4">
        <v>45303</v>
      </c>
      <c r="U1240" s="5">
        <f t="shared" si="59"/>
        <v>4</v>
      </c>
      <c r="V1240" s="5" t="s">
        <v>67</v>
      </c>
      <c r="X1240" s="5"/>
    </row>
    <row r="1241" spans="1:24">
      <c r="A1241" s="4">
        <v>45448</v>
      </c>
      <c r="B1241" s="5" t="str">
        <f t="shared" si="57"/>
        <v>June</v>
      </c>
      <c r="C1241" s="5" t="s">
        <v>18</v>
      </c>
      <c r="D1241" s="5" t="s">
        <v>26</v>
      </c>
      <c r="E1241" s="5">
        <v>7</v>
      </c>
      <c r="F1241" s="5">
        <v>14.34</v>
      </c>
      <c r="G1241" s="6">
        <f t="shared" si="58"/>
        <v>100.38</v>
      </c>
      <c r="H1241" s="5" t="s">
        <v>81</v>
      </c>
      <c r="I1241" s="5" t="s">
        <v>62</v>
      </c>
      <c r="J1241" s="5">
        <v>0.05</v>
      </c>
      <c r="K1241" s="5" t="s">
        <v>63</v>
      </c>
      <c r="L1241" s="6">
        <v>95.361</v>
      </c>
      <c r="M1241" s="5" t="s">
        <v>33</v>
      </c>
      <c r="N1241" s="5" t="s">
        <v>69</v>
      </c>
      <c r="O1241" s="5">
        <v>0</v>
      </c>
      <c r="P1241" s="5" t="s">
        <v>2473</v>
      </c>
      <c r="Q1241" s="5" t="s">
        <v>171</v>
      </c>
      <c r="R1241" s="5">
        <v>19.45</v>
      </c>
      <c r="S1241" s="4">
        <v>45448</v>
      </c>
      <c r="T1241" s="4">
        <v>45451</v>
      </c>
      <c r="U1241" s="5">
        <f t="shared" si="59"/>
        <v>3</v>
      </c>
      <c r="V1241" s="5" t="s">
        <v>72</v>
      </c>
      <c r="X1241" s="5"/>
    </row>
    <row r="1242" spans="1:24">
      <c r="A1242" s="4">
        <v>45798</v>
      </c>
      <c r="B1242" s="5" t="str">
        <f t="shared" si="57"/>
        <v>May</v>
      </c>
      <c r="C1242" s="5" t="s">
        <v>16</v>
      </c>
      <c r="D1242" s="5" t="s">
        <v>23</v>
      </c>
      <c r="E1242" s="5">
        <v>11</v>
      </c>
      <c r="F1242" s="5">
        <v>34.72</v>
      </c>
      <c r="G1242" s="6">
        <f t="shared" si="58"/>
        <v>381.92</v>
      </c>
      <c r="H1242" s="5" t="s">
        <v>53</v>
      </c>
      <c r="I1242" s="5" t="s">
        <v>54</v>
      </c>
      <c r="J1242" s="5">
        <v>0.1</v>
      </c>
      <c r="K1242" s="5" t="s">
        <v>82</v>
      </c>
      <c r="L1242" s="6">
        <v>343.728</v>
      </c>
      <c r="M1242" s="5" t="s">
        <v>31</v>
      </c>
      <c r="N1242" s="5" t="s">
        <v>56</v>
      </c>
      <c r="O1242" s="5">
        <v>0</v>
      </c>
      <c r="P1242" s="5" t="s">
        <v>2474</v>
      </c>
      <c r="Q1242" s="5" t="s">
        <v>2475</v>
      </c>
      <c r="R1242" s="5">
        <v>9.31</v>
      </c>
      <c r="S1242" s="4">
        <v>45798</v>
      </c>
      <c r="T1242" s="4">
        <v>45800</v>
      </c>
      <c r="U1242" s="5">
        <f t="shared" si="59"/>
        <v>2</v>
      </c>
      <c r="V1242" s="5" t="s">
        <v>59</v>
      </c>
      <c r="X1242" s="5"/>
    </row>
    <row r="1243" spans="1:24">
      <c r="A1243" s="4">
        <v>45798</v>
      </c>
      <c r="B1243" s="5" t="str">
        <f t="shared" si="57"/>
        <v>May</v>
      </c>
      <c r="C1243" s="5" t="s">
        <v>16</v>
      </c>
      <c r="D1243" s="5" t="s">
        <v>25</v>
      </c>
      <c r="E1243" s="5">
        <v>7</v>
      </c>
      <c r="F1243" s="5">
        <v>15.06</v>
      </c>
      <c r="G1243" s="6">
        <f t="shared" si="58"/>
        <v>105.42</v>
      </c>
      <c r="H1243" s="5" t="s">
        <v>61</v>
      </c>
      <c r="I1243" s="5" t="s">
        <v>62</v>
      </c>
      <c r="J1243" s="5">
        <v>0</v>
      </c>
      <c r="K1243" s="5" t="s">
        <v>63</v>
      </c>
      <c r="L1243" s="6">
        <v>105.42</v>
      </c>
      <c r="M1243" s="5" t="s">
        <v>34</v>
      </c>
      <c r="N1243" s="5"/>
      <c r="O1243" s="5">
        <v>1</v>
      </c>
      <c r="P1243" s="5" t="s">
        <v>2476</v>
      </c>
      <c r="Q1243" s="5" t="s">
        <v>2477</v>
      </c>
      <c r="R1243" s="5">
        <v>46.57</v>
      </c>
      <c r="S1243" s="4">
        <v>45798</v>
      </c>
      <c r="T1243" s="4">
        <v>45803</v>
      </c>
      <c r="U1243" s="5">
        <f t="shared" si="59"/>
        <v>5</v>
      </c>
      <c r="V1243" s="5" t="s">
        <v>59</v>
      </c>
      <c r="X1243" s="5"/>
    </row>
    <row r="1244" spans="1:24">
      <c r="A1244" s="4">
        <v>44990</v>
      </c>
      <c r="B1244" s="5" t="str">
        <f t="shared" si="57"/>
        <v>March</v>
      </c>
      <c r="C1244" s="5" t="s">
        <v>16</v>
      </c>
      <c r="D1244" s="5" t="s">
        <v>27</v>
      </c>
      <c r="E1244" s="5">
        <v>11</v>
      </c>
      <c r="F1244" s="5">
        <v>488.17</v>
      </c>
      <c r="G1244" s="6">
        <f t="shared" si="58"/>
        <v>5369.87</v>
      </c>
      <c r="H1244" s="5" t="s">
        <v>53</v>
      </c>
      <c r="I1244" s="5" t="s">
        <v>54</v>
      </c>
      <c r="J1244" s="5">
        <v>0.05</v>
      </c>
      <c r="K1244" s="5" t="s">
        <v>89</v>
      </c>
      <c r="L1244" s="6">
        <v>5101.3765</v>
      </c>
      <c r="M1244" s="5" t="s">
        <v>34</v>
      </c>
      <c r="N1244" s="5" t="s">
        <v>69</v>
      </c>
      <c r="O1244" s="5">
        <v>1</v>
      </c>
      <c r="P1244" s="5" t="s">
        <v>2478</v>
      </c>
      <c r="Q1244" s="5" t="s">
        <v>2479</v>
      </c>
      <c r="R1244" s="5">
        <v>37.47</v>
      </c>
      <c r="S1244" s="4">
        <v>44990</v>
      </c>
      <c r="T1244" s="4">
        <v>44996</v>
      </c>
      <c r="U1244" s="5">
        <f t="shared" si="59"/>
        <v>6</v>
      </c>
      <c r="V1244" s="5" t="s">
        <v>59</v>
      </c>
      <c r="X1244" s="5"/>
    </row>
    <row r="1245" spans="1:24">
      <c r="A1245" s="4">
        <v>45592</v>
      </c>
      <c r="B1245" s="5" t="str">
        <f t="shared" si="57"/>
        <v>October</v>
      </c>
      <c r="C1245" s="5" t="s">
        <v>17</v>
      </c>
      <c r="D1245" s="5" t="s">
        <v>101</v>
      </c>
      <c r="E1245" s="5">
        <v>10</v>
      </c>
      <c r="F1245" s="5">
        <v>268.39</v>
      </c>
      <c r="G1245" s="6">
        <f t="shared" si="58"/>
        <v>2683.9</v>
      </c>
      <c r="H1245" s="5" t="s">
        <v>53</v>
      </c>
      <c r="I1245" s="5" t="s">
        <v>62</v>
      </c>
      <c r="J1245" s="5">
        <v>0.05</v>
      </c>
      <c r="K1245" s="5" t="s">
        <v>63</v>
      </c>
      <c r="L1245" s="6">
        <v>2549.705</v>
      </c>
      <c r="M1245" s="5" t="s">
        <v>32</v>
      </c>
      <c r="N1245" s="5" t="s">
        <v>64</v>
      </c>
      <c r="O1245" s="5">
        <v>0</v>
      </c>
      <c r="P1245" s="5" t="s">
        <v>2480</v>
      </c>
      <c r="Q1245" s="5" t="s">
        <v>1892</v>
      </c>
      <c r="R1245" s="5">
        <v>25.86</v>
      </c>
      <c r="S1245" s="4">
        <v>45592</v>
      </c>
      <c r="T1245" s="4">
        <v>45598</v>
      </c>
      <c r="U1245" s="5">
        <f t="shared" si="59"/>
        <v>6</v>
      </c>
      <c r="V1245" s="5" t="s">
        <v>67</v>
      </c>
      <c r="X1245" s="5"/>
    </row>
    <row r="1246" spans="1:24">
      <c r="A1246" s="4">
        <v>45740</v>
      </c>
      <c r="B1246" s="5" t="str">
        <f t="shared" si="57"/>
        <v>March</v>
      </c>
      <c r="C1246" s="5" t="s">
        <v>18</v>
      </c>
      <c r="D1246" s="5" t="s">
        <v>101</v>
      </c>
      <c r="E1246" s="5">
        <v>5</v>
      </c>
      <c r="F1246" s="5">
        <v>64.18</v>
      </c>
      <c r="G1246" s="6">
        <f t="shared" si="58"/>
        <v>320.9</v>
      </c>
      <c r="H1246" s="5" t="s">
        <v>77</v>
      </c>
      <c r="I1246" s="5" t="s">
        <v>62</v>
      </c>
      <c r="J1246" s="5">
        <v>0.1</v>
      </c>
      <c r="K1246" s="5" t="s">
        <v>55</v>
      </c>
      <c r="L1246" s="6">
        <v>288.81</v>
      </c>
      <c r="M1246" s="5" t="s">
        <v>31</v>
      </c>
      <c r="N1246" s="5" t="s">
        <v>64</v>
      </c>
      <c r="O1246" s="5">
        <v>0</v>
      </c>
      <c r="P1246" s="5" t="s">
        <v>2481</v>
      </c>
      <c r="Q1246" s="5" t="s">
        <v>2482</v>
      </c>
      <c r="R1246" s="5">
        <v>21.17</v>
      </c>
      <c r="S1246" s="4">
        <v>45740</v>
      </c>
      <c r="T1246" s="4">
        <v>45745</v>
      </c>
      <c r="U1246" s="5">
        <f t="shared" si="59"/>
        <v>5</v>
      </c>
      <c r="V1246" s="5" t="s">
        <v>72</v>
      </c>
      <c r="X1246" s="5"/>
    </row>
    <row r="1247" spans="1:24">
      <c r="A1247" s="4">
        <v>45556</v>
      </c>
      <c r="B1247" s="5" t="str">
        <f t="shared" si="57"/>
        <v>September</v>
      </c>
      <c r="C1247" s="5" t="s">
        <v>20</v>
      </c>
      <c r="D1247" s="5" t="s">
        <v>23</v>
      </c>
      <c r="E1247" s="5">
        <v>15</v>
      </c>
      <c r="F1247" s="5">
        <v>466.55</v>
      </c>
      <c r="G1247" s="6">
        <f t="shared" si="58"/>
        <v>6998.25</v>
      </c>
      <c r="H1247" s="5" t="s">
        <v>61</v>
      </c>
      <c r="I1247" s="5" t="s">
        <v>62</v>
      </c>
      <c r="J1247" s="5">
        <v>0.05</v>
      </c>
      <c r="K1247" s="5" t="s">
        <v>63</v>
      </c>
      <c r="L1247" s="6">
        <v>6648.3375</v>
      </c>
      <c r="M1247" s="5" t="s">
        <v>34</v>
      </c>
      <c r="N1247" s="5" t="s">
        <v>64</v>
      </c>
      <c r="O1247" s="5">
        <v>1</v>
      </c>
      <c r="P1247" s="5" t="s">
        <v>2483</v>
      </c>
      <c r="Q1247" s="5" t="s">
        <v>2484</v>
      </c>
      <c r="R1247" s="5">
        <v>36.68</v>
      </c>
      <c r="S1247" s="4">
        <v>45556</v>
      </c>
      <c r="T1247" s="4">
        <v>45562</v>
      </c>
      <c r="U1247" s="5">
        <f t="shared" si="59"/>
        <v>6</v>
      </c>
      <c r="V1247" s="5" t="s">
        <v>94</v>
      </c>
      <c r="X1247" s="5"/>
    </row>
    <row r="1248" spans="1:24">
      <c r="A1248" s="4">
        <v>45795</v>
      </c>
      <c r="B1248" s="5" t="str">
        <f t="shared" si="57"/>
        <v>May</v>
      </c>
      <c r="C1248" s="5" t="s">
        <v>18</v>
      </c>
      <c r="D1248" s="5" t="s">
        <v>24</v>
      </c>
      <c r="E1248" s="5">
        <v>8</v>
      </c>
      <c r="F1248" s="5">
        <v>505.34</v>
      </c>
      <c r="G1248" s="6">
        <f t="shared" si="58"/>
        <v>4042.72</v>
      </c>
      <c r="H1248" s="5" t="s">
        <v>53</v>
      </c>
      <c r="I1248" s="5" t="s">
        <v>62</v>
      </c>
      <c r="J1248" s="5">
        <v>0.05</v>
      </c>
      <c r="K1248" s="5" t="s">
        <v>89</v>
      </c>
      <c r="L1248" s="6">
        <v>3840.584</v>
      </c>
      <c r="M1248" s="5" t="s">
        <v>33</v>
      </c>
      <c r="N1248" s="5"/>
      <c r="O1248" s="5">
        <v>0</v>
      </c>
      <c r="P1248" s="5" t="s">
        <v>2485</v>
      </c>
      <c r="Q1248" s="5" t="s">
        <v>2486</v>
      </c>
      <c r="R1248" s="5">
        <v>22.88</v>
      </c>
      <c r="S1248" s="4">
        <v>45795</v>
      </c>
      <c r="T1248" s="4">
        <v>45804</v>
      </c>
      <c r="U1248" s="5">
        <f t="shared" si="59"/>
        <v>9</v>
      </c>
      <c r="V1248" s="5" t="s">
        <v>72</v>
      </c>
      <c r="X1248" s="5"/>
    </row>
    <row r="1249" spans="1:24">
      <c r="A1249" s="4">
        <v>45484</v>
      </c>
      <c r="B1249" s="5" t="str">
        <f t="shared" si="57"/>
        <v>July</v>
      </c>
      <c r="C1249" s="5" t="s">
        <v>16</v>
      </c>
      <c r="D1249" s="5" t="s">
        <v>26</v>
      </c>
      <c r="E1249" s="5">
        <v>6</v>
      </c>
      <c r="F1249" s="5">
        <v>100.75</v>
      </c>
      <c r="G1249" s="6">
        <f t="shared" si="58"/>
        <v>604.5</v>
      </c>
      <c r="H1249" s="5" t="s">
        <v>61</v>
      </c>
      <c r="I1249" s="5" t="s">
        <v>54</v>
      </c>
      <c r="J1249" s="5">
        <v>0.1</v>
      </c>
      <c r="K1249" s="5" t="s">
        <v>73</v>
      </c>
      <c r="L1249" s="6">
        <v>544.05</v>
      </c>
      <c r="M1249" s="5" t="s">
        <v>32</v>
      </c>
      <c r="N1249" s="5" t="s">
        <v>56</v>
      </c>
      <c r="O1249" s="5">
        <v>0</v>
      </c>
      <c r="P1249" s="5" t="s">
        <v>2487</v>
      </c>
      <c r="Q1249" s="5" t="s">
        <v>2488</v>
      </c>
      <c r="R1249" s="5">
        <v>12.98</v>
      </c>
      <c r="S1249" s="4">
        <v>45484</v>
      </c>
      <c r="T1249" s="4">
        <v>45487</v>
      </c>
      <c r="U1249" s="5">
        <f t="shared" si="59"/>
        <v>3</v>
      </c>
      <c r="V1249" s="5" t="s">
        <v>59</v>
      </c>
      <c r="X1249" s="5"/>
    </row>
    <row r="1250" spans="1:24">
      <c r="A1250" s="4">
        <v>45684</v>
      </c>
      <c r="B1250" s="5" t="str">
        <f t="shared" si="57"/>
        <v>January</v>
      </c>
      <c r="C1250" s="5" t="s">
        <v>18</v>
      </c>
      <c r="D1250" s="5" t="s">
        <v>101</v>
      </c>
      <c r="E1250" s="5">
        <v>8</v>
      </c>
      <c r="F1250" s="5">
        <v>352.72</v>
      </c>
      <c r="G1250" s="6">
        <f t="shared" si="58"/>
        <v>2821.76</v>
      </c>
      <c r="H1250" s="5" t="s">
        <v>77</v>
      </c>
      <c r="I1250" s="5" t="s">
        <v>62</v>
      </c>
      <c r="J1250" s="5">
        <v>0.05</v>
      </c>
      <c r="K1250" s="5" t="s">
        <v>78</v>
      </c>
      <c r="L1250" s="6">
        <v>2680.672</v>
      </c>
      <c r="M1250" s="5" t="s">
        <v>34</v>
      </c>
      <c r="N1250" s="5"/>
      <c r="O1250" s="5">
        <v>0</v>
      </c>
      <c r="P1250" s="5" t="s">
        <v>2489</v>
      </c>
      <c r="Q1250" s="5" t="s">
        <v>2490</v>
      </c>
      <c r="R1250" s="5">
        <v>30.8</v>
      </c>
      <c r="S1250" s="4">
        <v>45684</v>
      </c>
      <c r="T1250" s="4">
        <v>45692</v>
      </c>
      <c r="U1250" s="5">
        <f t="shared" si="59"/>
        <v>8</v>
      </c>
      <c r="V1250" s="5" t="s">
        <v>72</v>
      </c>
      <c r="X1250" s="5"/>
    </row>
    <row r="1251" spans="1:24">
      <c r="A1251" s="4">
        <v>45256</v>
      </c>
      <c r="B1251" s="5" t="str">
        <f t="shared" si="57"/>
        <v>November</v>
      </c>
      <c r="C1251" s="5" t="s">
        <v>16</v>
      </c>
      <c r="D1251" s="5" t="s">
        <v>22</v>
      </c>
      <c r="E1251" s="5">
        <v>9</v>
      </c>
      <c r="F1251" s="5">
        <v>526.26</v>
      </c>
      <c r="G1251" s="6">
        <f t="shared" si="58"/>
        <v>4736.34</v>
      </c>
      <c r="H1251" s="5" t="s">
        <v>53</v>
      </c>
      <c r="I1251" s="5" t="s">
        <v>62</v>
      </c>
      <c r="J1251" s="5">
        <v>0</v>
      </c>
      <c r="K1251" s="5" t="s">
        <v>89</v>
      </c>
      <c r="L1251" s="6">
        <v>4736.34</v>
      </c>
      <c r="M1251" s="5" t="s">
        <v>34</v>
      </c>
      <c r="N1251" s="5" t="s">
        <v>56</v>
      </c>
      <c r="O1251" s="5">
        <v>0</v>
      </c>
      <c r="P1251" s="5" t="s">
        <v>2491</v>
      </c>
      <c r="Q1251" s="5" t="s">
        <v>1433</v>
      </c>
      <c r="R1251" s="5">
        <v>15.47</v>
      </c>
      <c r="S1251" s="4">
        <v>45256</v>
      </c>
      <c r="T1251" s="4">
        <v>45266</v>
      </c>
      <c r="U1251" s="5">
        <f t="shared" si="59"/>
        <v>10</v>
      </c>
      <c r="V1251" s="5" t="s">
        <v>59</v>
      </c>
      <c r="X1251" s="5"/>
    </row>
    <row r="1252" spans="1:24">
      <c r="A1252" s="4">
        <v>45445</v>
      </c>
      <c r="B1252" s="5" t="str">
        <f t="shared" si="57"/>
        <v>June</v>
      </c>
      <c r="C1252" s="5" t="s">
        <v>19</v>
      </c>
      <c r="D1252" s="5" t="s">
        <v>27</v>
      </c>
      <c r="E1252" s="5">
        <v>18</v>
      </c>
      <c r="F1252" s="5">
        <v>519.42</v>
      </c>
      <c r="G1252" s="6">
        <f t="shared" si="58"/>
        <v>9349.56</v>
      </c>
      <c r="H1252" s="5" t="s">
        <v>77</v>
      </c>
      <c r="I1252" s="5" t="s">
        <v>62</v>
      </c>
      <c r="J1252" s="5">
        <v>0.15</v>
      </c>
      <c r="K1252" s="5" t="s">
        <v>55</v>
      </c>
      <c r="L1252" s="6">
        <v>7947.126</v>
      </c>
      <c r="M1252" s="5" t="s">
        <v>34</v>
      </c>
      <c r="N1252" s="5" t="s">
        <v>69</v>
      </c>
      <c r="O1252" s="5">
        <v>0</v>
      </c>
      <c r="P1252" s="5" t="s">
        <v>2492</v>
      </c>
      <c r="Q1252" s="5" t="s">
        <v>2493</v>
      </c>
      <c r="R1252" s="5">
        <v>32.96</v>
      </c>
      <c r="S1252" s="4">
        <v>45445</v>
      </c>
      <c r="T1252" s="4">
        <v>45447</v>
      </c>
      <c r="U1252" s="5">
        <f t="shared" si="59"/>
        <v>2</v>
      </c>
      <c r="V1252" s="5" t="s">
        <v>76</v>
      </c>
      <c r="X1252" s="5"/>
    </row>
    <row r="1253" spans="1:24">
      <c r="A1253" s="4">
        <v>44943</v>
      </c>
      <c r="B1253" s="5" t="str">
        <f t="shared" si="57"/>
        <v>January</v>
      </c>
      <c r="C1253" s="5" t="s">
        <v>18</v>
      </c>
      <c r="D1253" s="5" t="s">
        <v>25</v>
      </c>
      <c r="E1253" s="5">
        <v>18</v>
      </c>
      <c r="F1253" s="5">
        <v>108.46</v>
      </c>
      <c r="G1253" s="6">
        <f t="shared" si="58"/>
        <v>1952.28</v>
      </c>
      <c r="H1253" s="5" t="s">
        <v>81</v>
      </c>
      <c r="I1253" s="5" t="s">
        <v>54</v>
      </c>
      <c r="J1253" s="5">
        <v>0.05</v>
      </c>
      <c r="K1253" s="5" t="s">
        <v>73</v>
      </c>
      <c r="L1253" s="6">
        <v>1854.666</v>
      </c>
      <c r="M1253" s="5" t="s">
        <v>30</v>
      </c>
      <c r="N1253" s="5" t="s">
        <v>64</v>
      </c>
      <c r="O1253" s="5">
        <v>0</v>
      </c>
      <c r="P1253" s="5" t="s">
        <v>2494</v>
      </c>
      <c r="Q1253" s="5" t="s">
        <v>2495</v>
      </c>
      <c r="R1253" s="5">
        <v>10.72</v>
      </c>
      <c r="S1253" s="4">
        <v>44943</v>
      </c>
      <c r="T1253" s="4">
        <v>44950</v>
      </c>
      <c r="U1253" s="5">
        <f t="shared" si="59"/>
        <v>7</v>
      </c>
      <c r="V1253" s="5" t="s">
        <v>72</v>
      </c>
      <c r="X1253" s="5"/>
    </row>
    <row r="1254" spans="1:24">
      <c r="A1254" s="4">
        <v>45780</v>
      </c>
      <c r="B1254" s="5" t="str">
        <f t="shared" si="57"/>
        <v>May</v>
      </c>
      <c r="C1254" s="5" t="s">
        <v>18</v>
      </c>
      <c r="D1254" s="5" t="s">
        <v>24</v>
      </c>
      <c r="E1254" s="5">
        <v>13</v>
      </c>
      <c r="F1254" s="5">
        <v>420.68</v>
      </c>
      <c r="G1254" s="6">
        <f t="shared" si="58"/>
        <v>5468.84</v>
      </c>
      <c r="H1254" s="5" t="s">
        <v>81</v>
      </c>
      <c r="I1254" s="5" t="s">
        <v>54</v>
      </c>
      <c r="J1254" s="5">
        <v>0.05</v>
      </c>
      <c r="K1254" s="5" t="s">
        <v>73</v>
      </c>
      <c r="L1254" s="6">
        <v>5195.398</v>
      </c>
      <c r="M1254" s="5" t="s">
        <v>30</v>
      </c>
      <c r="N1254" s="5"/>
      <c r="O1254" s="5">
        <v>0</v>
      </c>
      <c r="P1254" s="5" t="s">
        <v>2496</v>
      </c>
      <c r="Q1254" s="5" t="s">
        <v>2497</v>
      </c>
      <c r="R1254" s="5">
        <v>24.51</v>
      </c>
      <c r="S1254" s="4">
        <v>45780</v>
      </c>
      <c r="T1254" s="4">
        <v>45788</v>
      </c>
      <c r="U1254" s="5">
        <f t="shared" si="59"/>
        <v>8</v>
      </c>
      <c r="V1254" s="5" t="s">
        <v>72</v>
      </c>
      <c r="X1254" s="5"/>
    </row>
    <row r="1255" spans="1:24">
      <c r="A1255" s="4">
        <v>45662</v>
      </c>
      <c r="B1255" s="5" t="str">
        <f t="shared" si="57"/>
        <v>January</v>
      </c>
      <c r="C1255" s="5" t="s">
        <v>18</v>
      </c>
      <c r="D1255" s="5" t="s">
        <v>27</v>
      </c>
      <c r="E1255" s="5">
        <v>17</v>
      </c>
      <c r="F1255" s="5">
        <v>5.91</v>
      </c>
      <c r="G1255" s="6">
        <f t="shared" si="58"/>
        <v>100.47</v>
      </c>
      <c r="H1255" s="5" t="s">
        <v>61</v>
      </c>
      <c r="I1255" s="5" t="s">
        <v>54</v>
      </c>
      <c r="J1255" s="5">
        <v>0.15</v>
      </c>
      <c r="K1255" s="5" t="s">
        <v>55</v>
      </c>
      <c r="L1255" s="6">
        <v>85.3995</v>
      </c>
      <c r="M1255" s="5" t="s">
        <v>30</v>
      </c>
      <c r="N1255" s="5" t="s">
        <v>64</v>
      </c>
      <c r="O1255" s="5">
        <v>0</v>
      </c>
      <c r="P1255" s="5" t="s">
        <v>2498</v>
      </c>
      <c r="Q1255" s="5" t="s">
        <v>2499</v>
      </c>
      <c r="R1255" s="5">
        <v>44.85</v>
      </c>
      <c r="S1255" s="4">
        <v>45662</v>
      </c>
      <c r="T1255" s="4">
        <v>45670</v>
      </c>
      <c r="U1255" s="5">
        <f t="shared" si="59"/>
        <v>8</v>
      </c>
      <c r="V1255" s="5" t="s">
        <v>72</v>
      </c>
      <c r="X1255" s="5"/>
    </row>
    <row r="1256" spans="1:24">
      <c r="A1256" s="4">
        <v>45342</v>
      </c>
      <c r="B1256" s="5" t="str">
        <f t="shared" si="57"/>
        <v>February</v>
      </c>
      <c r="C1256" s="5" t="s">
        <v>16</v>
      </c>
      <c r="D1256" s="5" t="s">
        <v>23</v>
      </c>
      <c r="E1256" s="5">
        <v>4</v>
      </c>
      <c r="F1256" s="5">
        <v>452.77</v>
      </c>
      <c r="G1256" s="6">
        <f t="shared" si="58"/>
        <v>1811.08</v>
      </c>
      <c r="H1256" s="5" t="s">
        <v>53</v>
      </c>
      <c r="I1256" s="5" t="s">
        <v>62</v>
      </c>
      <c r="J1256" s="5">
        <v>0</v>
      </c>
      <c r="K1256" s="5" t="s">
        <v>82</v>
      </c>
      <c r="L1256" s="6">
        <v>1811.08</v>
      </c>
      <c r="M1256" s="5" t="s">
        <v>33</v>
      </c>
      <c r="N1256" s="5" t="s">
        <v>64</v>
      </c>
      <c r="O1256" s="5">
        <v>0</v>
      </c>
      <c r="P1256" s="5" t="s">
        <v>2500</v>
      </c>
      <c r="Q1256" s="5" t="s">
        <v>2501</v>
      </c>
      <c r="R1256" s="5">
        <v>32.01</v>
      </c>
      <c r="S1256" s="4">
        <v>45342</v>
      </c>
      <c r="T1256" s="4">
        <v>45352</v>
      </c>
      <c r="U1256" s="5">
        <f t="shared" si="59"/>
        <v>10</v>
      </c>
      <c r="V1256" s="5" t="s">
        <v>59</v>
      </c>
      <c r="X1256" s="5"/>
    </row>
    <row r="1257" spans="1:24">
      <c r="A1257" s="4">
        <v>45286</v>
      </c>
      <c r="B1257" s="5" t="str">
        <f t="shared" si="57"/>
        <v>December</v>
      </c>
      <c r="C1257" s="5" t="s">
        <v>18</v>
      </c>
      <c r="D1257" s="5" t="s">
        <v>26</v>
      </c>
      <c r="E1257" s="5">
        <v>7</v>
      </c>
      <c r="F1257" s="5">
        <v>157</v>
      </c>
      <c r="G1257" s="6">
        <f t="shared" si="58"/>
        <v>1099</v>
      </c>
      <c r="H1257" s="5" t="s">
        <v>61</v>
      </c>
      <c r="I1257" s="5" t="s">
        <v>54</v>
      </c>
      <c r="J1257" s="5">
        <v>0.15</v>
      </c>
      <c r="K1257" s="5" t="s">
        <v>63</v>
      </c>
      <c r="L1257" s="6">
        <v>934.15</v>
      </c>
      <c r="M1257" s="5" t="s">
        <v>30</v>
      </c>
      <c r="N1257" s="5" t="s">
        <v>64</v>
      </c>
      <c r="O1257" s="5">
        <v>1</v>
      </c>
      <c r="P1257" s="5" t="s">
        <v>2502</v>
      </c>
      <c r="Q1257" s="5" t="s">
        <v>890</v>
      </c>
      <c r="R1257" s="5">
        <v>39.72</v>
      </c>
      <c r="S1257" s="4">
        <v>45286</v>
      </c>
      <c r="T1257" s="4">
        <v>45295</v>
      </c>
      <c r="U1257" s="5">
        <f t="shared" si="59"/>
        <v>9</v>
      </c>
      <c r="V1257" s="5" t="s">
        <v>72</v>
      </c>
      <c r="X1257" s="5"/>
    </row>
    <row r="1258" spans="1:24">
      <c r="A1258" s="4">
        <v>44992</v>
      </c>
      <c r="B1258" s="5" t="str">
        <f t="shared" si="57"/>
        <v>March</v>
      </c>
      <c r="C1258" s="5" t="s">
        <v>18</v>
      </c>
      <c r="D1258" s="5" t="s">
        <v>27</v>
      </c>
      <c r="E1258" s="5">
        <v>11</v>
      </c>
      <c r="F1258" s="5">
        <v>550.86</v>
      </c>
      <c r="G1258" s="6">
        <f t="shared" si="58"/>
        <v>6059.46</v>
      </c>
      <c r="H1258" s="5" t="s">
        <v>77</v>
      </c>
      <c r="I1258" s="5" t="s">
        <v>62</v>
      </c>
      <c r="J1258" s="5">
        <v>0.1</v>
      </c>
      <c r="K1258" s="5" t="s">
        <v>89</v>
      </c>
      <c r="L1258" s="6">
        <v>5453.514</v>
      </c>
      <c r="M1258" s="5" t="s">
        <v>30</v>
      </c>
      <c r="N1258" s="5" t="s">
        <v>56</v>
      </c>
      <c r="O1258" s="5">
        <v>0</v>
      </c>
      <c r="P1258" s="5" t="s">
        <v>2503</v>
      </c>
      <c r="Q1258" s="5" t="s">
        <v>2504</v>
      </c>
      <c r="R1258" s="5">
        <v>21.82</v>
      </c>
      <c r="S1258" s="4">
        <v>44992</v>
      </c>
      <c r="T1258" s="4">
        <v>44997</v>
      </c>
      <c r="U1258" s="5">
        <f t="shared" si="59"/>
        <v>5</v>
      </c>
      <c r="V1258" s="5" t="s">
        <v>72</v>
      </c>
      <c r="X1258" s="5"/>
    </row>
    <row r="1259" spans="1:24">
      <c r="A1259" s="4">
        <v>45548</v>
      </c>
      <c r="B1259" s="5" t="str">
        <f t="shared" si="57"/>
        <v>September</v>
      </c>
      <c r="C1259" s="5" t="s">
        <v>18</v>
      </c>
      <c r="D1259" s="5" t="s">
        <v>25</v>
      </c>
      <c r="E1259" s="5">
        <v>5</v>
      </c>
      <c r="F1259" s="5">
        <v>172.65</v>
      </c>
      <c r="G1259" s="6">
        <f t="shared" si="58"/>
        <v>863.25</v>
      </c>
      <c r="H1259" s="5" t="s">
        <v>77</v>
      </c>
      <c r="I1259" s="5" t="s">
        <v>54</v>
      </c>
      <c r="J1259" s="5">
        <v>0.15</v>
      </c>
      <c r="K1259" s="5" t="s">
        <v>63</v>
      </c>
      <c r="L1259" s="6">
        <v>733.7625</v>
      </c>
      <c r="M1259" s="5" t="s">
        <v>34</v>
      </c>
      <c r="N1259" s="5" t="s">
        <v>64</v>
      </c>
      <c r="O1259" s="5">
        <v>0</v>
      </c>
      <c r="P1259" s="5" t="s">
        <v>2505</v>
      </c>
      <c r="Q1259" s="5" t="s">
        <v>2506</v>
      </c>
      <c r="R1259" s="5">
        <v>28.3</v>
      </c>
      <c r="S1259" s="4">
        <v>45548</v>
      </c>
      <c r="T1259" s="4">
        <v>45557</v>
      </c>
      <c r="U1259" s="5">
        <f t="shared" si="59"/>
        <v>9</v>
      </c>
      <c r="V1259" s="5" t="s">
        <v>72</v>
      </c>
      <c r="X1259" s="5"/>
    </row>
    <row r="1260" spans="1:24">
      <c r="A1260" s="4">
        <v>45293</v>
      </c>
      <c r="B1260" s="5" t="str">
        <f t="shared" si="57"/>
        <v>January</v>
      </c>
      <c r="C1260" s="5" t="s">
        <v>16</v>
      </c>
      <c r="D1260" s="5" t="s">
        <v>101</v>
      </c>
      <c r="E1260" s="5">
        <v>16</v>
      </c>
      <c r="F1260" s="5">
        <v>145.3</v>
      </c>
      <c r="G1260" s="6">
        <f t="shared" si="58"/>
        <v>2324.8</v>
      </c>
      <c r="H1260" s="5" t="s">
        <v>53</v>
      </c>
      <c r="I1260" s="5" t="s">
        <v>54</v>
      </c>
      <c r="J1260" s="5">
        <v>0</v>
      </c>
      <c r="K1260" s="5" t="s">
        <v>55</v>
      </c>
      <c r="L1260" s="6">
        <v>2324.8</v>
      </c>
      <c r="M1260" s="5" t="s">
        <v>32</v>
      </c>
      <c r="N1260" s="5" t="s">
        <v>56</v>
      </c>
      <c r="O1260" s="5">
        <v>1</v>
      </c>
      <c r="P1260" s="5" t="s">
        <v>2507</v>
      </c>
      <c r="Q1260" s="5" t="s">
        <v>2508</v>
      </c>
      <c r="R1260" s="5">
        <v>29.64</v>
      </c>
      <c r="S1260" s="4">
        <v>45293</v>
      </c>
      <c r="T1260" s="4">
        <v>45303</v>
      </c>
      <c r="U1260" s="5">
        <f t="shared" si="59"/>
        <v>10</v>
      </c>
      <c r="V1260" s="5" t="s">
        <v>59</v>
      </c>
      <c r="X1260" s="5"/>
    </row>
    <row r="1261" spans="1:24">
      <c r="A1261" s="4">
        <v>45696</v>
      </c>
      <c r="B1261" s="5" t="str">
        <f t="shared" si="57"/>
        <v>February</v>
      </c>
      <c r="C1261" s="5" t="s">
        <v>17</v>
      </c>
      <c r="D1261" s="5" t="s">
        <v>27</v>
      </c>
      <c r="E1261" s="5">
        <v>10</v>
      </c>
      <c r="F1261" s="5">
        <v>67.38</v>
      </c>
      <c r="G1261" s="6">
        <f t="shared" si="58"/>
        <v>673.8</v>
      </c>
      <c r="H1261" s="5" t="s">
        <v>77</v>
      </c>
      <c r="I1261" s="5" t="s">
        <v>62</v>
      </c>
      <c r="J1261" s="5">
        <v>0.1</v>
      </c>
      <c r="K1261" s="5" t="s">
        <v>82</v>
      </c>
      <c r="L1261" s="6">
        <v>606.42</v>
      </c>
      <c r="M1261" s="5" t="s">
        <v>31</v>
      </c>
      <c r="N1261" s="5" t="s">
        <v>56</v>
      </c>
      <c r="O1261" s="5">
        <v>1</v>
      </c>
      <c r="P1261" s="5" t="s">
        <v>2509</v>
      </c>
      <c r="Q1261" s="5" t="s">
        <v>157</v>
      </c>
      <c r="R1261" s="5">
        <v>20.58</v>
      </c>
      <c r="S1261" s="4">
        <v>45696</v>
      </c>
      <c r="T1261" s="4">
        <v>45706</v>
      </c>
      <c r="U1261" s="5">
        <f t="shared" si="59"/>
        <v>10</v>
      </c>
      <c r="V1261" s="5" t="s">
        <v>67</v>
      </c>
      <c r="X1261" s="5"/>
    </row>
    <row r="1262" spans="1:24">
      <c r="A1262" s="4">
        <v>45720</v>
      </c>
      <c r="B1262" s="5" t="str">
        <f t="shared" si="57"/>
        <v>March</v>
      </c>
      <c r="C1262" s="5" t="s">
        <v>17</v>
      </c>
      <c r="D1262" s="5" t="s">
        <v>27</v>
      </c>
      <c r="E1262" s="5">
        <v>15</v>
      </c>
      <c r="F1262" s="5">
        <v>141.13</v>
      </c>
      <c r="G1262" s="6">
        <f t="shared" si="58"/>
        <v>2116.95</v>
      </c>
      <c r="H1262" s="5" t="s">
        <v>81</v>
      </c>
      <c r="I1262" s="5" t="s">
        <v>54</v>
      </c>
      <c r="J1262" s="5">
        <v>0</v>
      </c>
      <c r="K1262" s="5" t="s">
        <v>78</v>
      </c>
      <c r="L1262" s="6">
        <v>2116.95</v>
      </c>
      <c r="M1262" s="5" t="s">
        <v>34</v>
      </c>
      <c r="N1262" s="5" t="s">
        <v>64</v>
      </c>
      <c r="O1262" s="5">
        <v>0</v>
      </c>
      <c r="P1262" s="5" t="s">
        <v>2510</v>
      </c>
      <c r="Q1262" s="5" t="s">
        <v>2511</v>
      </c>
      <c r="R1262" s="5">
        <v>19.63</v>
      </c>
      <c r="S1262" s="4">
        <v>45720</v>
      </c>
      <c r="T1262" s="4">
        <v>45728</v>
      </c>
      <c r="U1262" s="5">
        <f t="shared" si="59"/>
        <v>8</v>
      </c>
      <c r="V1262" s="5" t="s">
        <v>67</v>
      </c>
      <c r="X1262" s="5"/>
    </row>
    <row r="1263" spans="1:24">
      <c r="A1263" s="4">
        <v>45363</v>
      </c>
      <c r="B1263" s="5" t="str">
        <f t="shared" si="57"/>
        <v>March</v>
      </c>
      <c r="C1263" s="5" t="s">
        <v>19</v>
      </c>
      <c r="D1263" s="5" t="s">
        <v>101</v>
      </c>
      <c r="E1263" s="5">
        <v>1</v>
      </c>
      <c r="F1263" s="5">
        <v>534.61</v>
      </c>
      <c r="G1263" s="6">
        <f t="shared" si="58"/>
        <v>534.61</v>
      </c>
      <c r="H1263" s="5" t="s">
        <v>81</v>
      </c>
      <c r="I1263" s="5" t="s">
        <v>62</v>
      </c>
      <c r="J1263" s="5">
        <v>0.05</v>
      </c>
      <c r="K1263" s="5" t="s">
        <v>73</v>
      </c>
      <c r="L1263" s="6">
        <v>507.8795</v>
      </c>
      <c r="M1263" s="5" t="s">
        <v>30</v>
      </c>
      <c r="N1263" s="5" t="s">
        <v>64</v>
      </c>
      <c r="O1263" s="5">
        <v>0</v>
      </c>
      <c r="P1263" s="5" t="s">
        <v>2512</v>
      </c>
      <c r="Q1263" s="5" t="s">
        <v>2513</v>
      </c>
      <c r="R1263" s="5">
        <v>22.68</v>
      </c>
      <c r="S1263" s="4">
        <v>45363</v>
      </c>
      <c r="T1263" s="4">
        <v>45372</v>
      </c>
      <c r="U1263" s="5">
        <f t="shared" si="59"/>
        <v>9</v>
      </c>
      <c r="V1263" s="5" t="s">
        <v>76</v>
      </c>
      <c r="X1263" s="5"/>
    </row>
    <row r="1264" spans="1:24">
      <c r="A1264" s="4">
        <v>45476</v>
      </c>
      <c r="B1264" s="5" t="str">
        <f t="shared" si="57"/>
        <v>July</v>
      </c>
      <c r="C1264" s="5" t="s">
        <v>16</v>
      </c>
      <c r="D1264" s="5" t="s">
        <v>23</v>
      </c>
      <c r="E1264" s="5">
        <v>9</v>
      </c>
      <c r="F1264" s="5">
        <v>560.04</v>
      </c>
      <c r="G1264" s="6">
        <f t="shared" si="58"/>
        <v>5040.36</v>
      </c>
      <c r="H1264" s="5" t="s">
        <v>81</v>
      </c>
      <c r="I1264" s="5" t="s">
        <v>62</v>
      </c>
      <c r="J1264" s="5">
        <v>0.05</v>
      </c>
      <c r="K1264" s="5" t="s">
        <v>78</v>
      </c>
      <c r="L1264" s="6">
        <v>4788.342</v>
      </c>
      <c r="M1264" s="5" t="s">
        <v>31</v>
      </c>
      <c r="N1264" s="5" t="s">
        <v>69</v>
      </c>
      <c r="O1264" s="5">
        <v>0</v>
      </c>
      <c r="P1264" s="5" t="s">
        <v>2514</v>
      </c>
      <c r="Q1264" s="5" t="s">
        <v>2515</v>
      </c>
      <c r="R1264" s="5">
        <v>22.81</v>
      </c>
      <c r="S1264" s="4">
        <v>45476</v>
      </c>
      <c r="T1264" s="4">
        <v>45480</v>
      </c>
      <c r="U1264" s="5">
        <f t="shared" si="59"/>
        <v>4</v>
      </c>
      <c r="V1264" s="5" t="s">
        <v>59</v>
      </c>
      <c r="X1264" s="5"/>
    </row>
    <row r="1265" spans="1:24">
      <c r="A1265" s="4">
        <v>45662</v>
      </c>
      <c r="B1265" s="5" t="str">
        <f t="shared" si="57"/>
        <v>January</v>
      </c>
      <c r="C1265" s="5" t="s">
        <v>18</v>
      </c>
      <c r="D1265" s="5" t="s">
        <v>22</v>
      </c>
      <c r="E1265" s="5">
        <v>8</v>
      </c>
      <c r="F1265" s="5">
        <v>275.32</v>
      </c>
      <c r="G1265" s="6">
        <f t="shared" si="58"/>
        <v>2202.56</v>
      </c>
      <c r="H1265" s="5" t="s">
        <v>81</v>
      </c>
      <c r="I1265" s="5" t="s">
        <v>62</v>
      </c>
      <c r="J1265" s="5">
        <v>0.1</v>
      </c>
      <c r="K1265" s="5" t="s">
        <v>82</v>
      </c>
      <c r="L1265" s="6">
        <v>1982.304</v>
      </c>
      <c r="M1265" s="5" t="s">
        <v>34</v>
      </c>
      <c r="N1265" s="5" t="s">
        <v>64</v>
      </c>
      <c r="O1265" s="5">
        <v>0</v>
      </c>
      <c r="P1265" s="5" t="s">
        <v>2516</v>
      </c>
      <c r="Q1265" s="5" t="s">
        <v>2517</v>
      </c>
      <c r="R1265" s="5">
        <v>18.26</v>
      </c>
      <c r="S1265" s="4">
        <v>45662</v>
      </c>
      <c r="T1265" s="4">
        <v>45670</v>
      </c>
      <c r="U1265" s="5">
        <f t="shared" si="59"/>
        <v>8</v>
      </c>
      <c r="V1265" s="5" t="s">
        <v>72</v>
      </c>
      <c r="X1265" s="5"/>
    </row>
    <row r="1266" spans="1:24">
      <c r="A1266" s="4">
        <v>45372</v>
      </c>
      <c r="B1266" s="5" t="str">
        <f t="shared" si="57"/>
        <v>March</v>
      </c>
      <c r="C1266" s="5" t="s">
        <v>16</v>
      </c>
      <c r="D1266" s="5" t="s">
        <v>23</v>
      </c>
      <c r="E1266" s="5">
        <v>3</v>
      </c>
      <c r="F1266" s="5">
        <v>105.73</v>
      </c>
      <c r="G1266" s="6">
        <f t="shared" si="58"/>
        <v>317.19</v>
      </c>
      <c r="H1266" s="5" t="s">
        <v>81</v>
      </c>
      <c r="I1266" s="5" t="s">
        <v>62</v>
      </c>
      <c r="J1266" s="5">
        <v>0.05</v>
      </c>
      <c r="K1266" s="5" t="s">
        <v>89</v>
      </c>
      <c r="L1266" s="6">
        <v>301.3305</v>
      </c>
      <c r="M1266" s="5" t="s">
        <v>33</v>
      </c>
      <c r="N1266" s="5" t="s">
        <v>56</v>
      </c>
      <c r="O1266" s="5">
        <v>1</v>
      </c>
      <c r="P1266" s="5" t="s">
        <v>2518</v>
      </c>
      <c r="Q1266" s="5" t="s">
        <v>2519</v>
      </c>
      <c r="R1266" s="5">
        <v>12.12</v>
      </c>
      <c r="S1266" s="4">
        <v>45372</v>
      </c>
      <c r="T1266" s="4">
        <v>45379</v>
      </c>
      <c r="U1266" s="5">
        <f t="shared" si="59"/>
        <v>7</v>
      </c>
      <c r="V1266" s="5" t="s">
        <v>59</v>
      </c>
      <c r="X1266" s="5"/>
    </row>
    <row r="1267" spans="1:24">
      <c r="A1267" s="4">
        <v>45744</v>
      </c>
      <c r="B1267" s="5" t="str">
        <f t="shared" si="57"/>
        <v>March</v>
      </c>
      <c r="C1267" s="5" t="s">
        <v>19</v>
      </c>
      <c r="D1267" s="5" t="s">
        <v>26</v>
      </c>
      <c r="E1267" s="5">
        <v>15</v>
      </c>
      <c r="F1267" s="5">
        <v>568.81</v>
      </c>
      <c r="G1267" s="6">
        <f t="shared" si="58"/>
        <v>8532.15</v>
      </c>
      <c r="H1267" s="5" t="s">
        <v>81</v>
      </c>
      <c r="I1267" s="5" t="s">
        <v>62</v>
      </c>
      <c r="J1267" s="5">
        <v>0.1</v>
      </c>
      <c r="K1267" s="5" t="s">
        <v>73</v>
      </c>
      <c r="L1267" s="6">
        <v>7678.935</v>
      </c>
      <c r="M1267" s="5" t="s">
        <v>31</v>
      </c>
      <c r="N1267" s="5"/>
      <c r="O1267" s="5">
        <v>0</v>
      </c>
      <c r="P1267" s="5" t="s">
        <v>2520</v>
      </c>
      <c r="Q1267" s="5" t="s">
        <v>2521</v>
      </c>
      <c r="R1267" s="5">
        <v>8.54</v>
      </c>
      <c r="S1267" s="4">
        <v>45744</v>
      </c>
      <c r="T1267" s="4">
        <v>45750</v>
      </c>
      <c r="U1267" s="5">
        <f t="shared" si="59"/>
        <v>6</v>
      </c>
      <c r="V1267" s="5" t="s">
        <v>76</v>
      </c>
      <c r="X1267" s="5"/>
    </row>
    <row r="1268" spans="1:24">
      <c r="A1268" s="4">
        <v>45760</v>
      </c>
      <c r="B1268" s="5" t="str">
        <f t="shared" si="57"/>
        <v>April</v>
      </c>
      <c r="C1268" s="5" t="s">
        <v>19</v>
      </c>
      <c r="D1268" s="5" t="s">
        <v>22</v>
      </c>
      <c r="E1268" s="5">
        <v>20</v>
      </c>
      <c r="F1268" s="5">
        <v>190.39</v>
      </c>
      <c r="G1268" s="6">
        <f t="shared" si="58"/>
        <v>3807.8</v>
      </c>
      <c r="H1268" s="5" t="s">
        <v>53</v>
      </c>
      <c r="I1268" s="5" t="s">
        <v>62</v>
      </c>
      <c r="J1268" s="5">
        <v>0.1</v>
      </c>
      <c r="K1268" s="5" t="s">
        <v>89</v>
      </c>
      <c r="L1268" s="6">
        <v>3427.02</v>
      </c>
      <c r="M1268" s="5" t="s">
        <v>31</v>
      </c>
      <c r="N1268" s="5" t="s">
        <v>64</v>
      </c>
      <c r="O1268" s="5">
        <v>0</v>
      </c>
      <c r="P1268" s="5" t="s">
        <v>2522</v>
      </c>
      <c r="Q1268" s="5" t="s">
        <v>2523</v>
      </c>
      <c r="R1268" s="5">
        <v>49.93</v>
      </c>
      <c r="S1268" s="4">
        <v>45760</v>
      </c>
      <c r="T1268" s="4">
        <v>45765</v>
      </c>
      <c r="U1268" s="5">
        <f t="shared" si="59"/>
        <v>5</v>
      </c>
      <c r="V1268" s="5" t="s">
        <v>76</v>
      </c>
      <c r="X1268" s="5"/>
    </row>
    <row r="1269" spans="1:24">
      <c r="A1269" s="4">
        <v>45412</v>
      </c>
      <c r="B1269" s="5" t="str">
        <f t="shared" si="57"/>
        <v>April</v>
      </c>
      <c r="C1269" s="5" t="s">
        <v>20</v>
      </c>
      <c r="D1269" s="5" t="s">
        <v>25</v>
      </c>
      <c r="E1269" s="5">
        <v>19</v>
      </c>
      <c r="F1269" s="5">
        <v>433.39</v>
      </c>
      <c r="G1269" s="6">
        <f t="shared" si="58"/>
        <v>8234.41</v>
      </c>
      <c r="H1269" s="5" t="s">
        <v>77</v>
      </c>
      <c r="I1269" s="5" t="s">
        <v>62</v>
      </c>
      <c r="J1269" s="5">
        <v>0.05</v>
      </c>
      <c r="K1269" s="5" t="s">
        <v>89</v>
      </c>
      <c r="L1269" s="6">
        <v>7822.6895</v>
      </c>
      <c r="M1269" s="5" t="s">
        <v>30</v>
      </c>
      <c r="N1269" s="5" t="s">
        <v>69</v>
      </c>
      <c r="O1269" s="5">
        <v>0</v>
      </c>
      <c r="P1269" s="5" t="s">
        <v>2524</v>
      </c>
      <c r="Q1269" s="5" t="s">
        <v>2525</v>
      </c>
      <c r="R1269" s="5">
        <v>7.59</v>
      </c>
      <c r="S1269" s="4">
        <v>45412</v>
      </c>
      <c r="T1269" s="4">
        <v>45421</v>
      </c>
      <c r="U1269" s="5">
        <f t="shared" si="59"/>
        <v>9</v>
      </c>
      <c r="V1269" s="5" t="s">
        <v>94</v>
      </c>
      <c r="X1269" s="5"/>
    </row>
    <row r="1270" spans="1:24">
      <c r="A1270" s="4">
        <v>45703</v>
      </c>
      <c r="B1270" s="5" t="str">
        <f t="shared" si="57"/>
        <v>February</v>
      </c>
      <c r="C1270" s="5" t="s">
        <v>17</v>
      </c>
      <c r="D1270" s="5" t="s">
        <v>23</v>
      </c>
      <c r="E1270" s="5">
        <v>1</v>
      </c>
      <c r="F1270" s="5">
        <v>92.72</v>
      </c>
      <c r="G1270" s="6">
        <f t="shared" si="58"/>
        <v>92.72</v>
      </c>
      <c r="H1270" s="5" t="s">
        <v>77</v>
      </c>
      <c r="I1270" s="5" t="s">
        <v>54</v>
      </c>
      <c r="J1270" s="5">
        <v>0.15</v>
      </c>
      <c r="K1270" s="5" t="s">
        <v>55</v>
      </c>
      <c r="L1270" s="6">
        <v>78.812</v>
      </c>
      <c r="M1270" s="5" t="s">
        <v>33</v>
      </c>
      <c r="N1270" s="5" t="s">
        <v>69</v>
      </c>
      <c r="O1270" s="5">
        <v>0</v>
      </c>
      <c r="P1270" s="5" t="s">
        <v>2526</v>
      </c>
      <c r="Q1270" s="5" t="s">
        <v>2527</v>
      </c>
      <c r="R1270" s="5">
        <v>48.46</v>
      </c>
      <c r="S1270" s="4">
        <v>45703</v>
      </c>
      <c r="T1270" s="4">
        <v>45707</v>
      </c>
      <c r="U1270" s="5">
        <f t="shared" si="59"/>
        <v>4</v>
      </c>
      <c r="V1270" s="5" t="s">
        <v>67</v>
      </c>
      <c r="X1270" s="5"/>
    </row>
    <row r="1271" spans="1:24">
      <c r="A1271" s="4">
        <v>45706</v>
      </c>
      <c r="B1271" s="5" t="str">
        <f t="shared" si="57"/>
        <v>February</v>
      </c>
      <c r="C1271" s="5" t="s">
        <v>20</v>
      </c>
      <c r="D1271" s="5" t="s">
        <v>22</v>
      </c>
      <c r="E1271" s="5">
        <v>1</v>
      </c>
      <c r="F1271" s="5">
        <v>263.28</v>
      </c>
      <c r="G1271" s="6">
        <f t="shared" si="58"/>
        <v>263.28</v>
      </c>
      <c r="H1271" s="5" t="s">
        <v>81</v>
      </c>
      <c r="I1271" s="5" t="s">
        <v>54</v>
      </c>
      <c r="J1271" s="5">
        <v>0.1</v>
      </c>
      <c r="K1271" s="5" t="s">
        <v>55</v>
      </c>
      <c r="L1271" s="6">
        <v>236.952</v>
      </c>
      <c r="M1271" s="5" t="s">
        <v>32</v>
      </c>
      <c r="N1271" s="5" t="s">
        <v>64</v>
      </c>
      <c r="O1271" s="5">
        <v>0</v>
      </c>
      <c r="P1271" s="5" t="s">
        <v>2528</v>
      </c>
      <c r="Q1271" s="5" t="s">
        <v>2529</v>
      </c>
      <c r="R1271" s="5">
        <v>36.28</v>
      </c>
      <c r="S1271" s="4">
        <v>45706</v>
      </c>
      <c r="T1271" s="4">
        <v>45711</v>
      </c>
      <c r="U1271" s="5">
        <f t="shared" si="59"/>
        <v>5</v>
      </c>
      <c r="V1271" s="5" t="s">
        <v>94</v>
      </c>
      <c r="X1271" s="5"/>
    </row>
    <row r="1272" spans="1:24">
      <c r="A1272" s="4">
        <v>45177</v>
      </c>
      <c r="B1272" s="5" t="str">
        <f t="shared" si="57"/>
        <v>September</v>
      </c>
      <c r="C1272" s="5" t="s">
        <v>20</v>
      </c>
      <c r="D1272" s="5" t="s">
        <v>23</v>
      </c>
      <c r="E1272" s="5">
        <v>11</v>
      </c>
      <c r="F1272" s="5">
        <v>358.59</v>
      </c>
      <c r="G1272" s="6">
        <f t="shared" si="58"/>
        <v>3944.49</v>
      </c>
      <c r="H1272" s="5" t="s">
        <v>53</v>
      </c>
      <c r="I1272" s="5" t="s">
        <v>54</v>
      </c>
      <c r="J1272" s="5">
        <v>0</v>
      </c>
      <c r="K1272" s="5" t="s">
        <v>73</v>
      </c>
      <c r="L1272" s="6">
        <v>3944.49</v>
      </c>
      <c r="M1272" s="5" t="s">
        <v>32</v>
      </c>
      <c r="N1272" s="5"/>
      <c r="O1272" s="5">
        <v>0</v>
      </c>
      <c r="P1272" s="5" t="s">
        <v>2530</v>
      </c>
      <c r="Q1272" s="5" t="s">
        <v>2531</v>
      </c>
      <c r="R1272" s="5">
        <v>29.19</v>
      </c>
      <c r="S1272" s="4">
        <v>45177</v>
      </c>
      <c r="T1272" s="4">
        <v>45179</v>
      </c>
      <c r="U1272" s="5">
        <f t="shared" si="59"/>
        <v>2</v>
      </c>
      <c r="V1272" s="5" t="s">
        <v>94</v>
      </c>
      <c r="X1272" s="5"/>
    </row>
    <row r="1273" spans="1:24">
      <c r="A1273" s="4">
        <v>45326</v>
      </c>
      <c r="B1273" s="5" t="str">
        <f t="shared" si="57"/>
        <v>February</v>
      </c>
      <c r="C1273" s="5" t="s">
        <v>19</v>
      </c>
      <c r="D1273" s="5" t="s">
        <v>101</v>
      </c>
      <c r="E1273" s="5">
        <v>18</v>
      </c>
      <c r="F1273" s="5">
        <v>595.53</v>
      </c>
      <c r="G1273" s="6">
        <f t="shared" si="58"/>
        <v>10719.54</v>
      </c>
      <c r="H1273" s="5" t="s">
        <v>53</v>
      </c>
      <c r="I1273" s="5" t="s">
        <v>62</v>
      </c>
      <c r="J1273" s="5">
        <v>0</v>
      </c>
      <c r="K1273" s="5" t="s">
        <v>73</v>
      </c>
      <c r="L1273" s="6">
        <v>10719.54</v>
      </c>
      <c r="M1273" s="5" t="s">
        <v>34</v>
      </c>
      <c r="N1273" s="5" t="s">
        <v>69</v>
      </c>
      <c r="O1273" s="5">
        <v>0</v>
      </c>
      <c r="P1273" s="5" t="s">
        <v>2532</v>
      </c>
      <c r="Q1273" s="5" t="s">
        <v>2533</v>
      </c>
      <c r="R1273" s="5">
        <v>42.91</v>
      </c>
      <c r="S1273" s="4">
        <v>45326</v>
      </c>
      <c r="T1273" s="4">
        <v>45328</v>
      </c>
      <c r="U1273" s="5">
        <f t="shared" si="59"/>
        <v>2</v>
      </c>
      <c r="V1273" s="5" t="s">
        <v>76</v>
      </c>
      <c r="X1273" s="5"/>
    </row>
    <row r="1274" spans="1:24">
      <c r="A1274" s="4">
        <v>45621</v>
      </c>
      <c r="B1274" s="5" t="str">
        <f t="shared" si="57"/>
        <v>November</v>
      </c>
      <c r="C1274" s="5" t="s">
        <v>18</v>
      </c>
      <c r="D1274" s="5" t="s">
        <v>26</v>
      </c>
      <c r="E1274" s="5">
        <v>14</v>
      </c>
      <c r="F1274" s="5">
        <v>574.32</v>
      </c>
      <c r="G1274" s="6">
        <f t="shared" si="58"/>
        <v>8040.48</v>
      </c>
      <c r="H1274" s="5" t="s">
        <v>81</v>
      </c>
      <c r="I1274" s="5" t="s">
        <v>54</v>
      </c>
      <c r="J1274" s="5">
        <v>0.15</v>
      </c>
      <c r="K1274" s="5" t="s">
        <v>82</v>
      </c>
      <c r="L1274" s="6">
        <v>6834.408</v>
      </c>
      <c r="M1274" s="5" t="s">
        <v>32</v>
      </c>
      <c r="N1274" s="5" t="s">
        <v>64</v>
      </c>
      <c r="O1274" s="5">
        <v>0</v>
      </c>
      <c r="P1274" s="5" t="s">
        <v>2534</v>
      </c>
      <c r="Q1274" s="5" t="s">
        <v>2535</v>
      </c>
      <c r="R1274" s="5">
        <v>12.07</v>
      </c>
      <c r="S1274" s="4">
        <v>45621</v>
      </c>
      <c r="T1274" s="4">
        <v>45631</v>
      </c>
      <c r="U1274" s="5">
        <f t="shared" si="59"/>
        <v>10</v>
      </c>
      <c r="V1274" s="5" t="s">
        <v>72</v>
      </c>
      <c r="X1274" s="5"/>
    </row>
    <row r="1275" spans="1:24">
      <c r="A1275" s="4">
        <v>45656</v>
      </c>
      <c r="B1275" s="5" t="str">
        <f t="shared" si="57"/>
        <v>December</v>
      </c>
      <c r="C1275" s="5" t="s">
        <v>18</v>
      </c>
      <c r="D1275" s="5" t="s">
        <v>22</v>
      </c>
      <c r="E1275" s="5">
        <v>18</v>
      </c>
      <c r="F1275" s="5">
        <v>444.13</v>
      </c>
      <c r="G1275" s="6">
        <f t="shared" si="58"/>
        <v>7994.34</v>
      </c>
      <c r="H1275" s="5" t="s">
        <v>81</v>
      </c>
      <c r="I1275" s="5" t="s">
        <v>62</v>
      </c>
      <c r="J1275" s="5">
        <v>0</v>
      </c>
      <c r="K1275" s="5" t="s">
        <v>73</v>
      </c>
      <c r="L1275" s="6">
        <v>7994.34</v>
      </c>
      <c r="M1275" s="5" t="s">
        <v>34</v>
      </c>
      <c r="N1275" s="5" t="s">
        <v>64</v>
      </c>
      <c r="O1275" s="5">
        <v>0</v>
      </c>
      <c r="P1275" s="5" t="s">
        <v>2536</v>
      </c>
      <c r="Q1275" s="5" t="s">
        <v>2537</v>
      </c>
      <c r="R1275" s="5">
        <v>5.41</v>
      </c>
      <c r="S1275" s="4">
        <v>45656</v>
      </c>
      <c r="T1275" s="4">
        <v>45659</v>
      </c>
      <c r="U1275" s="5">
        <f t="shared" si="59"/>
        <v>3</v>
      </c>
      <c r="V1275" s="5" t="s">
        <v>72</v>
      </c>
      <c r="X1275" s="5"/>
    </row>
    <row r="1276" spans="1:24">
      <c r="A1276" s="4">
        <v>45174</v>
      </c>
      <c r="B1276" s="5" t="str">
        <f t="shared" si="57"/>
        <v>September</v>
      </c>
      <c r="C1276" s="5" t="s">
        <v>20</v>
      </c>
      <c r="D1276" s="5" t="s">
        <v>101</v>
      </c>
      <c r="E1276" s="5">
        <v>19</v>
      </c>
      <c r="F1276" s="5">
        <v>431.47</v>
      </c>
      <c r="G1276" s="6">
        <f t="shared" si="58"/>
        <v>8197.93</v>
      </c>
      <c r="H1276" s="5" t="s">
        <v>61</v>
      </c>
      <c r="I1276" s="5" t="s">
        <v>62</v>
      </c>
      <c r="J1276" s="5">
        <v>0.1</v>
      </c>
      <c r="K1276" s="5" t="s">
        <v>55</v>
      </c>
      <c r="L1276" s="6">
        <v>7378.137</v>
      </c>
      <c r="M1276" s="5" t="s">
        <v>31</v>
      </c>
      <c r="N1276" s="5" t="s">
        <v>69</v>
      </c>
      <c r="O1276" s="5">
        <v>0</v>
      </c>
      <c r="P1276" s="5" t="s">
        <v>2538</v>
      </c>
      <c r="Q1276" s="5" t="s">
        <v>2539</v>
      </c>
      <c r="R1276" s="5">
        <v>49.23</v>
      </c>
      <c r="S1276" s="4">
        <v>45174</v>
      </c>
      <c r="T1276" s="4">
        <v>45179</v>
      </c>
      <c r="U1276" s="5">
        <f t="shared" si="59"/>
        <v>5</v>
      </c>
      <c r="V1276" s="5" t="s">
        <v>94</v>
      </c>
      <c r="X1276" s="5"/>
    </row>
    <row r="1277" spans="1:24">
      <c r="A1277" s="4">
        <v>45139</v>
      </c>
      <c r="B1277" s="5" t="str">
        <f t="shared" si="57"/>
        <v>August</v>
      </c>
      <c r="C1277" s="5" t="s">
        <v>20</v>
      </c>
      <c r="D1277" s="5" t="s">
        <v>27</v>
      </c>
      <c r="E1277" s="5">
        <v>19</v>
      </c>
      <c r="F1277" s="5">
        <v>67.49</v>
      </c>
      <c r="G1277" s="6">
        <f t="shared" si="58"/>
        <v>1282.31</v>
      </c>
      <c r="H1277" s="5" t="s">
        <v>77</v>
      </c>
      <c r="I1277" s="5" t="s">
        <v>62</v>
      </c>
      <c r="J1277" s="5">
        <v>0</v>
      </c>
      <c r="K1277" s="5" t="s">
        <v>73</v>
      </c>
      <c r="L1277" s="6">
        <v>1282.31</v>
      </c>
      <c r="M1277" s="5" t="s">
        <v>33</v>
      </c>
      <c r="N1277" s="5" t="s">
        <v>64</v>
      </c>
      <c r="O1277" s="5">
        <v>0</v>
      </c>
      <c r="P1277" s="5" t="s">
        <v>2540</v>
      </c>
      <c r="Q1277" s="5" t="s">
        <v>2541</v>
      </c>
      <c r="R1277" s="5">
        <v>32.04</v>
      </c>
      <c r="S1277" s="4">
        <v>45139</v>
      </c>
      <c r="T1277" s="4">
        <v>45149</v>
      </c>
      <c r="U1277" s="5">
        <f t="shared" si="59"/>
        <v>10</v>
      </c>
      <c r="V1277" s="5" t="s">
        <v>94</v>
      </c>
      <c r="X1277" s="5"/>
    </row>
    <row r="1278" spans="1:24">
      <c r="A1278" s="4">
        <v>44932</v>
      </c>
      <c r="B1278" s="5" t="str">
        <f t="shared" si="57"/>
        <v>January</v>
      </c>
      <c r="C1278" s="5" t="s">
        <v>19</v>
      </c>
      <c r="D1278" s="5" t="s">
        <v>101</v>
      </c>
      <c r="E1278" s="5">
        <v>11</v>
      </c>
      <c r="F1278" s="5">
        <v>25.67</v>
      </c>
      <c r="G1278" s="6">
        <f t="shared" si="58"/>
        <v>282.37</v>
      </c>
      <c r="H1278" s="5" t="s">
        <v>77</v>
      </c>
      <c r="I1278" s="5" t="s">
        <v>62</v>
      </c>
      <c r="J1278" s="5">
        <v>0.15</v>
      </c>
      <c r="K1278" s="5" t="s">
        <v>78</v>
      </c>
      <c r="L1278" s="6">
        <v>240.0145</v>
      </c>
      <c r="M1278" s="5" t="s">
        <v>32</v>
      </c>
      <c r="N1278" s="5" t="s">
        <v>64</v>
      </c>
      <c r="O1278" s="5">
        <v>0</v>
      </c>
      <c r="P1278" s="5" t="s">
        <v>2542</v>
      </c>
      <c r="Q1278" s="5" t="s">
        <v>2543</v>
      </c>
      <c r="R1278" s="5">
        <v>30.12</v>
      </c>
      <c r="S1278" s="4">
        <v>44932</v>
      </c>
      <c r="T1278" s="4">
        <v>44934</v>
      </c>
      <c r="U1278" s="5">
        <f t="shared" si="59"/>
        <v>2</v>
      </c>
      <c r="V1278" s="5" t="s">
        <v>76</v>
      </c>
      <c r="X1278" s="5"/>
    </row>
    <row r="1279" spans="1:24">
      <c r="A1279" s="4">
        <v>45779</v>
      </c>
      <c r="B1279" s="5" t="str">
        <f t="shared" si="57"/>
        <v>May</v>
      </c>
      <c r="C1279" s="5" t="s">
        <v>19</v>
      </c>
      <c r="D1279" s="5" t="s">
        <v>23</v>
      </c>
      <c r="E1279" s="5">
        <v>4</v>
      </c>
      <c r="F1279" s="5">
        <v>368.69</v>
      </c>
      <c r="G1279" s="6">
        <f t="shared" si="58"/>
        <v>1474.76</v>
      </c>
      <c r="H1279" s="5" t="s">
        <v>81</v>
      </c>
      <c r="I1279" s="5" t="s">
        <v>54</v>
      </c>
      <c r="J1279" s="5">
        <v>0</v>
      </c>
      <c r="K1279" s="5" t="s">
        <v>82</v>
      </c>
      <c r="L1279" s="6">
        <v>1474.76</v>
      </c>
      <c r="M1279" s="5" t="s">
        <v>31</v>
      </c>
      <c r="N1279" s="5" t="s">
        <v>69</v>
      </c>
      <c r="O1279" s="5">
        <v>0</v>
      </c>
      <c r="P1279" s="5" t="s">
        <v>2544</v>
      </c>
      <c r="Q1279" s="5" t="s">
        <v>2545</v>
      </c>
      <c r="R1279" s="5">
        <v>48.57</v>
      </c>
      <c r="S1279" s="4">
        <v>45779</v>
      </c>
      <c r="T1279" s="4">
        <v>45783</v>
      </c>
      <c r="U1279" s="5">
        <f t="shared" si="59"/>
        <v>4</v>
      </c>
      <c r="V1279" s="5" t="s">
        <v>76</v>
      </c>
      <c r="X1279" s="5"/>
    </row>
    <row r="1280" spans="1:24">
      <c r="A1280" s="4">
        <v>45281</v>
      </c>
      <c r="B1280" s="5" t="str">
        <f t="shared" si="57"/>
        <v>December</v>
      </c>
      <c r="C1280" s="5" t="s">
        <v>20</v>
      </c>
      <c r="D1280" s="5" t="s">
        <v>26</v>
      </c>
      <c r="E1280" s="5">
        <v>7</v>
      </c>
      <c r="F1280" s="5">
        <v>257.01</v>
      </c>
      <c r="G1280" s="6">
        <f t="shared" si="58"/>
        <v>1799.07</v>
      </c>
      <c r="H1280" s="5" t="s">
        <v>81</v>
      </c>
      <c r="I1280" s="5" t="s">
        <v>62</v>
      </c>
      <c r="J1280" s="5">
        <v>0.05</v>
      </c>
      <c r="K1280" s="5" t="s">
        <v>55</v>
      </c>
      <c r="L1280" s="6">
        <v>1709.1165</v>
      </c>
      <c r="M1280" s="5" t="s">
        <v>32</v>
      </c>
      <c r="N1280" s="5"/>
      <c r="O1280" s="5">
        <v>0</v>
      </c>
      <c r="P1280" s="5" t="s">
        <v>2546</v>
      </c>
      <c r="Q1280" s="5" t="s">
        <v>2547</v>
      </c>
      <c r="R1280" s="5">
        <v>35.52</v>
      </c>
      <c r="S1280" s="4">
        <v>45281</v>
      </c>
      <c r="T1280" s="4">
        <v>45288</v>
      </c>
      <c r="U1280" s="5">
        <f t="shared" si="59"/>
        <v>7</v>
      </c>
      <c r="V1280" s="5" t="s">
        <v>94</v>
      </c>
      <c r="X1280" s="5"/>
    </row>
    <row r="1281" spans="1:24">
      <c r="A1281" s="4">
        <v>45545</v>
      </c>
      <c r="B1281" s="5" t="str">
        <f t="shared" si="57"/>
        <v>September</v>
      </c>
      <c r="C1281" s="5" t="s">
        <v>16</v>
      </c>
      <c r="D1281" s="5" t="s">
        <v>22</v>
      </c>
      <c r="E1281" s="5">
        <v>14</v>
      </c>
      <c r="F1281" s="5">
        <v>85.54</v>
      </c>
      <c r="G1281" s="6">
        <f t="shared" si="58"/>
        <v>1197.56</v>
      </c>
      <c r="H1281" s="5" t="s">
        <v>53</v>
      </c>
      <c r="I1281" s="5" t="s">
        <v>54</v>
      </c>
      <c r="J1281" s="5">
        <v>0</v>
      </c>
      <c r="K1281" s="5" t="s">
        <v>73</v>
      </c>
      <c r="L1281" s="6">
        <v>1197.56</v>
      </c>
      <c r="M1281" s="5" t="s">
        <v>31</v>
      </c>
      <c r="N1281" s="5" t="s">
        <v>56</v>
      </c>
      <c r="O1281" s="5">
        <v>0</v>
      </c>
      <c r="P1281" s="5" t="s">
        <v>2548</v>
      </c>
      <c r="Q1281" s="5" t="s">
        <v>2549</v>
      </c>
      <c r="R1281" s="5">
        <v>16.08</v>
      </c>
      <c r="S1281" s="4">
        <v>45545</v>
      </c>
      <c r="T1281" s="4">
        <v>45549</v>
      </c>
      <c r="U1281" s="5">
        <f t="shared" si="59"/>
        <v>4</v>
      </c>
      <c r="V1281" s="5" t="s">
        <v>59</v>
      </c>
      <c r="X1281" s="5"/>
    </row>
    <row r="1282" spans="1:24">
      <c r="A1282" s="4">
        <v>45387</v>
      </c>
      <c r="B1282" s="5" t="str">
        <f t="shared" si="57"/>
        <v>April</v>
      </c>
      <c r="C1282" s="5" t="s">
        <v>19</v>
      </c>
      <c r="D1282" s="5" t="s">
        <v>25</v>
      </c>
      <c r="E1282" s="5">
        <v>9</v>
      </c>
      <c r="F1282" s="5">
        <v>267.6</v>
      </c>
      <c r="G1282" s="6">
        <f t="shared" si="58"/>
        <v>2408.4</v>
      </c>
      <c r="H1282" s="5" t="s">
        <v>81</v>
      </c>
      <c r="I1282" s="5" t="s">
        <v>62</v>
      </c>
      <c r="J1282" s="5">
        <v>0.15</v>
      </c>
      <c r="K1282" s="5" t="s">
        <v>55</v>
      </c>
      <c r="L1282" s="6">
        <v>2047.14</v>
      </c>
      <c r="M1282" s="5" t="s">
        <v>32</v>
      </c>
      <c r="N1282" s="5" t="s">
        <v>56</v>
      </c>
      <c r="O1282" s="5">
        <v>0</v>
      </c>
      <c r="P1282" s="5" t="s">
        <v>2550</v>
      </c>
      <c r="Q1282" s="5" t="s">
        <v>2551</v>
      </c>
      <c r="R1282" s="5">
        <v>8.48</v>
      </c>
      <c r="S1282" s="4">
        <v>45387</v>
      </c>
      <c r="T1282" s="4">
        <v>45392</v>
      </c>
      <c r="U1282" s="5">
        <f t="shared" si="59"/>
        <v>5</v>
      </c>
      <c r="V1282" s="5" t="s">
        <v>76</v>
      </c>
      <c r="X1282" s="5"/>
    </row>
    <row r="1283" spans="1:24">
      <c r="A1283" s="4">
        <v>45133</v>
      </c>
      <c r="B1283" s="5" t="str">
        <f t="shared" ref="B1283:B1346" si="60">TEXT(A1283,"mmmm")</f>
        <v>July</v>
      </c>
      <c r="C1283" s="5" t="s">
        <v>16</v>
      </c>
      <c r="D1283" s="5" t="s">
        <v>24</v>
      </c>
      <c r="E1283" s="5">
        <v>15</v>
      </c>
      <c r="F1283" s="5">
        <v>261.85</v>
      </c>
      <c r="G1283" s="6">
        <f t="shared" ref="G1283:G1346" si="61">F1283*E1283</f>
        <v>3927.75</v>
      </c>
      <c r="H1283" s="5" t="s">
        <v>81</v>
      </c>
      <c r="I1283" s="5" t="s">
        <v>54</v>
      </c>
      <c r="J1283" s="5">
        <v>0.15</v>
      </c>
      <c r="K1283" s="5" t="s">
        <v>82</v>
      </c>
      <c r="L1283" s="6">
        <v>3338.5875</v>
      </c>
      <c r="M1283" s="5" t="s">
        <v>30</v>
      </c>
      <c r="N1283" s="5" t="s">
        <v>64</v>
      </c>
      <c r="O1283" s="5">
        <v>0</v>
      </c>
      <c r="P1283" s="5" t="s">
        <v>2552</v>
      </c>
      <c r="Q1283" s="5" t="s">
        <v>2553</v>
      </c>
      <c r="R1283" s="5">
        <v>40.68</v>
      </c>
      <c r="S1283" s="4">
        <v>45133</v>
      </c>
      <c r="T1283" s="4">
        <v>45138</v>
      </c>
      <c r="U1283" s="5">
        <f t="shared" ref="U1283:U1346" si="62">T1283-S1283</f>
        <v>5</v>
      </c>
      <c r="V1283" s="5" t="s">
        <v>59</v>
      </c>
      <c r="X1283" s="5"/>
    </row>
    <row r="1284" spans="1:24">
      <c r="A1284" s="4">
        <v>45242</v>
      </c>
      <c r="B1284" s="5" t="str">
        <f t="shared" si="60"/>
        <v>November</v>
      </c>
      <c r="C1284" s="5" t="s">
        <v>16</v>
      </c>
      <c r="D1284" s="5" t="s">
        <v>27</v>
      </c>
      <c r="E1284" s="5">
        <v>11</v>
      </c>
      <c r="F1284" s="5">
        <v>199.57</v>
      </c>
      <c r="G1284" s="6">
        <f t="shared" si="61"/>
        <v>2195.27</v>
      </c>
      <c r="H1284" s="5" t="s">
        <v>61</v>
      </c>
      <c r="I1284" s="5" t="s">
        <v>62</v>
      </c>
      <c r="J1284" s="5">
        <v>0.05</v>
      </c>
      <c r="K1284" s="5" t="s">
        <v>89</v>
      </c>
      <c r="L1284" s="6">
        <v>2085.5065</v>
      </c>
      <c r="M1284" s="5" t="s">
        <v>33</v>
      </c>
      <c r="N1284" s="5" t="s">
        <v>64</v>
      </c>
      <c r="O1284" s="5">
        <v>0</v>
      </c>
      <c r="P1284" s="5" t="s">
        <v>2554</v>
      </c>
      <c r="Q1284" s="5" t="s">
        <v>2511</v>
      </c>
      <c r="R1284" s="5">
        <v>48.94</v>
      </c>
      <c r="S1284" s="4">
        <v>45242</v>
      </c>
      <c r="T1284" s="4">
        <v>45244</v>
      </c>
      <c r="U1284" s="5">
        <f t="shared" si="62"/>
        <v>2</v>
      </c>
      <c r="V1284" s="5" t="s">
        <v>59</v>
      </c>
      <c r="X1284" s="5"/>
    </row>
    <row r="1285" spans="1:24">
      <c r="A1285" s="4">
        <v>45765</v>
      </c>
      <c r="B1285" s="5" t="str">
        <f t="shared" si="60"/>
        <v>April</v>
      </c>
      <c r="C1285" s="5" t="s">
        <v>19</v>
      </c>
      <c r="D1285" s="5" t="s">
        <v>23</v>
      </c>
      <c r="E1285" s="5">
        <v>5</v>
      </c>
      <c r="F1285" s="5">
        <v>504.96</v>
      </c>
      <c r="G1285" s="6">
        <f t="shared" si="61"/>
        <v>2524.8</v>
      </c>
      <c r="H1285" s="5" t="s">
        <v>77</v>
      </c>
      <c r="I1285" s="5" t="s">
        <v>62</v>
      </c>
      <c r="J1285" s="5">
        <v>0.05</v>
      </c>
      <c r="K1285" s="5" t="s">
        <v>82</v>
      </c>
      <c r="L1285" s="6">
        <v>2398.56</v>
      </c>
      <c r="M1285" s="5" t="s">
        <v>31</v>
      </c>
      <c r="N1285" s="5" t="s">
        <v>56</v>
      </c>
      <c r="O1285" s="5">
        <v>0</v>
      </c>
      <c r="P1285" s="5" t="s">
        <v>2555</v>
      </c>
      <c r="Q1285" s="5" t="s">
        <v>2556</v>
      </c>
      <c r="R1285" s="5">
        <v>22.12</v>
      </c>
      <c r="S1285" s="4">
        <v>45765</v>
      </c>
      <c r="T1285" s="4">
        <v>45767</v>
      </c>
      <c r="U1285" s="5">
        <f t="shared" si="62"/>
        <v>2</v>
      </c>
      <c r="V1285" s="5" t="s">
        <v>76</v>
      </c>
      <c r="X1285" s="5"/>
    </row>
    <row r="1286" spans="1:24">
      <c r="A1286" s="4">
        <v>45150</v>
      </c>
      <c r="B1286" s="5" t="str">
        <f t="shared" si="60"/>
        <v>August</v>
      </c>
      <c r="C1286" s="5" t="s">
        <v>17</v>
      </c>
      <c r="D1286" s="5" t="s">
        <v>25</v>
      </c>
      <c r="E1286" s="5">
        <v>8</v>
      </c>
      <c r="F1286" s="5">
        <v>28.34</v>
      </c>
      <c r="G1286" s="6">
        <f t="shared" si="61"/>
        <v>226.72</v>
      </c>
      <c r="H1286" s="5" t="s">
        <v>77</v>
      </c>
      <c r="I1286" s="5" t="s">
        <v>54</v>
      </c>
      <c r="J1286" s="5">
        <v>0.05</v>
      </c>
      <c r="K1286" s="5" t="s">
        <v>63</v>
      </c>
      <c r="L1286" s="6">
        <v>215.384</v>
      </c>
      <c r="M1286" s="5" t="s">
        <v>34</v>
      </c>
      <c r="N1286" s="5"/>
      <c r="O1286" s="5">
        <v>1</v>
      </c>
      <c r="P1286" s="5" t="s">
        <v>2557</v>
      </c>
      <c r="Q1286" s="5" t="s">
        <v>2558</v>
      </c>
      <c r="R1286" s="5">
        <v>23.19</v>
      </c>
      <c r="S1286" s="4">
        <v>45150</v>
      </c>
      <c r="T1286" s="4">
        <v>45157</v>
      </c>
      <c r="U1286" s="5">
        <f t="shared" si="62"/>
        <v>7</v>
      </c>
      <c r="V1286" s="5" t="s">
        <v>67</v>
      </c>
      <c r="X1286" s="5"/>
    </row>
    <row r="1287" spans="1:24">
      <c r="A1287" s="4">
        <v>45638</v>
      </c>
      <c r="B1287" s="5" t="str">
        <f t="shared" si="60"/>
        <v>December</v>
      </c>
      <c r="C1287" s="5" t="s">
        <v>20</v>
      </c>
      <c r="D1287" s="5" t="s">
        <v>27</v>
      </c>
      <c r="E1287" s="5">
        <v>17</v>
      </c>
      <c r="F1287" s="5">
        <v>495.13</v>
      </c>
      <c r="G1287" s="6">
        <f t="shared" si="61"/>
        <v>8417.21</v>
      </c>
      <c r="H1287" s="5" t="s">
        <v>81</v>
      </c>
      <c r="I1287" s="5" t="s">
        <v>54</v>
      </c>
      <c r="J1287" s="5">
        <v>0.1</v>
      </c>
      <c r="K1287" s="5" t="s">
        <v>63</v>
      </c>
      <c r="L1287" s="6">
        <v>7575.489</v>
      </c>
      <c r="M1287" s="5" t="s">
        <v>30</v>
      </c>
      <c r="N1287" s="5" t="s">
        <v>56</v>
      </c>
      <c r="O1287" s="5">
        <v>1</v>
      </c>
      <c r="P1287" s="5" t="s">
        <v>2559</v>
      </c>
      <c r="Q1287" s="5" t="s">
        <v>2560</v>
      </c>
      <c r="R1287" s="5">
        <v>26.37</v>
      </c>
      <c r="S1287" s="4">
        <v>45638</v>
      </c>
      <c r="T1287" s="4">
        <v>45647</v>
      </c>
      <c r="U1287" s="5">
        <f t="shared" si="62"/>
        <v>9</v>
      </c>
      <c r="V1287" s="5" t="s">
        <v>94</v>
      </c>
      <c r="X1287" s="5"/>
    </row>
    <row r="1288" spans="1:24">
      <c r="A1288" s="4">
        <v>45784</v>
      </c>
      <c r="B1288" s="5" t="str">
        <f t="shared" si="60"/>
        <v>May</v>
      </c>
      <c r="C1288" s="5" t="s">
        <v>20</v>
      </c>
      <c r="D1288" s="5" t="s">
        <v>23</v>
      </c>
      <c r="E1288" s="5">
        <v>14</v>
      </c>
      <c r="F1288" s="5">
        <v>142.05</v>
      </c>
      <c r="G1288" s="6">
        <f t="shared" si="61"/>
        <v>1988.7</v>
      </c>
      <c r="H1288" s="5" t="s">
        <v>81</v>
      </c>
      <c r="I1288" s="5" t="s">
        <v>62</v>
      </c>
      <c r="J1288" s="5">
        <v>0.05</v>
      </c>
      <c r="K1288" s="5" t="s">
        <v>73</v>
      </c>
      <c r="L1288" s="6">
        <v>1889.265</v>
      </c>
      <c r="M1288" s="5" t="s">
        <v>31</v>
      </c>
      <c r="N1288" s="5" t="s">
        <v>64</v>
      </c>
      <c r="O1288" s="5">
        <v>0</v>
      </c>
      <c r="P1288" s="5" t="s">
        <v>2561</v>
      </c>
      <c r="Q1288" s="5" t="s">
        <v>2562</v>
      </c>
      <c r="R1288" s="5">
        <v>33.65</v>
      </c>
      <c r="S1288" s="4">
        <v>45784</v>
      </c>
      <c r="T1288" s="4">
        <v>45790</v>
      </c>
      <c r="U1288" s="5">
        <f t="shared" si="62"/>
        <v>6</v>
      </c>
      <c r="V1288" s="5" t="s">
        <v>94</v>
      </c>
      <c r="X1288" s="5"/>
    </row>
    <row r="1289" spans="1:24">
      <c r="A1289" s="4">
        <v>45726</v>
      </c>
      <c r="B1289" s="5" t="str">
        <f t="shared" si="60"/>
        <v>March</v>
      </c>
      <c r="C1289" s="5" t="s">
        <v>16</v>
      </c>
      <c r="D1289" s="5" t="s">
        <v>25</v>
      </c>
      <c r="E1289" s="5">
        <v>16</v>
      </c>
      <c r="F1289" s="5">
        <v>504.36</v>
      </c>
      <c r="G1289" s="6">
        <f t="shared" si="61"/>
        <v>8069.76</v>
      </c>
      <c r="H1289" s="5" t="s">
        <v>81</v>
      </c>
      <c r="I1289" s="5" t="s">
        <v>54</v>
      </c>
      <c r="J1289" s="5">
        <v>0</v>
      </c>
      <c r="K1289" s="5" t="s">
        <v>89</v>
      </c>
      <c r="L1289" s="6">
        <v>8069.76</v>
      </c>
      <c r="M1289" s="5" t="s">
        <v>33</v>
      </c>
      <c r="N1289" s="5"/>
      <c r="O1289" s="5">
        <v>1</v>
      </c>
      <c r="P1289" s="5" t="s">
        <v>2563</v>
      </c>
      <c r="Q1289" s="5" t="s">
        <v>581</v>
      </c>
      <c r="R1289" s="5">
        <v>11.67</v>
      </c>
      <c r="S1289" s="4">
        <v>45726</v>
      </c>
      <c r="T1289" s="4">
        <v>45729</v>
      </c>
      <c r="U1289" s="5">
        <f t="shared" si="62"/>
        <v>3</v>
      </c>
      <c r="V1289" s="5" t="s">
        <v>59</v>
      </c>
      <c r="X1289" s="5"/>
    </row>
    <row r="1290" spans="1:24">
      <c r="A1290" s="4">
        <v>45809</v>
      </c>
      <c r="B1290" s="5" t="str">
        <f t="shared" si="60"/>
        <v>June</v>
      </c>
      <c r="C1290" s="5" t="s">
        <v>16</v>
      </c>
      <c r="D1290" s="5" t="s">
        <v>24</v>
      </c>
      <c r="E1290" s="5">
        <v>7</v>
      </c>
      <c r="F1290" s="5">
        <v>122.2</v>
      </c>
      <c r="G1290" s="6">
        <f t="shared" si="61"/>
        <v>855.4</v>
      </c>
      <c r="H1290" s="5" t="s">
        <v>53</v>
      </c>
      <c r="I1290" s="5" t="s">
        <v>62</v>
      </c>
      <c r="J1290" s="5">
        <v>0</v>
      </c>
      <c r="K1290" s="5" t="s">
        <v>78</v>
      </c>
      <c r="L1290" s="6">
        <v>855.4</v>
      </c>
      <c r="M1290" s="5" t="s">
        <v>32</v>
      </c>
      <c r="N1290" s="5"/>
      <c r="O1290" s="5">
        <v>0</v>
      </c>
      <c r="P1290" s="5" t="s">
        <v>2564</v>
      </c>
      <c r="Q1290" s="5" t="s">
        <v>2565</v>
      </c>
      <c r="R1290" s="5">
        <v>30.21</v>
      </c>
      <c r="S1290" s="4">
        <v>45809</v>
      </c>
      <c r="T1290" s="4">
        <v>45818</v>
      </c>
      <c r="U1290" s="5">
        <f t="shared" si="62"/>
        <v>9</v>
      </c>
      <c r="V1290" s="5" t="s">
        <v>59</v>
      </c>
      <c r="X1290" s="5"/>
    </row>
    <row r="1291" spans="1:24">
      <c r="A1291" s="4">
        <v>45796</v>
      </c>
      <c r="B1291" s="5" t="str">
        <f t="shared" si="60"/>
        <v>May</v>
      </c>
      <c r="C1291" s="5" t="s">
        <v>20</v>
      </c>
      <c r="D1291" s="5" t="s">
        <v>25</v>
      </c>
      <c r="E1291" s="5">
        <v>7</v>
      </c>
      <c r="F1291" s="5">
        <v>338.42</v>
      </c>
      <c r="G1291" s="6">
        <f t="shared" si="61"/>
        <v>2368.94</v>
      </c>
      <c r="H1291" s="5" t="s">
        <v>53</v>
      </c>
      <c r="I1291" s="5" t="s">
        <v>62</v>
      </c>
      <c r="J1291" s="5">
        <v>0.15</v>
      </c>
      <c r="K1291" s="5" t="s">
        <v>63</v>
      </c>
      <c r="L1291" s="6">
        <v>2013.599</v>
      </c>
      <c r="M1291" s="5" t="s">
        <v>30</v>
      </c>
      <c r="N1291" s="5" t="s">
        <v>56</v>
      </c>
      <c r="O1291" s="5">
        <v>0</v>
      </c>
      <c r="P1291" s="5" t="s">
        <v>2566</v>
      </c>
      <c r="Q1291" s="5" t="s">
        <v>2567</v>
      </c>
      <c r="R1291" s="5">
        <v>5.82</v>
      </c>
      <c r="S1291" s="4">
        <v>45796</v>
      </c>
      <c r="T1291" s="4">
        <v>45798</v>
      </c>
      <c r="U1291" s="5">
        <f t="shared" si="62"/>
        <v>2</v>
      </c>
      <c r="V1291" s="5" t="s">
        <v>94</v>
      </c>
      <c r="X1291" s="5"/>
    </row>
    <row r="1292" spans="1:24">
      <c r="A1292" s="4">
        <v>44965</v>
      </c>
      <c r="B1292" s="5" t="str">
        <f t="shared" si="60"/>
        <v>February</v>
      </c>
      <c r="C1292" s="5" t="s">
        <v>16</v>
      </c>
      <c r="D1292" s="5" t="s">
        <v>101</v>
      </c>
      <c r="E1292" s="5">
        <v>4</v>
      </c>
      <c r="F1292" s="5">
        <v>224.75</v>
      </c>
      <c r="G1292" s="6">
        <f t="shared" si="61"/>
        <v>899</v>
      </c>
      <c r="H1292" s="5" t="s">
        <v>81</v>
      </c>
      <c r="I1292" s="5" t="s">
        <v>54</v>
      </c>
      <c r="J1292" s="5">
        <v>0</v>
      </c>
      <c r="K1292" s="5" t="s">
        <v>73</v>
      </c>
      <c r="L1292" s="6">
        <v>899</v>
      </c>
      <c r="M1292" s="5" t="s">
        <v>33</v>
      </c>
      <c r="N1292" s="5"/>
      <c r="O1292" s="5">
        <v>0</v>
      </c>
      <c r="P1292" s="5" t="s">
        <v>2568</v>
      </c>
      <c r="Q1292" s="5" t="s">
        <v>2569</v>
      </c>
      <c r="R1292" s="5">
        <v>43.86</v>
      </c>
      <c r="S1292" s="4">
        <v>44965</v>
      </c>
      <c r="T1292" s="4">
        <v>44973</v>
      </c>
      <c r="U1292" s="5">
        <f t="shared" si="62"/>
        <v>8</v>
      </c>
      <c r="V1292" s="5" t="s">
        <v>59</v>
      </c>
      <c r="X1292" s="5"/>
    </row>
    <row r="1293" spans="1:24">
      <c r="A1293" s="4">
        <v>45771</v>
      </c>
      <c r="B1293" s="5" t="str">
        <f t="shared" si="60"/>
        <v>April</v>
      </c>
      <c r="C1293" s="5" t="s">
        <v>19</v>
      </c>
      <c r="D1293" s="5" t="s">
        <v>24</v>
      </c>
      <c r="E1293" s="5">
        <v>16</v>
      </c>
      <c r="F1293" s="5">
        <v>509.71</v>
      </c>
      <c r="G1293" s="6">
        <f t="shared" si="61"/>
        <v>8155.36</v>
      </c>
      <c r="H1293" s="5" t="s">
        <v>77</v>
      </c>
      <c r="I1293" s="5" t="s">
        <v>54</v>
      </c>
      <c r="J1293" s="5">
        <v>0.1</v>
      </c>
      <c r="K1293" s="5" t="s">
        <v>78</v>
      </c>
      <c r="L1293" s="6">
        <v>7339.824</v>
      </c>
      <c r="M1293" s="5" t="s">
        <v>34</v>
      </c>
      <c r="N1293" s="5"/>
      <c r="O1293" s="5">
        <v>0</v>
      </c>
      <c r="P1293" s="5" t="s">
        <v>2570</v>
      </c>
      <c r="Q1293" s="5" t="s">
        <v>2571</v>
      </c>
      <c r="R1293" s="5">
        <v>41.78</v>
      </c>
      <c r="S1293" s="4">
        <v>45771</v>
      </c>
      <c r="T1293" s="4">
        <v>45780</v>
      </c>
      <c r="U1293" s="5">
        <f t="shared" si="62"/>
        <v>9</v>
      </c>
      <c r="V1293" s="5" t="s">
        <v>76</v>
      </c>
      <c r="X1293" s="5"/>
    </row>
    <row r="1294" spans="1:24">
      <c r="A1294" s="4">
        <v>45536</v>
      </c>
      <c r="B1294" s="5" t="str">
        <f t="shared" si="60"/>
        <v>September</v>
      </c>
      <c r="C1294" s="5" t="s">
        <v>18</v>
      </c>
      <c r="D1294" s="5" t="s">
        <v>101</v>
      </c>
      <c r="E1294" s="5">
        <v>14</v>
      </c>
      <c r="F1294" s="5">
        <v>297.56</v>
      </c>
      <c r="G1294" s="6">
        <f t="shared" si="61"/>
        <v>4165.84</v>
      </c>
      <c r="H1294" s="5" t="s">
        <v>53</v>
      </c>
      <c r="I1294" s="5" t="s">
        <v>54</v>
      </c>
      <c r="J1294" s="5">
        <v>0.1</v>
      </c>
      <c r="K1294" s="5" t="s">
        <v>82</v>
      </c>
      <c r="L1294" s="6">
        <v>3749.256</v>
      </c>
      <c r="M1294" s="5" t="s">
        <v>33</v>
      </c>
      <c r="N1294" s="5" t="s">
        <v>56</v>
      </c>
      <c r="O1294" s="5">
        <v>0</v>
      </c>
      <c r="P1294" s="5" t="s">
        <v>2572</v>
      </c>
      <c r="Q1294" s="5" t="s">
        <v>2573</v>
      </c>
      <c r="R1294" s="5">
        <v>31.44</v>
      </c>
      <c r="S1294" s="4">
        <v>45536</v>
      </c>
      <c r="T1294" s="4">
        <v>45543</v>
      </c>
      <c r="U1294" s="5">
        <f t="shared" si="62"/>
        <v>7</v>
      </c>
      <c r="V1294" s="5" t="s">
        <v>72</v>
      </c>
      <c r="X1294" s="5"/>
    </row>
    <row r="1295" spans="1:24">
      <c r="A1295" s="4">
        <v>45603</v>
      </c>
      <c r="B1295" s="5" t="str">
        <f t="shared" si="60"/>
        <v>November</v>
      </c>
      <c r="C1295" s="5" t="s">
        <v>19</v>
      </c>
      <c r="D1295" s="5" t="s">
        <v>27</v>
      </c>
      <c r="E1295" s="5">
        <v>13</v>
      </c>
      <c r="F1295" s="5">
        <v>365.11</v>
      </c>
      <c r="G1295" s="6">
        <f t="shared" si="61"/>
        <v>4746.43</v>
      </c>
      <c r="H1295" s="5" t="s">
        <v>77</v>
      </c>
      <c r="I1295" s="5" t="s">
        <v>62</v>
      </c>
      <c r="J1295" s="5">
        <v>0.05</v>
      </c>
      <c r="K1295" s="5" t="s">
        <v>82</v>
      </c>
      <c r="L1295" s="6">
        <v>4509.1085</v>
      </c>
      <c r="M1295" s="5" t="s">
        <v>30</v>
      </c>
      <c r="N1295" s="5"/>
      <c r="O1295" s="5">
        <v>0</v>
      </c>
      <c r="P1295" s="5" t="s">
        <v>2574</v>
      </c>
      <c r="Q1295" s="5" t="s">
        <v>2575</v>
      </c>
      <c r="R1295" s="5">
        <v>13.97</v>
      </c>
      <c r="S1295" s="4">
        <v>45603</v>
      </c>
      <c r="T1295" s="4">
        <v>45609</v>
      </c>
      <c r="U1295" s="5">
        <f t="shared" si="62"/>
        <v>6</v>
      </c>
      <c r="V1295" s="5" t="s">
        <v>76</v>
      </c>
      <c r="X1295" s="5"/>
    </row>
    <row r="1296" spans="1:24">
      <c r="A1296" s="4">
        <v>45625</v>
      </c>
      <c r="B1296" s="5" t="str">
        <f t="shared" si="60"/>
        <v>November</v>
      </c>
      <c r="C1296" s="5" t="s">
        <v>16</v>
      </c>
      <c r="D1296" s="5" t="s">
        <v>25</v>
      </c>
      <c r="E1296" s="5">
        <v>1</v>
      </c>
      <c r="F1296" s="5">
        <v>139.13</v>
      </c>
      <c r="G1296" s="6">
        <f t="shared" si="61"/>
        <v>139.13</v>
      </c>
      <c r="H1296" s="5" t="s">
        <v>77</v>
      </c>
      <c r="I1296" s="5" t="s">
        <v>54</v>
      </c>
      <c r="J1296" s="5">
        <v>0</v>
      </c>
      <c r="K1296" s="5" t="s">
        <v>78</v>
      </c>
      <c r="L1296" s="6">
        <v>139.13</v>
      </c>
      <c r="M1296" s="5" t="s">
        <v>34</v>
      </c>
      <c r="N1296" s="5"/>
      <c r="O1296" s="5">
        <v>1</v>
      </c>
      <c r="P1296" s="5" t="s">
        <v>2576</v>
      </c>
      <c r="Q1296" s="5" t="s">
        <v>2577</v>
      </c>
      <c r="R1296" s="5">
        <v>35.92</v>
      </c>
      <c r="S1296" s="4">
        <v>45625</v>
      </c>
      <c r="T1296" s="4">
        <v>45628</v>
      </c>
      <c r="U1296" s="5">
        <f t="shared" si="62"/>
        <v>3</v>
      </c>
      <c r="V1296" s="5" t="s">
        <v>59</v>
      </c>
      <c r="X1296" s="5"/>
    </row>
    <row r="1297" spans="1:24">
      <c r="A1297" s="4">
        <v>45026</v>
      </c>
      <c r="B1297" s="5" t="str">
        <f t="shared" si="60"/>
        <v>April</v>
      </c>
      <c r="C1297" s="5" t="s">
        <v>20</v>
      </c>
      <c r="D1297" s="5" t="s">
        <v>25</v>
      </c>
      <c r="E1297" s="5">
        <v>6</v>
      </c>
      <c r="F1297" s="5">
        <v>543.89</v>
      </c>
      <c r="G1297" s="6">
        <f t="shared" si="61"/>
        <v>3263.34</v>
      </c>
      <c r="H1297" s="5" t="s">
        <v>77</v>
      </c>
      <c r="I1297" s="5" t="s">
        <v>62</v>
      </c>
      <c r="J1297" s="5">
        <v>0</v>
      </c>
      <c r="K1297" s="5" t="s">
        <v>89</v>
      </c>
      <c r="L1297" s="6">
        <v>3263.34</v>
      </c>
      <c r="M1297" s="5" t="s">
        <v>34</v>
      </c>
      <c r="N1297" s="5"/>
      <c r="O1297" s="5">
        <v>1</v>
      </c>
      <c r="P1297" s="5" t="s">
        <v>2578</v>
      </c>
      <c r="Q1297" s="5" t="s">
        <v>2579</v>
      </c>
      <c r="R1297" s="5">
        <v>13.19</v>
      </c>
      <c r="S1297" s="4">
        <v>45026</v>
      </c>
      <c r="T1297" s="4">
        <v>45036</v>
      </c>
      <c r="U1297" s="5">
        <f t="shared" si="62"/>
        <v>10</v>
      </c>
      <c r="V1297" s="5" t="s">
        <v>94</v>
      </c>
      <c r="X1297" s="5"/>
    </row>
    <row r="1298" spans="1:24">
      <c r="A1298" s="4">
        <v>45301</v>
      </c>
      <c r="B1298" s="5" t="str">
        <f t="shared" si="60"/>
        <v>January</v>
      </c>
      <c r="C1298" s="5" t="s">
        <v>18</v>
      </c>
      <c r="D1298" s="5" t="s">
        <v>27</v>
      </c>
      <c r="E1298" s="5">
        <v>19</v>
      </c>
      <c r="F1298" s="5">
        <v>219.7</v>
      </c>
      <c r="G1298" s="6">
        <f t="shared" si="61"/>
        <v>4174.3</v>
      </c>
      <c r="H1298" s="5" t="s">
        <v>61</v>
      </c>
      <c r="I1298" s="5" t="s">
        <v>62</v>
      </c>
      <c r="J1298" s="5">
        <v>0</v>
      </c>
      <c r="K1298" s="5" t="s">
        <v>63</v>
      </c>
      <c r="L1298" s="6">
        <v>4174.3</v>
      </c>
      <c r="M1298" s="5" t="s">
        <v>34</v>
      </c>
      <c r="N1298" s="5" t="s">
        <v>56</v>
      </c>
      <c r="O1298" s="5">
        <v>0</v>
      </c>
      <c r="P1298" s="5" t="s">
        <v>2580</v>
      </c>
      <c r="Q1298" s="5" t="s">
        <v>2581</v>
      </c>
      <c r="R1298" s="5">
        <v>15.38</v>
      </c>
      <c r="S1298" s="4">
        <v>45301</v>
      </c>
      <c r="T1298" s="4">
        <v>45307</v>
      </c>
      <c r="U1298" s="5">
        <f t="shared" si="62"/>
        <v>6</v>
      </c>
      <c r="V1298" s="5" t="s">
        <v>72</v>
      </c>
      <c r="X1298" s="5"/>
    </row>
    <row r="1299" spans="1:24">
      <c r="A1299" s="4">
        <v>45794</v>
      </c>
      <c r="B1299" s="5" t="str">
        <f t="shared" si="60"/>
        <v>May</v>
      </c>
      <c r="C1299" s="5" t="s">
        <v>17</v>
      </c>
      <c r="D1299" s="5" t="s">
        <v>23</v>
      </c>
      <c r="E1299" s="5">
        <v>6</v>
      </c>
      <c r="F1299" s="5">
        <v>94.34</v>
      </c>
      <c r="G1299" s="6">
        <f t="shared" si="61"/>
        <v>566.04</v>
      </c>
      <c r="H1299" s="5" t="s">
        <v>77</v>
      </c>
      <c r="I1299" s="5" t="s">
        <v>62</v>
      </c>
      <c r="J1299" s="5">
        <v>0.05</v>
      </c>
      <c r="K1299" s="5" t="s">
        <v>63</v>
      </c>
      <c r="L1299" s="6">
        <v>537.738</v>
      </c>
      <c r="M1299" s="5" t="s">
        <v>34</v>
      </c>
      <c r="N1299" s="5" t="s">
        <v>69</v>
      </c>
      <c r="O1299" s="5">
        <v>1</v>
      </c>
      <c r="P1299" s="5" t="s">
        <v>2582</v>
      </c>
      <c r="Q1299" s="5" t="s">
        <v>2583</v>
      </c>
      <c r="R1299" s="5">
        <v>49.26</v>
      </c>
      <c r="S1299" s="4">
        <v>45794</v>
      </c>
      <c r="T1299" s="4">
        <v>45800</v>
      </c>
      <c r="U1299" s="5">
        <f t="shared" si="62"/>
        <v>6</v>
      </c>
      <c r="V1299" s="5" t="s">
        <v>67</v>
      </c>
      <c r="X1299" s="5"/>
    </row>
    <row r="1300" spans="1:24">
      <c r="A1300" s="4">
        <v>45499</v>
      </c>
      <c r="B1300" s="5" t="str">
        <f t="shared" si="60"/>
        <v>July</v>
      </c>
      <c r="C1300" s="5" t="s">
        <v>19</v>
      </c>
      <c r="D1300" s="5" t="s">
        <v>22</v>
      </c>
      <c r="E1300" s="5">
        <v>9</v>
      </c>
      <c r="F1300" s="5">
        <v>486.58</v>
      </c>
      <c r="G1300" s="6">
        <f t="shared" si="61"/>
        <v>4379.22</v>
      </c>
      <c r="H1300" s="5" t="s">
        <v>61</v>
      </c>
      <c r="I1300" s="5" t="s">
        <v>62</v>
      </c>
      <c r="J1300" s="5">
        <v>0.15</v>
      </c>
      <c r="K1300" s="5" t="s">
        <v>63</v>
      </c>
      <c r="L1300" s="6">
        <v>3722.337</v>
      </c>
      <c r="M1300" s="5" t="s">
        <v>30</v>
      </c>
      <c r="N1300" s="5" t="s">
        <v>56</v>
      </c>
      <c r="O1300" s="5">
        <v>0</v>
      </c>
      <c r="P1300" s="5" t="s">
        <v>2584</v>
      </c>
      <c r="Q1300" s="5" t="s">
        <v>2585</v>
      </c>
      <c r="R1300" s="5">
        <v>38.72</v>
      </c>
      <c r="S1300" s="4">
        <v>45499</v>
      </c>
      <c r="T1300" s="4">
        <v>45503</v>
      </c>
      <c r="U1300" s="5">
        <f t="shared" si="62"/>
        <v>4</v>
      </c>
      <c r="V1300" s="5" t="s">
        <v>76</v>
      </c>
      <c r="X1300" s="5"/>
    </row>
    <row r="1301" spans="1:24">
      <c r="A1301" s="4">
        <v>45652</v>
      </c>
      <c r="B1301" s="5" t="str">
        <f t="shared" si="60"/>
        <v>December</v>
      </c>
      <c r="C1301" s="5" t="s">
        <v>17</v>
      </c>
      <c r="D1301" s="5" t="s">
        <v>24</v>
      </c>
      <c r="E1301" s="5">
        <v>12</v>
      </c>
      <c r="F1301" s="5">
        <v>578.86</v>
      </c>
      <c r="G1301" s="6">
        <f t="shared" si="61"/>
        <v>6946.32</v>
      </c>
      <c r="H1301" s="5" t="s">
        <v>81</v>
      </c>
      <c r="I1301" s="5" t="s">
        <v>62</v>
      </c>
      <c r="J1301" s="5">
        <v>0.15</v>
      </c>
      <c r="K1301" s="5" t="s">
        <v>73</v>
      </c>
      <c r="L1301" s="6">
        <v>5904.372</v>
      </c>
      <c r="M1301" s="5" t="s">
        <v>34</v>
      </c>
      <c r="N1301" s="5" t="s">
        <v>56</v>
      </c>
      <c r="O1301" s="5">
        <v>0</v>
      </c>
      <c r="P1301" s="5" t="s">
        <v>2586</v>
      </c>
      <c r="Q1301" s="5" t="s">
        <v>2587</v>
      </c>
      <c r="R1301" s="5">
        <v>25.84</v>
      </c>
      <c r="S1301" s="4">
        <v>45652</v>
      </c>
      <c r="T1301" s="4">
        <v>45660</v>
      </c>
      <c r="U1301" s="5">
        <f t="shared" si="62"/>
        <v>8</v>
      </c>
      <c r="V1301" s="5" t="s">
        <v>67</v>
      </c>
      <c r="X1301" s="5"/>
    </row>
    <row r="1302" spans="1:24">
      <c r="A1302" s="4">
        <v>45680</v>
      </c>
      <c r="B1302" s="5" t="str">
        <f t="shared" si="60"/>
        <v>January</v>
      </c>
      <c r="C1302" s="5" t="s">
        <v>16</v>
      </c>
      <c r="D1302" s="5" t="s">
        <v>101</v>
      </c>
      <c r="E1302" s="5">
        <v>7</v>
      </c>
      <c r="F1302" s="5">
        <v>196.88</v>
      </c>
      <c r="G1302" s="6">
        <f t="shared" si="61"/>
        <v>1378.16</v>
      </c>
      <c r="H1302" s="5" t="s">
        <v>77</v>
      </c>
      <c r="I1302" s="5" t="s">
        <v>62</v>
      </c>
      <c r="J1302" s="5">
        <v>0</v>
      </c>
      <c r="K1302" s="5" t="s">
        <v>82</v>
      </c>
      <c r="L1302" s="6">
        <v>1378.16</v>
      </c>
      <c r="M1302" s="5" t="s">
        <v>33</v>
      </c>
      <c r="N1302" s="5" t="s">
        <v>64</v>
      </c>
      <c r="O1302" s="5">
        <v>0</v>
      </c>
      <c r="P1302" s="5" t="s">
        <v>2588</v>
      </c>
      <c r="Q1302" s="5" t="s">
        <v>1136</v>
      </c>
      <c r="R1302" s="5">
        <v>44.92</v>
      </c>
      <c r="S1302" s="4">
        <v>45680</v>
      </c>
      <c r="T1302" s="4">
        <v>45688</v>
      </c>
      <c r="U1302" s="5">
        <f t="shared" si="62"/>
        <v>8</v>
      </c>
      <c r="V1302" s="5" t="s">
        <v>59</v>
      </c>
      <c r="X1302" s="5"/>
    </row>
    <row r="1303" spans="1:24">
      <c r="A1303" s="4">
        <v>45376</v>
      </c>
      <c r="B1303" s="5" t="str">
        <f t="shared" si="60"/>
        <v>March</v>
      </c>
      <c r="C1303" s="5" t="s">
        <v>17</v>
      </c>
      <c r="D1303" s="5" t="s">
        <v>23</v>
      </c>
      <c r="E1303" s="5">
        <v>7</v>
      </c>
      <c r="F1303" s="5">
        <v>446.32</v>
      </c>
      <c r="G1303" s="6">
        <f t="shared" si="61"/>
        <v>3124.24</v>
      </c>
      <c r="H1303" s="5" t="s">
        <v>53</v>
      </c>
      <c r="I1303" s="5" t="s">
        <v>54</v>
      </c>
      <c r="J1303" s="5">
        <v>0.1</v>
      </c>
      <c r="K1303" s="5" t="s">
        <v>63</v>
      </c>
      <c r="L1303" s="6">
        <v>2811.816</v>
      </c>
      <c r="M1303" s="5" t="s">
        <v>33</v>
      </c>
      <c r="N1303" s="5"/>
      <c r="O1303" s="5">
        <v>0</v>
      </c>
      <c r="P1303" s="5" t="s">
        <v>2589</v>
      </c>
      <c r="Q1303" s="5" t="s">
        <v>2590</v>
      </c>
      <c r="R1303" s="5">
        <v>47.23</v>
      </c>
      <c r="S1303" s="4">
        <v>45376</v>
      </c>
      <c r="T1303" s="4">
        <v>45383</v>
      </c>
      <c r="U1303" s="5">
        <f t="shared" si="62"/>
        <v>7</v>
      </c>
      <c r="V1303" s="5" t="s">
        <v>67</v>
      </c>
      <c r="X1303" s="5"/>
    </row>
    <row r="1304" spans="1:24">
      <c r="A1304" s="4">
        <v>45720</v>
      </c>
      <c r="B1304" s="5" t="str">
        <f t="shared" si="60"/>
        <v>March</v>
      </c>
      <c r="C1304" s="5" t="s">
        <v>19</v>
      </c>
      <c r="D1304" s="5" t="s">
        <v>101</v>
      </c>
      <c r="E1304" s="5">
        <v>11</v>
      </c>
      <c r="F1304" s="5">
        <v>447.38</v>
      </c>
      <c r="G1304" s="6">
        <f t="shared" si="61"/>
        <v>4921.18</v>
      </c>
      <c r="H1304" s="5" t="s">
        <v>81</v>
      </c>
      <c r="I1304" s="5" t="s">
        <v>54</v>
      </c>
      <c r="J1304" s="5">
        <v>0</v>
      </c>
      <c r="K1304" s="5" t="s">
        <v>63</v>
      </c>
      <c r="L1304" s="6">
        <v>4921.18</v>
      </c>
      <c r="M1304" s="5" t="s">
        <v>31</v>
      </c>
      <c r="N1304" s="5" t="s">
        <v>64</v>
      </c>
      <c r="O1304" s="5">
        <v>0</v>
      </c>
      <c r="P1304" s="5" t="s">
        <v>2591</v>
      </c>
      <c r="Q1304" s="5" t="s">
        <v>1202</v>
      </c>
      <c r="R1304" s="5">
        <v>36.72</v>
      </c>
      <c r="S1304" s="4">
        <v>45720</v>
      </c>
      <c r="T1304" s="4">
        <v>45727</v>
      </c>
      <c r="U1304" s="5">
        <f t="shared" si="62"/>
        <v>7</v>
      </c>
      <c r="V1304" s="5" t="s">
        <v>76</v>
      </c>
      <c r="X1304" s="5"/>
    </row>
    <row r="1305" spans="1:24">
      <c r="A1305" s="4">
        <v>45219</v>
      </c>
      <c r="B1305" s="5" t="str">
        <f t="shared" si="60"/>
        <v>October</v>
      </c>
      <c r="C1305" s="5" t="s">
        <v>17</v>
      </c>
      <c r="D1305" s="5" t="s">
        <v>24</v>
      </c>
      <c r="E1305" s="5">
        <v>14</v>
      </c>
      <c r="F1305" s="5">
        <v>275.34</v>
      </c>
      <c r="G1305" s="6">
        <f t="shared" si="61"/>
        <v>3854.76</v>
      </c>
      <c r="H1305" s="5" t="s">
        <v>53</v>
      </c>
      <c r="I1305" s="5" t="s">
        <v>62</v>
      </c>
      <c r="J1305" s="5">
        <v>0.1</v>
      </c>
      <c r="K1305" s="5" t="s">
        <v>78</v>
      </c>
      <c r="L1305" s="6">
        <v>3469.284</v>
      </c>
      <c r="M1305" s="5" t="s">
        <v>30</v>
      </c>
      <c r="N1305" s="5"/>
      <c r="O1305" s="5">
        <v>1</v>
      </c>
      <c r="P1305" s="5" t="s">
        <v>2592</v>
      </c>
      <c r="Q1305" s="5" t="s">
        <v>2593</v>
      </c>
      <c r="R1305" s="5">
        <v>32.8</v>
      </c>
      <c r="S1305" s="4">
        <v>45219</v>
      </c>
      <c r="T1305" s="4">
        <v>45223</v>
      </c>
      <c r="U1305" s="5">
        <f t="shared" si="62"/>
        <v>4</v>
      </c>
      <c r="V1305" s="5" t="s">
        <v>67</v>
      </c>
      <c r="X1305" s="5"/>
    </row>
    <row r="1306" spans="1:24">
      <c r="A1306" s="4">
        <v>45554</v>
      </c>
      <c r="B1306" s="5" t="str">
        <f t="shared" si="60"/>
        <v>September</v>
      </c>
      <c r="C1306" s="5" t="s">
        <v>19</v>
      </c>
      <c r="D1306" s="5" t="s">
        <v>24</v>
      </c>
      <c r="E1306" s="5">
        <v>2</v>
      </c>
      <c r="F1306" s="5">
        <v>27.64</v>
      </c>
      <c r="G1306" s="6">
        <f t="shared" si="61"/>
        <v>55.28</v>
      </c>
      <c r="H1306" s="5" t="s">
        <v>53</v>
      </c>
      <c r="I1306" s="5" t="s">
        <v>62</v>
      </c>
      <c r="J1306" s="5">
        <v>0.15</v>
      </c>
      <c r="K1306" s="5" t="s">
        <v>73</v>
      </c>
      <c r="L1306" s="6">
        <v>46.988</v>
      </c>
      <c r="M1306" s="5" t="s">
        <v>32</v>
      </c>
      <c r="N1306" s="5" t="s">
        <v>56</v>
      </c>
      <c r="O1306" s="5">
        <v>0</v>
      </c>
      <c r="P1306" s="5" t="s">
        <v>2594</v>
      </c>
      <c r="Q1306" s="5" t="s">
        <v>2595</v>
      </c>
      <c r="R1306" s="5">
        <v>21.73</v>
      </c>
      <c r="S1306" s="4">
        <v>45554</v>
      </c>
      <c r="T1306" s="4">
        <v>45563</v>
      </c>
      <c r="U1306" s="5">
        <f t="shared" si="62"/>
        <v>9</v>
      </c>
      <c r="V1306" s="5" t="s">
        <v>76</v>
      </c>
      <c r="X1306" s="5"/>
    </row>
    <row r="1307" spans="1:24">
      <c r="A1307" s="4">
        <v>45192</v>
      </c>
      <c r="B1307" s="5" t="str">
        <f t="shared" si="60"/>
        <v>September</v>
      </c>
      <c r="C1307" s="5" t="s">
        <v>18</v>
      </c>
      <c r="D1307" s="5" t="s">
        <v>26</v>
      </c>
      <c r="E1307" s="5">
        <v>17</v>
      </c>
      <c r="F1307" s="5">
        <v>439.3</v>
      </c>
      <c r="G1307" s="6">
        <f t="shared" si="61"/>
        <v>7468.1</v>
      </c>
      <c r="H1307" s="5" t="s">
        <v>53</v>
      </c>
      <c r="I1307" s="5" t="s">
        <v>62</v>
      </c>
      <c r="J1307" s="5">
        <v>0</v>
      </c>
      <c r="K1307" s="5" t="s">
        <v>73</v>
      </c>
      <c r="L1307" s="6">
        <v>7468.1</v>
      </c>
      <c r="M1307" s="5" t="s">
        <v>30</v>
      </c>
      <c r="N1307" s="5" t="s">
        <v>56</v>
      </c>
      <c r="O1307" s="5">
        <v>0</v>
      </c>
      <c r="P1307" s="5" t="s">
        <v>2596</v>
      </c>
      <c r="Q1307" s="5" t="s">
        <v>2597</v>
      </c>
      <c r="R1307" s="5">
        <v>12.87</v>
      </c>
      <c r="S1307" s="4">
        <v>45192</v>
      </c>
      <c r="T1307" s="4">
        <v>45195</v>
      </c>
      <c r="U1307" s="5">
        <f t="shared" si="62"/>
        <v>3</v>
      </c>
      <c r="V1307" s="5" t="s">
        <v>72</v>
      </c>
      <c r="X1307" s="5"/>
    </row>
    <row r="1308" spans="1:24">
      <c r="A1308" s="4">
        <v>45657</v>
      </c>
      <c r="B1308" s="5" t="str">
        <f t="shared" si="60"/>
        <v>December</v>
      </c>
      <c r="C1308" s="5" t="s">
        <v>16</v>
      </c>
      <c r="D1308" s="5" t="s">
        <v>27</v>
      </c>
      <c r="E1308" s="5">
        <v>15</v>
      </c>
      <c r="F1308" s="5">
        <v>573.81</v>
      </c>
      <c r="G1308" s="6">
        <f t="shared" si="61"/>
        <v>8607.15</v>
      </c>
      <c r="H1308" s="5" t="s">
        <v>77</v>
      </c>
      <c r="I1308" s="5" t="s">
        <v>62</v>
      </c>
      <c r="J1308" s="5">
        <v>0</v>
      </c>
      <c r="K1308" s="5" t="s">
        <v>63</v>
      </c>
      <c r="L1308" s="6">
        <v>8607.15</v>
      </c>
      <c r="M1308" s="5" t="s">
        <v>31</v>
      </c>
      <c r="N1308" s="5" t="s">
        <v>64</v>
      </c>
      <c r="O1308" s="5">
        <v>0</v>
      </c>
      <c r="P1308" s="5" t="s">
        <v>2598</v>
      </c>
      <c r="Q1308" s="5" t="s">
        <v>1339</v>
      </c>
      <c r="R1308" s="5">
        <v>35.87</v>
      </c>
      <c r="S1308" s="4">
        <v>45657</v>
      </c>
      <c r="T1308" s="4">
        <v>45659</v>
      </c>
      <c r="U1308" s="5">
        <f t="shared" si="62"/>
        <v>2</v>
      </c>
      <c r="V1308" s="5" t="s">
        <v>59</v>
      </c>
      <c r="X1308" s="5"/>
    </row>
    <row r="1309" spans="1:24">
      <c r="A1309" s="4">
        <v>45314</v>
      </c>
      <c r="B1309" s="5" t="str">
        <f t="shared" si="60"/>
        <v>January</v>
      </c>
      <c r="C1309" s="5" t="s">
        <v>18</v>
      </c>
      <c r="D1309" s="5" t="s">
        <v>24</v>
      </c>
      <c r="E1309" s="5">
        <v>19</v>
      </c>
      <c r="F1309" s="5">
        <v>360.06</v>
      </c>
      <c r="G1309" s="6">
        <f t="shared" si="61"/>
        <v>6841.14</v>
      </c>
      <c r="H1309" s="5" t="s">
        <v>77</v>
      </c>
      <c r="I1309" s="5" t="s">
        <v>54</v>
      </c>
      <c r="J1309" s="5">
        <v>0.05</v>
      </c>
      <c r="K1309" s="5" t="s">
        <v>55</v>
      </c>
      <c r="L1309" s="6">
        <v>6499.083</v>
      </c>
      <c r="M1309" s="5" t="s">
        <v>33</v>
      </c>
      <c r="N1309" s="5" t="s">
        <v>56</v>
      </c>
      <c r="O1309" s="5">
        <v>0</v>
      </c>
      <c r="P1309" s="5" t="s">
        <v>2599</v>
      </c>
      <c r="Q1309" s="5" t="s">
        <v>1885</v>
      </c>
      <c r="R1309" s="5">
        <v>33.19</v>
      </c>
      <c r="S1309" s="4">
        <v>45314</v>
      </c>
      <c r="T1309" s="4">
        <v>45322</v>
      </c>
      <c r="U1309" s="5">
        <f t="shared" si="62"/>
        <v>8</v>
      </c>
      <c r="V1309" s="5" t="s">
        <v>72</v>
      </c>
      <c r="X1309" s="5"/>
    </row>
    <row r="1310" spans="1:24">
      <c r="A1310" s="4">
        <v>45090</v>
      </c>
      <c r="B1310" s="5" t="str">
        <f t="shared" si="60"/>
        <v>June</v>
      </c>
      <c r="C1310" s="5" t="s">
        <v>16</v>
      </c>
      <c r="D1310" s="5" t="s">
        <v>22</v>
      </c>
      <c r="E1310" s="5">
        <v>7</v>
      </c>
      <c r="F1310" s="5">
        <v>535.2</v>
      </c>
      <c r="G1310" s="6">
        <f t="shared" si="61"/>
        <v>3746.4</v>
      </c>
      <c r="H1310" s="5" t="s">
        <v>77</v>
      </c>
      <c r="I1310" s="5" t="s">
        <v>62</v>
      </c>
      <c r="J1310" s="5">
        <v>0.1</v>
      </c>
      <c r="K1310" s="5" t="s">
        <v>73</v>
      </c>
      <c r="L1310" s="6">
        <v>3371.76</v>
      </c>
      <c r="M1310" s="5" t="s">
        <v>33</v>
      </c>
      <c r="N1310" s="5"/>
      <c r="O1310" s="5">
        <v>0</v>
      </c>
      <c r="P1310" s="5" t="s">
        <v>2600</v>
      </c>
      <c r="Q1310" s="5" t="s">
        <v>2601</v>
      </c>
      <c r="R1310" s="5">
        <v>10.44</v>
      </c>
      <c r="S1310" s="4">
        <v>45090</v>
      </c>
      <c r="T1310" s="4">
        <v>45100</v>
      </c>
      <c r="U1310" s="5">
        <f t="shared" si="62"/>
        <v>10</v>
      </c>
      <c r="V1310" s="5" t="s">
        <v>59</v>
      </c>
      <c r="X1310" s="5"/>
    </row>
    <row r="1311" spans="1:24">
      <c r="A1311" s="4">
        <v>45108</v>
      </c>
      <c r="B1311" s="5" t="str">
        <f t="shared" si="60"/>
        <v>July</v>
      </c>
      <c r="C1311" s="5" t="s">
        <v>16</v>
      </c>
      <c r="D1311" s="5" t="s">
        <v>25</v>
      </c>
      <c r="E1311" s="5">
        <v>19</v>
      </c>
      <c r="F1311" s="5">
        <v>161.13</v>
      </c>
      <c r="G1311" s="6">
        <f t="shared" si="61"/>
        <v>3061.47</v>
      </c>
      <c r="H1311" s="5" t="s">
        <v>61</v>
      </c>
      <c r="I1311" s="5" t="s">
        <v>54</v>
      </c>
      <c r="J1311" s="5">
        <v>0</v>
      </c>
      <c r="K1311" s="5" t="s">
        <v>82</v>
      </c>
      <c r="L1311" s="6">
        <v>3061.47</v>
      </c>
      <c r="M1311" s="5" t="s">
        <v>32</v>
      </c>
      <c r="N1311" s="5" t="s">
        <v>56</v>
      </c>
      <c r="O1311" s="5">
        <v>0</v>
      </c>
      <c r="P1311" s="5" t="s">
        <v>2602</v>
      </c>
      <c r="Q1311" s="5" t="s">
        <v>2603</v>
      </c>
      <c r="R1311" s="5">
        <v>5.46</v>
      </c>
      <c r="S1311" s="4">
        <v>45108</v>
      </c>
      <c r="T1311" s="4">
        <v>45113</v>
      </c>
      <c r="U1311" s="5">
        <f t="shared" si="62"/>
        <v>5</v>
      </c>
      <c r="V1311" s="5" t="s">
        <v>59</v>
      </c>
      <c r="X1311" s="5"/>
    </row>
    <row r="1312" spans="1:24">
      <c r="A1312" s="4">
        <v>45738</v>
      </c>
      <c r="B1312" s="5" t="str">
        <f t="shared" si="60"/>
        <v>March</v>
      </c>
      <c r="C1312" s="5" t="s">
        <v>17</v>
      </c>
      <c r="D1312" s="5" t="s">
        <v>22</v>
      </c>
      <c r="E1312" s="5">
        <v>11</v>
      </c>
      <c r="F1312" s="5">
        <v>29.6</v>
      </c>
      <c r="G1312" s="6">
        <f t="shared" si="61"/>
        <v>325.6</v>
      </c>
      <c r="H1312" s="5" t="s">
        <v>81</v>
      </c>
      <c r="I1312" s="5" t="s">
        <v>62</v>
      </c>
      <c r="J1312" s="5">
        <v>0.15</v>
      </c>
      <c r="K1312" s="5" t="s">
        <v>78</v>
      </c>
      <c r="L1312" s="6">
        <v>276.76</v>
      </c>
      <c r="M1312" s="5" t="s">
        <v>34</v>
      </c>
      <c r="N1312" s="5" t="s">
        <v>56</v>
      </c>
      <c r="O1312" s="5">
        <v>1</v>
      </c>
      <c r="P1312" s="5" t="s">
        <v>2604</v>
      </c>
      <c r="Q1312" s="5" t="s">
        <v>2605</v>
      </c>
      <c r="R1312" s="5">
        <v>34.96</v>
      </c>
      <c r="S1312" s="4">
        <v>45738</v>
      </c>
      <c r="T1312" s="4">
        <v>45741</v>
      </c>
      <c r="U1312" s="5">
        <f t="shared" si="62"/>
        <v>3</v>
      </c>
      <c r="V1312" s="5" t="s">
        <v>67</v>
      </c>
      <c r="X1312" s="5"/>
    </row>
    <row r="1313" spans="1:24">
      <c r="A1313" s="4">
        <v>45695</v>
      </c>
      <c r="B1313" s="5" t="str">
        <f t="shared" si="60"/>
        <v>February</v>
      </c>
      <c r="C1313" s="5" t="s">
        <v>17</v>
      </c>
      <c r="D1313" s="5" t="s">
        <v>22</v>
      </c>
      <c r="E1313" s="5">
        <v>16</v>
      </c>
      <c r="F1313" s="5">
        <v>172.89</v>
      </c>
      <c r="G1313" s="6">
        <f t="shared" si="61"/>
        <v>2766.24</v>
      </c>
      <c r="H1313" s="5" t="s">
        <v>53</v>
      </c>
      <c r="I1313" s="5" t="s">
        <v>54</v>
      </c>
      <c r="J1313" s="5">
        <v>0.15</v>
      </c>
      <c r="K1313" s="5" t="s">
        <v>82</v>
      </c>
      <c r="L1313" s="6">
        <v>2351.304</v>
      </c>
      <c r="M1313" s="5" t="s">
        <v>32</v>
      </c>
      <c r="N1313" s="5" t="s">
        <v>56</v>
      </c>
      <c r="O1313" s="5">
        <v>1</v>
      </c>
      <c r="P1313" s="5" t="s">
        <v>2606</v>
      </c>
      <c r="Q1313" s="5" t="s">
        <v>2607</v>
      </c>
      <c r="R1313" s="5">
        <v>41.87</v>
      </c>
      <c r="S1313" s="4">
        <v>45695</v>
      </c>
      <c r="T1313" s="4">
        <v>45703</v>
      </c>
      <c r="U1313" s="5">
        <f t="shared" si="62"/>
        <v>8</v>
      </c>
      <c r="V1313" s="5" t="s">
        <v>67</v>
      </c>
      <c r="X1313" s="5"/>
    </row>
    <row r="1314" spans="1:24">
      <c r="A1314" s="4">
        <v>45217</v>
      </c>
      <c r="B1314" s="5" t="str">
        <f t="shared" si="60"/>
        <v>October</v>
      </c>
      <c r="C1314" s="5" t="s">
        <v>18</v>
      </c>
      <c r="D1314" s="5" t="s">
        <v>23</v>
      </c>
      <c r="E1314" s="5">
        <v>5</v>
      </c>
      <c r="F1314" s="5">
        <v>48.06</v>
      </c>
      <c r="G1314" s="6">
        <f t="shared" si="61"/>
        <v>240.3</v>
      </c>
      <c r="H1314" s="5" t="s">
        <v>61</v>
      </c>
      <c r="I1314" s="5" t="s">
        <v>54</v>
      </c>
      <c r="J1314" s="5">
        <v>0</v>
      </c>
      <c r="K1314" s="5" t="s">
        <v>63</v>
      </c>
      <c r="L1314" s="6">
        <v>240.3</v>
      </c>
      <c r="M1314" s="5" t="s">
        <v>31</v>
      </c>
      <c r="N1314" s="5" t="s">
        <v>56</v>
      </c>
      <c r="O1314" s="5">
        <v>0</v>
      </c>
      <c r="P1314" s="5" t="s">
        <v>2608</v>
      </c>
      <c r="Q1314" s="5" t="s">
        <v>2609</v>
      </c>
      <c r="R1314" s="5">
        <v>19.17</v>
      </c>
      <c r="S1314" s="4">
        <v>45217</v>
      </c>
      <c r="T1314" s="4">
        <v>45225</v>
      </c>
      <c r="U1314" s="5">
        <f t="shared" si="62"/>
        <v>8</v>
      </c>
      <c r="V1314" s="5" t="s">
        <v>72</v>
      </c>
      <c r="X1314" s="5"/>
    </row>
    <row r="1315" spans="1:24">
      <c r="A1315" s="4">
        <v>45293</v>
      </c>
      <c r="B1315" s="5" t="str">
        <f t="shared" si="60"/>
        <v>January</v>
      </c>
      <c r="C1315" s="5" t="s">
        <v>19</v>
      </c>
      <c r="D1315" s="5" t="s">
        <v>24</v>
      </c>
      <c r="E1315" s="5">
        <v>7</v>
      </c>
      <c r="F1315" s="5">
        <v>55.76</v>
      </c>
      <c r="G1315" s="6">
        <f t="shared" si="61"/>
        <v>390.32</v>
      </c>
      <c r="H1315" s="5" t="s">
        <v>77</v>
      </c>
      <c r="I1315" s="5" t="s">
        <v>54</v>
      </c>
      <c r="J1315" s="5">
        <v>0.1</v>
      </c>
      <c r="K1315" s="5" t="s">
        <v>63</v>
      </c>
      <c r="L1315" s="6">
        <v>351.288</v>
      </c>
      <c r="M1315" s="5" t="s">
        <v>30</v>
      </c>
      <c r="N1315" s="5"/>
      <c r="O1315" s="5">
        <v>0</v>
      </c>
      <c r="P1315" s="5" t="s">
        <v>2610</v>
      </c>
      <c r="Q1315" s="5" t="s">
        <v>2611</v>
      </c>
      <c r="R1315" s="5">
        <v>38.98</v>
      </c>
      <c r="S1315" s="4">
        <v>45293</v>
      </c>
      <c r="T1315" s="4">
        <v>45302</v>
      </c>
      <c r="U1315" s="5">
        <f t="shared" si="62"/>
        <v>9</v>
      </c>
      <c r="V1315" s="5" t="s">
        <v>76</v>
      </c>
      <c r="X1315" s="5"/>
    </row>
    <row r="1316" spans="1:24">
      <c r="A1316" s="4">
        <v>45724</v>
      </c>
      <c r="B1316" s="5" t="str">
        <f t="shared" si="60"/>
        <v>March</v>
      </c>
      <c r="C1316" s="5" t="s">
        <v>17</v>
      </c>
      <c r="D1316" s="5" t="s">
        <v>22</v>
      </c>
      <c r="E1316" s="5">
        <v>4</v>
      </c>
      <c r="F1316" s="5">
        <v>24.58</v>
      </c>
      <c r="G1316" s="6">
        <f t="shared" si="61"/>
        <v>98.32</v>
      </c>
      <c r="H1316" s="5" t="s">
        <v>53</v>
      </c>
      <c r="I1316" s="5" t="s">
        <v>54</v>
      </c>
      <c r="J1316" s="5">
        <v>0.15</v>
      </c>
      <c r="K1316" s="5" t="s">
        <v>78</v>
      </c>
      <c r="L1316" s="6">
        <v>83.572</v>
      </c>
      <c r="M1316" s="5" t="s">
        <v>33</v>
      </c>
      <c r="N1316" s="5" t="s">
        <v>69</v>
      </c>
      <c r="O1316" s="5">
        <v>0</v>
      </c>
      <c r="P1316" s="5" t="s">
        <v>2612</v>
      </c>
      <c r="Q1316" s="5" t="s">
        <v>2613</v>
      </c>
      <c r="R1316" s="5">
        <v>39.87</v>
      </c>
      <c r="S1316" s="4">
        <v>45724</v>
      </c>
      <c r="T1316" s="4">
        <v>45733</v>
      </c>
      <c r="U1316" s="5">
        <f t="shared" si="62"/>
        <v>9</v>
      </c>
      <c r="V1316" s="5" t="s">
        <v>67</v>
      </c>
      <c r="X1316" s="5"/>
    </row>
    <row r="1317" spans="1:24">
      <c r="A1317" s="4">
        <v>45110</v>
      </c>
      <c r="B1317" s="5" t="str">
        <f t="shared" si="60"/>
        <v>July</v>
      </c>
      <c r="C1317" s="5" t="s">
        <v>20</v>
      </c>
      <c r="D1317" s="5" t="s">
        <v>24</v>
      </c>
      <c r="E1317" s="5">
        <v>2</v>
      </c>
      <c r="F1317" s="5">
        <v>504.82</v>
      </c>
      <c r="G1317" s="6">
        <f t="shared" si="61"/>
        <v>1009.64</v>
      </c>
      <c r="H1317" s="5" t="s">
        <v>81</v>
      </c>
      <c r="I1317" s="5" t="s">
        <v>62</v>
      </c>
      <c r="J1317" s="5">
        <v>0</v>
      </c>
      <c r="K1317" s="5" t="s">
        <v>78</v>
      </c>
      <c r="L1317" s="6">
        <v>1009.64</v>
      </c>
      <c r="M1317" s="5" t="s">
        <v>33</v>
      </c>
      <c r="N1317" s="5" t="s">
        <v>56</v>
      </c>
      <c r="O1317" s="5">
        <v>0</v>
      </c>
      <c r="P1317" s="5" t="s">
        <v>2614</v>
      </c>
      <c r="Q1317" s="5" t="s">
        <v>2615</v>
      </c>
      <c r="R1317" s="5">
        <v>25.54</v>
      </c>
      <c r="S1317" s="4">
        <v>45110</v>
      </c>
      <c r="T1317" s="4">
        <v>45115</v>
      </c>
      <c r="U1317" s="5">
        <f t="shared" si="62"/>
        <v>5</v>
      </c>
      <c r="V1317" s="5" t="s">
        <v>94</v>
      </c>
      <c r="X1317" s="5"/>
    </row>
    <row r="1318" spans="1:24">
      <c r="A1318" s="4">
        <v>45245</v>
      </c>
      <c r="B1318" s="5" t="str">
        <f t="shared" si="60"/>
        <v>November</v>
      </c>
      <c r="C1318" s="5" t="s">
        <v>18</v>
      </c>
      <c r="D1318" s="5" t="s">
        <v>101</v>
      </c>
      <c r="E1318" s="5">
        <v>17</v>
      </c>
      <c r="F1318" s="5">
        <v>275.89</v>
      </c>
      <c r="G1318" s="6">
        <f t="shared" si="61"/>
        <v>4690.13</v>
      </c>
      <c r="H1318" s="5" t="s">
        <v>53</v>
      </c>
      <c r="I1318" s="5" t="s">
        <v>54</v>
      </c>
      <c r="J1318" s="5">
        <v>0.1</v>
      </c>
      <c r="K1318" s="5" t="s">
        <v>89</v>
      </c>
      <c r="L1318" s="6">
        <v>4221.117</v>
      </c>
      <c r="M1318" s="5" t="s">
        <v>31</v>
      </c>
      <c r="N1318" s="5" t="s">
        <v>56</v>
      </c>
      <c r="O1318" s="5">
        <v>0</v>
      </c>
      <c r="P1318" s="5" t="s">
        <v>2616</v>
      </c>
      <c r="Q1318" s="5" t="s">
        <v>2617</v>
      </c>
      <c r="R1318" s="5">
        <v>15.43</v>
      </c>
      <c r="S1318" s="4">
        <v>45245</v>
      </c>
      <c r="T1318" s="4">
        <v>45252</v>
      </c>
      <c r="U1318" s="5">
        <f t="shared" si="62"/>
        <v>7</v>
      </c>
      <c r="V1318" s="5" t="s">
        <v>72</v>
      </c>
      <c r="X1318" s="5"/>
    </row>
    <row r="1319" spans="1:24">
      <c r="A1319" s="4">
        <v>45332</v>
      </c>
      <c r="B1319" s="5" t="str">
        <f t="shared" si="60"/>
        <v>February</v>
      </c>
      <c r="C1319" s="5" t="s">
        <v>20</v>
      </c>
      <c r="D1319" s="5" t="s">
        <v>24</v>
      </c>
      <c r="E1319" s="5">
        <v>9</v>
      </c>
      <c r="F1319" s="5">
        <v>130.57</v>
      </c>
      <c r="G1319" s="6">
        <f t="shared" si="61"/>
        <v>1175.13</v>
      </c>
      <c r="H1319" s="5" t="s">
        <v>77</v>
      </c>
      <c r="I1319" s="5" t="s">
        <v>54</v>
      </c>
      <c r="J1319" s="5">
        <v>0.1</v>
      </c>
      <c r="K1319" s="5" t="s">
        <v>55</v>
      </c>
      <c r="L1319" s="6">
        <v>1057.617</v>
      </c>
      <c r="M1319" s="5" t="s">
        <v>34</v>
      </c>
      <c r="N1319" s="5" t="s">
        <v>69</v>
      </c>
      <c r="O1319" s="5">
        <v>0</v>
      </c>
      <c r="P1319" s="5" t="s">
        <v>2618</v>
      </c>
      <c r="Q1319" s="5" t="s">
        <v>2619</v>
      </c>
      <c r="R1319" s="5">
        <v>37.14</v>
      </c>
      <c r="S1319" s="4">
        <v>45332</v>
      </c>
      <c r="T1319" s="4">
        <v>45339</v>
      </c>
      <c r="U1319" s="5">
        <f t="shared" si="62"/>
        <v>7</v>
      </c>
      <c r="V1319" s="5" t="s">
        <v>94</v>
      </c>
      <c r="X1319" s="5"/>
    </row>
    <row r="1320" spans="1:24">
      <c r="A1320" s="4">
        <v>45756</v>
      </c>
      <c r="B1320" s="5" t="str">
        <f t="shared" si="60"/>
        <v>April</v>
      </c>
      <c r="C1320" s="5" t="s">
        <v>20</v>
      </c>
      <c r="D1320" s="5" t="s">
        <v>26</v>
      </c>
      <c r="E1320" s="5">
        <v>12</v>
      </c>
      <c r="F1320" s="5">
        <v>312.72</v>
      </c>
      <c r="G1320" s="6">
        <f t="shared" si="61"/>
        <v>3752.64</v>
      </c>
      <c r="H1320" s="5" t="s">
        <v>77</v>
      </c>
      <c r="I1320" s="5" t="s">
        <v>62</v>
      </c>
      <c r="J1320" s="5">
        <v>0</v>
      </c>
      <c r="K1320" s="5" t="s">
        <v>55</v>
      </c>
      <c r="L1320" s="6">
        <v>3752.64</v>
      </c>
      <c r="M1320" s="5" t="s">
        <v>31</v>
      </c>
      <c r="N1320" s="5"/>
      <c r="O1320" s="5">
        <v>0</v>
      </c>
      <c r="P1320" s="5" t="s">
        <v>2620</v>
      </c>
      <c r="Q1320" s="5" t="s">
        <v>1028</v>
      </c>
      <c r="R1320" s="5">
        <v>18.46</v>
      </c>
      <c r="S1320" s="4">
        <v>45756</v>
      </c>
      <c r="T1320" s="4">
        <v>45766</v>
      </c>
      <c r="U1320" s="5">
        <f t="shared" si="62"/>
        <v>10</v>
      </c>
      <c r="V1320" s="5" t="s">
        <v>94</v>
      </c>
      <c r="X1320" s="5"/>
    </row>
    <row r="1321" spans="1:24">
      <c r="A1321" s="4">
        <v>45178</v>
      </c>
      <c r="B1321" s="5" t="str">
        <f t="shared" si="60"/>
        <v>September</v>
      </c>
      <c r="C1321" s="5" t="s">
        <v>20</v>
      </c>
      <c r="D1321" s="5" t="s">
        <v>101</v>
      </c>
      <c r="E1321" s="5">
        <v>18</v>
      </c>
      <c r="F1321" s="5">
        <v>222.66</v>
      </c>
      <c r="G1321" s="6">
        <f t="shared" si="61"/>
        <v>4007.88</v>
      </c>
      <c r="H1321" s="5" t="s">
        <v>77</v>
      </c>
      <c r="I1321" s="5" t="s">
        <v>54</v>
      </c>
      <c r="J1321" s="5">
        <v>0.05</v>
      </c>
      <c r="K1321" s="5" t="s">
        <v>63</v>
      </c>
      <c r="L1321" s="6">
        <v>3807.486</v>
      </c>
      <c r="M1321" s="5" t="s">
        <v>31</v>
      </c>
      <c r="N1321" s="5" t="s">
        <v>64</v>
      </c>
      <c r="O1321" s="5">
        <v>0</v>
      </c>
      <c r="P1321" s="5" t="s">
        <v>2621</v>
      </c>
      <c r="Q1321" s="5" t="s">
        <v>2622</v>
      </c>
      <c r="R1321" s="5">
        <v>12.91</v>
      </c>
      <c r="S1321" s="4">
        <v>45178</v>
      </c>
      <c r="T1321" s="4">
        <v>45181</v>
      </c>
      <c r="U1321" s="5">
        <f t="shared" si="62"/>
        <v>3</v>
      </c>
      <c r="V1321" s="5" t="s">
        <v>94</v>
      </c>
      <c r="X1321" s="5"/>
    </row>
    <row r="1322" spans="1:24">
      <c r="A1322" s="4">
        <v>45004</v>
      </c>
      <c r="B1322" s="5" t="str">
        <f t="shared" si="60"/>
        <v>March</v>
      </c>
      <c r="C1322" s="5" t="s">
        <v>16</v>
      </c>
      <c r="D1322" s="5" t="s">
        <v>23</v>
      </c>
      <c r="E1322" s="5">
        <v>13</v>
      </c>
      <c r="F1322" s="5">
        <v>374.05</v>
      </c>
      <c r="G1322" s="6">
        <f t="shared" si="61"/>
        <v>4862.65</v>
      </c>
      <c r="H1322" s="5" t="s">
        <v>81</v>
      </c>
      <c r="I1322" s="5" t="s">
        <v>54</v>
      </c>
      <c r="J1322" s="5">
        <v>0.05</v>
      </c>
      <c r="K1322" s="5" t="s">
        <v>82</v>
      </c>
      <c r="L1322" s="6">
        <v>4619.5175</v>
      </c>
      <c r="M1322" s="5" t="s">
        <v>33</v>
      </c>
      <c r="N1322" s="5" t="s">
        <v>56</v>
      </c>
      <c r="O1322" s="5">
        <v>0</v>
      </c>
      <c r="P1322" s="5" t="s">
        <v>2623</v>
      </c>
      <c r="Q1322" s="5" t="s">
        <v>2624</v>
      </c>
      <c r="R1322" s="5">
        <v>26.32</v>
      </c>
      <c r="S1322" s="4">
        <v>45004</v>
      </c>
      <c r="T1322" s="4">
        <v>45011</v>
      </c>
      <c r="U1322" s="5">
        <f t="shared" si="62"/>
        <v>7</v>
      </c>
      <c r="V1322" s="5" t="s">
        <v>59</v>
      </c>
      <c r="X1322" s="5"/>
    </row>
    <row r="1323" spans="1:24">
      <c r="A1323" s="4">
        <v>45657</v>
      </c>
      <c r="B1323" s="5" t="str">
        <f t="shared" si="60"/>
        <v>December</v>
      </c>
      <c r="C1323" s="5" t="s">
        <v>19</v>
      </c>
      <c r="D1323" s="5" t="s">
        <v>27</v>
      </c>
      <c r="E1323" s="5">
        <v>11</v>
      </c>
      <c r="F1323" s="5">
        <v>331.29</v>
      </c>
      <c r="G1323" s="6">
        <f t="shared" si="61"/>
        <v>3644.19</v>
      </c>
      <c r="H1323" s="5" t="s">
        <v>53</v>
      </c>
      <c r="I1323" s="5" t="s">
        <v>54</v>
      </c>
      <c r="J1323" s="5">
        <v>0.1</v>
      </c>
      <c r="K1323" s="5" t="s">
        <v>63</v>
      </c>
      <c r="L1323" s="6">
        <v>3279.771</v>
      </c>
      <c r="M1323" s="5" t="s">
        <v>32</v>
      </c>
      <c r="N1323" s="5" t="s">
        <v>69</v>
      </c>
      <c r="O1323" s="5">
        <v>0</v>
      </c>
      <c r="P1323" s="5" t="s">
        <v>2625</v>
      </c>
      <c r="Q1323" s="5" t="s">
        <v>1934</v>
      </c>
      <c r="R1323" s="5">
        <v>6.22</v>
      </c>
      <c r="S1323" s="4">
        <v>45657</v>
      </c>
      <c r="T1323" s="4">
        <v>45659</v>
      </c>
      <c r="U1323" s="5">
        <f t="shared" si="62"/>
        <v>2</v>
      </c>
      <c r="V1323" s="5" t="s">
        <v>76</v>
      </c>
      <c r="X1323" s="5"/>
    </row>
    <row r="1324" spans="1:24">
      <c r="A1324" s="4">
        <v>45254</v>
      </c>
      <c r="B1324" s="5" t="str">
        <f t="shared" si="60"/>
        <v>November</v>
      </c>
      <c r="C1324" s="5" t="s">
        <v>19</v>
      </c>
      <c r="D1324" s="5" t="s">
        <v>23</v>
      </c>
      <c r="E1324" s="5">
        <v>5</v>
      </c>
      <c r="F1324" s="5">
        <v>533.52</v>
      </c>
      <c r="G1324" s="6">
        <f t="shared" si="61"/>
        <v>2667.6</v>
      </c>
      <c r="H1324" s="5" t="s">
        <v>81</v>
      </c>
      <c r="I1324" s="5" t="s">
        <v>54</v>
      </c>
      <c r="J1324" s="5">
        <v>0</v>
      </c>
      <c r="K1324" s="5" t="s">
        <v>78</v>
      </c>
      <c r="L1324" s="6">
        <v>2667.6</v>
      </c>
      <c r="M1324" s="5" t="s">
        <v>32</v>
      </c>
      <c r="N1324" s="5" t="s">
        <v>56</v>
      </c>
      <c r="O1324" s="5">
        <v>1</v>
      </c>
      <c r="P1324" s="5" t="s">
        <v>2626</v>
      </c>
      <c r="Q1324" s="5" t="s">
        <v>2627</v>
      </c>
      <c r="R1324" s="5">
        <v>9.08</v>
      </c>
      <c r="S1324" s="4">
        <v>45254</v>
      </c>
      <c r="T1324" s="4">
        <v>45256</v>
      </c>
      <c r="U1324" s="5">
        <f t="shared" si="62"/>
        <v>2</v>
      </c>
      <c r="V1324" s="5" t="s">
        <v>76</v>
      </c>
      <c r="X1324" s="5"/>
    </row>
    <row r="1325" spans="1:24">
      <c r="A1325" s="4">
        <v>45792</v>
      </c>
      <c r="B1325" s="5" t="str">
        <f t="shared" si="60"/>
        <v>May</v>
      </c>
      <c r="C1325" s="5" t="s">
        <v>16</v>
      </c>
      <c r="D1325" s="5" t="s">
        <v>25</v>
      </c>
      <c r="E1325" s="5">
        <v>10</v>
      </c>
      <c r="F1325" s="5">
        <v>492.24</v>
      </c>
      <c r="G1325" s="6">
        <f t="shared" si="61"/>
        <v>4922.4</v>
      </c>
      <c r="H1325" s="5" t="s">
        <v>61</v>
      </c>
      <c r="I1325" s="5" t="s">
        <v>62</v>
      </c>
      <c r="J1325" s="5">
        <v>0</v>
      </c>
      <c r="K1325" s="5" t="s">
        <v>63</v>
      </c>
      <c r="L1325" s="6">
        <v>4922.4</v>
      </c>
      <c r="M1325" s="5" t="s">
        <v>31</v>
      </c>
      <c r="N1325" s="5" t="s">
        <v>69</v>
      </c>
      <c r="O1325" s="5">
        <v>0</v>
      </c>
      <c r="P1325" s="5" t="s">
        <v>2628</v>
      </c>
      <c r="Q1325" s="5" t="s">
        <v>2629</v>
      </c>
      <c r="R1325" s="5">
        <v>38.89</v>
      </c>
      <c r="S1325" s="4">
        <v>45792</v>
      </c>
      <c r="T1325" s="4">
        <v>45799</v>
      </c>
      <c r="U1325" s="5">
        <f t="shared" si="62"/>
        <v>7</v>
      </c>
      <c r="V1325" s="5" t="s">
        <v>59</v>
      </c>
      <c r="X1325" s="5"/>
    </row>
    <row r="1326" spans="1:24">
      <c r="A1326" s="4">
        <v>45753</v>
      </c>
      <c r="B1326" s="5" t="str">
        <f t="shared" si="60"/>
        <v>April</v>
      </c>
      <c r="C1326" s="5" t="s">
        <v>17</v>
      </c>
      <c r="D1326" s="5" t="s">
        <v>101</v>
      </c>
      <c r="E1326" s="5">
        <v>9</v>
      </c>
      <c r="F1326" s="5">
        <v>543.57</v>
      </c>
      <c r="G1326" s="6">
        <f t="shared" si="61"/>
        <v>4892.13</v>
      </c>
      <c r="H1326" s="5" t="s">
        <v>81</v>
      </c>
      <c r="I1326" s="5" t="s">
        <v>62</v>
      </c>
      <c r="J1326" s="5">
        <v>0.15</v>
      </c>
      <c r="K1326" s="5" t="s">
        <v>82</v>
      </c>
      <c r="L1326" s="6">
        <v>4158.3105</v>
      </c>
      <c r="M1326" s="5" t="s">
        <v>33</v>
      </c>
      <c r="N1326" s="5" t="s">
        <v>64</v>
      </c>
      <c r="O1326" s="5">
        <v>0</v>
      </c>
      <c r="P1326" s="5" t="s">
        <v>2630</v>
      </c>
      <c r="Q1326" s="5" t="s">
        <v>2631</v>
      </c>
      <c r="R1326" s="5">
        <v>7.54</v>
      </c>
      <c r="S1326" s="4">
        <v>45753</v>
      </c>
      <c r="T1326" s="4">
        <v>45758</v>
      </c>
      <c r="U1326" s="5">
        <f t="shared" si="62"/>
        <v>5</v>
      </c>
      <c r="V1326" s="5" t="s">
        <v>67</v>
      </c>
      <c r="X1326" s="5"/>
    </row>
    <row r="1327" spans="1:24">
      <c r="A1327" s="4">
        <v>45328</v>
      </c>
      <c r="B1327" s="5" t="str">
        <f t="shared" si="60"/>
        <v>February</v>
      </c>
      <c r="C1327" s="5" t="s">
        <v>17</v>
      </c>
      <c r="D1327" s="5" t="s">
        <v>24</v>
      </c>
      <c r="E1327" s="5">
        <v>17</v>
      </c>
      <c r="F1327" s="5">
        <v>141.76</v>
      </c>
      <c r="G1327" s="6">
        <f t="shared" si="61"/>
        <v>2409.92</v>
      </c>
      <c r="H1327" s="5" t="s">
        <v>81</v>
      </c>
      <c r="I1327" s="5" t="s">
        <v>54</v>
      </c>
      <c r="J1327" s="5">
        <v>0.1</v>
      </c>
      <c r="K1327" s="5" t="s">
        <v>89</v>
      </c>
      <c r="L1327" s="6">
        <v>2168.928</v>
      </c>
      <c r="M1327" s="5" t="s">
        <v>34</v>
      </c>
      <c r="N1327" s="5" t="s">
        <v>69</v>
      </c>
      <c r="O1327" s="5">
        <v>1</v>
      </c>
      <c r="P1327" s="5" t="s">
        <v>2632</v>
      </c>
      <c r="Q1327" s="5" t="s">
        <v>2633</v>
      </c>
      <c r="R1327" s="5">
        <v>9.98</v>
      </c>
      <c r="S1327" s="4">
        <v>45328</v>
      </c>
      <c r="T1327" s="4">
        <v>45336</v>
      </c>
      <c r="U1327" s="5">
        <f t="shared" si="62"/>
        <v>8</v>
      </c>
      <c r="V1327" s="5" t="s">
        <v>67</v>
      </c>
      <c r="X1327" s="5"/>
    </row>
    <row r="1328" spans="1:24">
      <c r="A1328" s="4">
        <v>45791</v>
      </c>
      <c r="B1328" s="5" t="str">
        <f t="shared" si="60"/>
        <v>May</v>
      </c>
      <c r="C1328" s="5" t="s">
        <v>18</v>
      </c>
      <c r="D1328" s="5" t="s">
        <v>22</v>
      </c>
      <c r="E1328" s="5">
        <v>12</v>
      </c>
      <c r="F1328" s="5">
        <v>502.7</v>
      </c>
      <c r="G1328" s="6">
        <f t="shared" si="61"/>
        <v>6032.4</v>
      </c>
      <c r="H1328" s="5" t="s">
        <v>81</v>
      </c>
      <c r="I1328" s="5" t="s">
        <v>54</v>
      </c>
      <c r="J1328" s="5">
        <v>0.1</v>
      </c>
      <c r="K1328" s="5" t="s">
        <v>63</v>
      </c>
      <c r="L1328" s="6">
        <v>5429.16</v>
      </c>
      <c r="M1328" s="5" t="s">
        <v>32</v>
      </c>
      <c r="N1328" s="5" t="s">
        <v>56</v>
      </c>
      <c r="O1328" s="5">
        <v>0</v>
      </c>
      <c r="P1328" s="5" t="s">
        <v>2634</v>
      </c>
      <c r="Q1328" s="5" t="s">
        <v>2635</v>
      </c>
      <c r="R1328" s="5">
        <v>6.49</v>
      </c>
      <c r="S1328" s="4">
        <v>45791</v>
      </c>
      <c r="T1328" s="4">
        <v>45797</v>
      </c>
      <c r="U1328" s="5">
        <f t="shared" si="62"/>
        <v>6</v>
      </c>
      <c r="V1328" s="5" t="s">
        <v>72</v>
      </c>
      <c r="X1328" s="5"/>
    </row>
    <row r="1329" spans="1:24">
      <c r="A1329" s="4">
        <v>44939</v>
      </c>
      <c r="B1329" s="5" t="str">
        <f t="shared" si="60"/>
        <v>January</v>
      </c>
      <c r="C1329" s="5" t="s">
        <v>16</v>
      </c>
      <c r="D1329" s="5" t="s">
        <v>101</v>
      </c>
      <c r="E1329" s="5">
        <v>10</v>
      </c>
      <c r="F1329" s="5">
        <v>155.43</v>
      </c>
      <c r="G1329" s="6">
        <f t="shared" si="61"/>
        <v>1554.3</v>
      </c>
      <c r="H1329" s="5" t="s">
        <v>81</v>
      </c>
      <c r="I1329" s="5" t="s">
        <v>54</v>
      </c>
      <c r="J1329" s="5">
        <v>0.05</v>
      </c>
      <c r="K1329" s="5" t="s">
        <v>73</v>
      </c>
      <c r="L1329" s="6">
        <v>1476.585</v>
      </c>
      <c r="M1329" s="5" t="s">
        <v>31</v>
      </c>
      <c r="N1329" s="5" t="s">
        <v>69</v>
      </c>
      <c r="O1329" s="5">
        <v>0</v>
      </c>
      <c r="P1329" s="5" t="s">
        <v>2636</v>
      </c>
      <c r="Q1329" s="5" t="s">
        <v>2637</v>
      </c>
      <c r="R1329" s="5">
        <v>26.49</v>
      </c>
      <c r="S1329" s="4">
        <v>44939</v>
      </c>
      <c r="T1329" s="4">
        <v>44944</v>
      </c>
      <c r="U1329" s="5">
        <f t="shared" si="62"/>
        <v>5</v>
      </c>
      <c r="V1329" s="5" t="s">
        <v>59</v>
      </c>
      <c r="X1329" s="5"/>
    </row>
    <row r="1330" spans="1:24">
      <c r="A1330" s="4">
        <v>45341</v>
      </c>
      <c r="B1330" s="5" t="str">
        <f t="shared" si="60"/>
        <v>February</v>
      </c>
      <c r="C1330" s="5" t="s">
        <v>18</v>
      </c>
      <c r="D1330" s="5" t="s">
        <v>101</v>
      </c>
      <c r="E1330" s="5">
        <v>18</v>
      </c>
      <c r="F1330" s="5">
        <v>203.73</v>
      </c>
      <c r="G1330" s="6">
        <f t="shared" si="61"/>
        <v>3667.14</v>
      </c>
      <c r="H1330" s="5" t="s">
        <v>53</v>
      </c>
      <c r="I1330" s="5" t="s">
        <v>54</v>
      </c>
      <c r="J1330" s="5">
        <v>0</v>
      </c>
      <c r="K1330" s="5" t="s">
        <v>78</v>
      </c>
      <c r="L1330" s="6">
        <v>3667.14</v>
      </c>
      <c r="M1330" s="5" t="s">
        <v>31</v>
      </c>
      <c r="N1330" s="5" t="s">
        <v>64</v>
      </c>
      <c r="O1330" s="5">
        <v>1</v>
      </c>
      <c r="P1330" s="5" t="s">
        <v>2638</v>
      </c>
      <c r="Q1330" s="5" t="s">
        <v>2639</v>
      </c>
      <c r="R1330" s="5">
        <v>24.98</v>
      </c>
      <c r="S1330" s="4">
        <v>45341</v>
      </c>
      <c r="T1330" s="4">
        <v>45350</v>
      </c>
      <c r="U1330" s="5">
        <f t="shared" si="62"/>
        <v>9</v>
      </c>
      <c r="V1330" s="5" t="s">
        <v>72</v>
      </c>
      <c r="X1330" s="5"/>
    </row>
    <row r="1331" spans="1:24">
      <c r="A1331" s="4">
        <v>45206</v>
      </c>
      <c r="B1331" s="5" t="str">
        <f t="shared" si="60"/>
        <v>October</v>
      </c>
      <c r="C1331" s="5" t="s">
        <v>17</v>
      </c>
      <c r="D1331" s="5" t="s">
        <v>23</v>
      </c>
      <c r="E1331" s="5">
        <v>3</v>
      </c>
      <c r="F1331" s="5">
        <v>464.11</v>
      </c>
      <c r="G1331" s="6">
        <f t="shared" si="61"/>
        <v>1392.33</v>
      </c>
      <c r="H1331" s="5" t="s">
        <v>53</v>
      </c>
      <c r="I1331" s="5" t="s">
        <v>54</v>
      </c>
      <c r="J1331" s="5">
        <v>0.15</v>
      </c>
      <c r="K1331" s="5" t="s">
        <v>63</v>
      </c>
      <c r="L1331" s="6">
        <v>1183.4805</v>
      </c>
      <c r="M1331" s="5" t="s">
        <v>31</v>
      </c>
      <c r="N1331" s="5"/>
      <c r="O1331" s="5">
        <v>0</v>
      </c>
      <c r="P1331" s="5" t="s">
        <v>2640</v>
      </c>
      <c r="Q1331" s="5" t="s">
        <v>2641</v>
      </c>
      <c r="R1331" s="5">
        <v>27.45</v>
      </c>
      <c r="S1331" s="4">
        <v>45206</v>
      </c>
      <c r="T1331" s="4">
        <v>45211</v>
      </c>
      <c r="U1331" s="5">
        <f t="shared" si="62"/>
        <v>5</v>
      </c>
      <c r="V1331" s="5" t="s">
        <v>67</v>
      </c>
      <c r="X1331" s="5"/>
    </row>
    <row r="1332" spans="1:24">
      <c r="A1332" s="4">
        <v>45552</v>
      </c>
      <c r="B1332" s="5" t="str">
        <f t="shared" si="60"/>
        <v>September</v>
      </c>
      <c r="C1332" s="5" t="s">
        <v>19</v>
      </c>
      <c r="D1332" s="5" t="s">
        <v>25</v>
      </c>
      <c r="E1332" s="5">
        <v>2</v>
      </c>
      <c r="F1332" s="5">
        <v>442.03</v>
      </c>
      <c r="G1332" s="6">
        <f t="shared" si="61"/>
        <v>884.06</v>
      </c>
      <c r="H1332" s="5" t="s">
        <v>53</v>
      </c>
      <c r="I1332" s="5" t="s">
        <v>62</v>
      </c>
      <c r="J1332" s="5">
        <v>0.15</v>
      </c>
      <c r="K1332" s="5" t="s">
        <v>78</v>
      </c>
      <c r="L1332" s="6">
        <v>751.451</v>
      </c>
      <c r="M1332" s="5" t="s">
        <v>33</v>
      </c>
      <c r="N1332" s="5" t="s">
        <v>69</v>
      </c>
      <c r="O1332" s="5">
        <v>0</v>
      </c>
      <c r="P1332" s="5" t="s">
        <v>2642</v>
      </c>
      <c r="Q1332" s="5" t="s">
        <v>2643</v>
      </c>
      <c r="R1332" s="5">
        <v>28.71</v>
      </c>
      <c r="S1332" s="4">
        <v>45552</v>
      </c>
      <c r="T1332" s="4">
        <v>45554</v>
      </c>
      <c r="U1332" s="5">
        <f t="shared" si="62"/>
        <v>2</v>
      </c>
      <c r="V1332" s="5" t="s">
        <v>76</v>
      </c>
      <c r="X1332" s="5"/>
    </row>
    <row r="1333" spans="1:24">
      <c r="A1333" s="4">
        <v>45053</v>
      </c>
      <c r="B1333" s="5" t="str">
        <f t="shared" si="60"/>
        <v>May</v>
      </c>
      <c r="C1333" s="5" t="s">
        <v>18</v>
      </c>
      <c r="D1333" s="5" t="s">
        <v>23</v>
      </c>
      <c r="E1333" s="5">
        <v>7</v>
      </c>
      <c r="F1333" s="5">
        <v>82.91</v>
      </c>
      <c r="G1333" s="6">
        <f t="shared" si="61"/>
        <v>580.37</v>
      </c>
      <c r="H1333" s="5" t="s">
        <v>61</v>
      </c>
      <c r="I1333" s="5" t="s">
        <v>62</v>
      </c>
      <c r="J1333" s="5">
        <v>0.05</v>
      </c>
      <c r="K1333" s="5" t="s">
        <v>55</v>
      </c>
      <c r="L1333" s="6">
        <v>551.3515</v>
      </c>
      <c r="M1333" s="5" t="s">
        <v>33</v>
      </c>
      <c r="N1333" s="5" t="s">
        <v>69</v>
      </c>
      <c r="O1333" s="5">
        <v>1</v>
      </c>
      <c r="P1333" s="5" t="s">
        <v>2644</v>
      </c>
      <c r="Q1333" s="5" t="s">
        <v>2645</v>
      </c>
      <c r="R1333" s="5">
        <v>17.03</v>
      </c>
      <c r="S1333" s="4">
        <v>45053</v>
      </c>
      <c r="T1333" s="4">
        <v>45063</v>
      </c>
      <c r="U1333" s="5">
        <f t="shared" si="62"/>
        <v>10</v>
      </c>
      <c r="V1333" s="5" t="s">
        <v>72</v>
      </c>
      <c r="X1333" s="5"/>
    </row>
    <row r="1334" spans="1:24">
      <c r="A1334" s="4">
        <v>45272</v>
      </c>
      <c r="B1334" s="5" t="str">
        <f t="shared" si="60"/>
        <v>December</v>
      </c>
      <c r="C1334" s="5" t="s">
        <v>18</v>
      </c>
      <c r="D1334" s="5" t="s">
        <v>23</v>
      </c>
      <c r="E1334" s="5">
        <v>13</v>
      </c>
      <c r="F1334" s="5">
        <v>468.16</v>
      </c>
      <c r="G1334" s="6">
        <f t="shared" si="61"/>
        <v>6086.08</v>
      </c>
      <c r="H1334" s="5" t="s">
        <v>53</v>
      </c>
      <c r="I1334" s="5" t="s">
        <v>62</v>
      </c>
      <c r="J1334" s="5">
        <v>0.15</v>
      </c>
      <c r="K1334" s="5" t="s">
        <v>63</v>
      </c>
      <c r="L1334" s="6">
        <v>5173.168</v>
      </c>
      <c r="M1334" s="5" t="s">
        <v>34</v>
      </c>
      <c r="N1334" s="5" t="s">
        <v>64</v>
      </c>
      <c r="O1334" s="5">
        <v>0</v>
      </c>
      <c r="P1334" s="5" t="s">
        <v>2646</v>
      </c>
      <c r="Q1334" s="5" t="s">
        <v>396</v>
      </c>
      <c r="R1334" s="5">
        <v>29.11</v>
      </c>
      <c r="S1334" s="4">
        <v>45272</v>
      </c>
      <c r="T1334" s="4">
        <v>45281</v>
      </c>
      <c r="U1334" s="5">
        <f t="shared" si="62"/>
        <v>9</v>
      </c>
      <c r="V1334" s="5" t="s">
        <v>72</v>
      </c>
      <c r="X1334" s="5"/>
    </row>
    <row r="1335" spans="1:24">
      <c r="A1335" s="4">
        <v>45727</v>
      </c>
      <c r="B1335" s="5" t="str">
        <f t="shared" si="60"/>
        <v>March</v>
      </c>
      <c r="C1335" s="5" t="s">
        <v>19</v>
      </c>
      <c r="D1335" s="5" t="s">
        <v>101</v>
      </c>
      <c r="E1335" s="5">
        <v>3</v>
      </c>
      <c r="F1335" s="5">
        <v>11.32</v>
      </c>
      <c r="G1335" s="6">
        <f t="shared" si="61"/>
        <v>33.96</v>
      </c>
      <c r="H1335" s="5" t="s">
        <v>77</v>
      </c>
      <c r="I1335" s="5" t="s">
        <v>62</v>
      </c>
      <c r="J1335" s="5">
        <v>0.05</v>
      </c>
      <c r="K1335" s="5" t="s">
        <v>55</v>
      </c>
      <c r="L1335" s="6">
        <v>32.262</v>
      </c>
      <c r="M1335" s="5" t="s">
        <v>30</v>
      </c>
      <c r="N1335" s="5" t="s">
        <v>69</v>
      </c>
      <c r="O1335" s="5">
        <v>0</v>
      </c>
      <c r="P1335" s="5" t="s">
        <v>2647</v>
      </c>
      <c r="Q1335" s="5" t="s">
        <v>2147</v>
      </c>
      <c r="R1335" s="5">
        <v>16.39</v>
      </c>
      <c r="S1335" s="4">
        <v>45727</v>
      </c>
      <c r="T1335" s="4">
        <v>45730</v>
      </c>
      <c r="U1335" s="5">
        <f t="shared" si="62"/>
        <v>3</v>
      </c>
      <c r="V1335" s="5" t="s">
        <v>76</v>
      </c>
      <c r="X1335" s="5"/>
    </row>
    <row r="1336" spans="1:24">
      <c r="A1336" s="4">
        <v>45380</v>
      </c>
      <c r="B1336" s="5" t="str">
        <f t="shared" si="60"/>
        <v>March</v>
      </c>
      <c r="C1336" s="5" t="s">
        <v>16</v>
      </c>
      <c r="D1336" s="5" t="s">
        <v>25</v>
      </c>
      <c r="E1336" s="5">
        <v>1</v>
      </c>
      <c r="F1336" s="5">
        <v>378.36</v>
      </c>
      <c r="G1336" s="6">
        <f t="shared" si="61"/>
        <v>378.36</v>
      </c>
      <c r="H1336" s="5" t="s">
        <v>61</v>
      </c>
      <c r="I1336" s="5" t="s">
        <v>62</v>
      </c>
      <c r="J1336" s="5">
        <v>0.05</v>
      </c>
      <c r="K1336" s="5" t="s">
        <v>55</v>
      </c>
      <c r="L1336" s="6">
        <v>359.442</v>
      </c>
      <c r="M1336" s="5" t="s">
        <v>34</v>
      </c>
      <c r="N1336" s="5"/>
      <c r="O1336" s="5">
        <v>0</v>
      </c>
      <c r="P1336" s="5" t="s">
        <v>2648</v>
      </c>
      <c r="Q1336" s="5" t="s">
        <v>2629</v>
      </c>
      <c r="R1336" s="5">
        <v>7.59</v>
      </c>
      <c r="S1336" s="4">
        <v>45380</v>
      </c>
      <c r="T1336" s="4">
        <v>45389</v>
      </c>
      <c r="U1336" s="5">
        <f t="shared" si="62"/>
        <v>9</v>
      </c>
      <c r="V1336" s="5" t="s">
        <v>59</v>
      </c>
      <c r="X1336" s="5"/>
    </row>
    <row r="1337" spans="1:24">
      <c r="A1337" s="4">
        <v>45501</v>
      </c>
      <c r="B1337" s="5" t="str">
        <f t="shared" si="60"/>
        <v>July</v>
      </c>
      <c r="C1337" s="5" t="s">
        <v>20</v>
      </c>
      <c r="D1337" s="5" t="s">
        <v>101</v>
      </c>
      <c r="E1337" s="5">
        <v>6</v>
      </c>
      <c r="F1337" s="5">
        <v>61.06</v>
      </c>
      <c r="G1337" s="6">
        <f t="shared" si="61"/>
        <v>366.36</v>
      </c>
      <c r="H1337" s="5" t="s">
        <v>81</v>
      </c>
      <c r="I1337" s="5" t="s">
        <v>54</v>
      </c>
      <c r="J1337" s="5">
        <v>0</v>
      </c>
      <c r="K1337" s="5" t="s">
        <v>89</v>
      </c>
      <c r="L1337" s="6">
        <v>366.36</v>
      </c>
      <c r="M1337" s="5" t="s">
        <v>33</v>
      </c>
      <c r="N1337" s="5" t="s">
        <v>64</v>
      </c>
      <c r="O1337" s="5">
        <v>1</v>
      </c>
      <c r="P1337" s="5" t="s">
        <v>2649</v>
      </c>
      <c r="Q1337" s="5" t="s">
        <v>2650</v>
      </c>
      <c r="R1337" s="5">
        <v>49.09</v>
      </c>
      <c r="S1337" s="4">
        <v>45501</v>
      </c>
      <c r="T1337" s="4">
        <v>45509</v>
      </c>
      <c r="U1337" s="5">
        <f t="shared" si="62"/>
        <v>8</v>
      </c>
      <c r="V1337" s="5" t="s">
        <v>94</v>
      </c>
      <c r="X1337" s="5"/>
    </row>
    <row r="1338" spans="1:24">
      <c r="A1338" s="4">
        <v>45484</v>
      </c>
      <c r="B1338" s="5" t="str">
        <f t="shared" si="60"/>
        <v>July</v>
      </c>
      <c r="C1338" s="5" t="s">
        <v>17</v>
      </c>
      <c r="D1338" s="5" t="s">
        <v>101</v>
      </c>
      <c r="E1338" s="5">
        <v>14</v>
      </c>
      <c r="F1338" s="5">
        <v>98.06</v>
      </c>
      <c r="G1338" s="6">
        <f t="shared" si="61"/>
        <v>1372.84</v>
      </c>
      <c r="H1338" s="5" t="s">
        <v>61</v>
      </c>
      <c r="I1338" s="5" t="s">
        <v>54</v>
      </c>
      <c r="J1338" s="5">
        <v>0.1</v>
      </c>
      <c r="K1338" s="5" t="s">
        <v>63</v>
      </c>
      <c r="L1338" s="6">
        <v>1235.556</v>
      </c>
      <c r="M1338" s="5" t="s">
        <v>33</v>
      </c>
      <c r="N1338" s="5" t="s">
        <v>64</v>
      </c>
      <c r="O1338" s="5">
        <v>1</v>
      </c>
      <c r="P1338" s="5" t="s">
        <v>2651</v>
      </c>
      <c r="Q1338" s="5" t="s">
        <v>2652</v>
      </c>
      <c r="R1338" s="5">
        <v>10.34</v>
      </c>
      <c r="S1338" s="4">
        <v>45484</v>
      </c>
      <c r="T1338" s="4">
        <v>45494</v>
      </c>
      <c r="U1338" s="5">
        <f t="shared" si="62"/>
        <v>10</v>
      </c>
      <c r="V1338" s="5" t="s">
        <v>67</v>
      </c>
      <c r="X1338" s="5"/>
    </row>
    <row r="1339" spans="1:24">
      <c r="A1339" s="4">
        <v>45478</v>
      </c>
      <c r="B1339" s="5" t="str">
        <f t="shared" si="60"/>
        <v>July</v>
      </c>
      <c r="C1339" s="5" t="s">
        <v>20</v>
      </c>
      <c r="D1339" s="5" t="s">
        <v>22</v>
      </c>
      <c r="E1339" s="5">
        <v>16</v>
      </c>
      <c r="F1339" s="5">
        <v>123.86</v>
      </c>
      <c r="G1339" s="6">
        <f t="shared" si="61"/>
        <v>1981.76</v>
      </c>
      <c r="H1339" s="5" t="s">
        <v>61</v>
      </c>
      <c r="I1339" s="5" t="s">
        <v>54</v>
      </c>
      <c r="J1339" s="5">
        <v>0.15</v>
      </c>
      <c r="K1339" s="5" t="s">
        <v>63</v>
      </c>
      <c r="L1339" s="6">
        <v>1684.496</v>
      </c>
      <c r="M1339" s="5" t="s">
        <v>31</v>
      </c>
      <c r="N1339" s="5"/>
      <c r="O1339" s="5">
        <v>1</v>
      </c>
      <c r="P1339" s="5" t="s">
        <v>2653</v>
      </c>
      <c r="Q1339" s="5" t="s">
        <v>2654</v>
      </c>
      <c r="R1339" s="5">
        <v>18.02</v>
      </c>
      <c r="S1339" s="4">
        <v>45478</v>
      </c>
      <c r="T1339" s="4">
        <v>45487</v>
      </c>
      <c r="U1339" s="5">
        <f t="shared" si="62"/>
        <v>9</v>
      </c>
      <c r="V1339" s="5" t="s">
        <v>94</v>
      </c>
      <c r="X1339" s="5"/>
    </row>
    <row r="1340" spans="1:24">
      <c r="A1340" s="4">
        <v>45370</v>
      </c>
      <c r="B1340" s="5" t="str">
        <f t="shared" si="60"/>
        <v>March</v>
      </c>
      <c r="C1340" s="5" t="s">
        <v>16</v>
      </c>
      <c r="D1340" s="5" t="s">
        <v>22</v>
      </c>
      <c r="E1340" s="5">
        <v>16</v>
      </c>
      <c r="F1340" s="5">
        <v>90.3</v>
      </c>
      <c r="G1340" s="6">
        <f t="shared" si="61"/>
        <v>1444.8</v>
      </c>
      <c r="H1340" s="5" t="s">
        <v>77</v>
      </c>
      <c r="I1340" s="5" t="s">
        <v>54</v>
      </c>
      <c r="J1340" s="5">
        <v>0.05</v>
      </c>
      <c r="K1340" s="5" t="s">
        <v>82</v>
      </c>
      <c r="L1340" s="6">
        <v>1372.56</v>
      </c>
      <c r="M1340" s="5" t="s">
        <v>30</v>
      </c>
      <c r="N1340" s="5" t="s">
        <v>69</v>
      </c>
      <c r="O1340" s="5">
        <v>0</v>
      </c>
      <c r="P1340" s="5" t="s">
        <v>2655</v>
      </c>
      <c r="Q1340" s="5" t="s">
        <v>2656</v>
      </c>
      <c r="R1340" s="5">
        <v>25.25</v>
      </c>
      <c r="S1340" s="4">
        <v>45370</v>
      </c>
      <c r="T1340" s="4">
        <v>45375</v>
      </c>
      <c r="U1340" s="5">
        <f t="shared" si="62"/>
        <v>5</v>
      </c>
      <c r="V1340" s="5" t="s">
        <v>59</v>
      </c>
      <c r="X1340" s="5"/>
    </row>
    <row r="1341" spans="1:24">
      <c r="A1341" s="4">
        <v>45285</v>
      </c>
      <c r="B1341" s="5" t="str">
        <f t="shared" si="60"/>
        <v>December</v>
      </c>
      <c r="C1341" s="5" t="s">
        <v>19</v>
      </c>
      <c r="D1341" s="5" t="s">
        <v>101</v>
      </c>
      <c r="E1341" s="5">
        <v>18</v>
      </c>
      <c r="F1341" s="5">
        <v>470.91</v>
      </c>
      <c r="G1341" s="6">
        <f t="shared" si="61"/>
        <v>8476.38</v>
      </c>
      <c r="H1341" s="5" t="s">
        <v>77</v>
      </c>
      <c r="I1341" s="5" t="s">
        <v>54</v>
      </c>
      <c r="J1341" s="5">
        <v>0.1</v>
      </c>
      <c r="K1341" s="5" t="s">
        <v>55</v>
      </c>
      <c r="L1341" s="6">
        <v>7628.742</v>
      </c>
      <c r="M1341" s="5" t="s">
        <v>31</v>
      </c>
      <c r="N1341" s="5" t="s">
        <v>56</v>
      </c>
      <c r="O1341" s="5">
        <v>0</v>
      </c>
      <c r="P1341" s="5" t="s">
        <v>2657</v>
      </c>
      <c r="Q1341" s="5" t="s">
        <v>2658</v>
      </c>
      <c r="R1341" s="5">
        <v>14.87</v>
      </c>
      <c r="S1341" s="4">
        <v>45285</v>
      </c>
      <c r="T1341" s="4">
        <v>45289</v>
      </c>
      <c r="U1341" s="5">
        <f t="shared" si="62"/>
        <v>4</v>
      </c>
      <c r="V1341" s="5" t="s">
        <v>76</v>
      </c>
      <c r="X1341" s="5"/>
    </row>
    <row r="1342" spans="1:24">
      <c r="A1342" s="4">
        <v>45629</v>
      </c>
      <c r="B1342" s="5" t="str">
        <f t="shared" si="60"/>
        <v>December</v>
      </c>
      <c r="C1342" s="5" t="s">
        <v>17</v>
      </c>
      <c r="D1342" s="5" t="s">
        <v>26</v>
      </c>
      <c r="E1342" s="5">
        <v>12</v>
      </c>
      <c r="F1342" s="5">
        <v>383.45</v>
      </c>
      <c r="G1342" s="6">
        <f t="shared" si="61"/>
        <v>4601.4</v>
      </c>
      <c r="H1342" s="5" t="s">
        <v>77</v>
      </c>
      <c r="I1342" s="5" t="s">
        <v>62</v>
      </c>
      <c r="J1342" s="5">
        <v>0</v>
      </c>
      <c r="K1342" s="5" t="s">
        <v>89</v>
      </c>
      <c r="L1342" s="6">
        <v>4601.4</v>
      </c>
      <c r="M1342" s="5" t="s">
        <v>33</v>
      </c>
      <c r="N1342" s="5" t="s">
        <v>56</v>
      </c>
      <c r="O1342" s="5">
        <v>0</v>
      </c>
      <c r="P1342" s="5" t="s">
        <v>2659</v>
      </c>
      <c r="Q1342" s="5" t="s">
        <v>2660</v>
      </c>
      <c r="R1342" s="5">
        <v>11.62</v>
      </c>
      <c r="S1342" s="4">
        <v>45629</v>
      </c>
      <c r="T1342" s="4">
        <v>45631</v>
      </c>
      <c r="U1342" s="5">
        <f t="shared" si="62"/>
        <v>2</v>
      </c>
      <c r="V1342" s="5" t="s">
        <v>67</v>
      </c>
      <c r="X1342" s="5"/>
    </row>
    <row r="1343" spans="1:24">
      <c r="A1343" s="4">
        <v>45177</v>
      </c>
      <c r="B1343" s="5" t="str">
        <f t="shared" si="60"/>
        <v>September</v>
      </c>
      <c r="C1343" s="5" t="s">
        <v>16</v>
      </c>
      <c r="D1343" s="5" t="s">
        <v>101</v>
      </c>
      <c r="E1343" s="5">
        <v>20</v>
      </c>
      <c r="F1343" s="5">
        <v>293.94</v>
      </c>
      <c r="G1343" s="6">
        <f t="shared" si="61"/>
        <v>5878.8</v>
      </c>
      <c r="H1343" s="5" t="s">
        <v>53</v>
      </c>
      <c r="I1343" s="5" t="s">
        <v>62</v>
      </c>
      <c r="J1343" s="5">
        <v>0.15</v>
      </c>
      <c r="K1343" s="5" t="s">
        <v>63</v>
      </c>
      <c r="L1343" s="6">
        <v>4996.98</v>
      </c>
      <c r="M1343" s="5" t="s">
        <v>32</v>
      </c>
      <c r="N1343" s="5" t="s">
        <v>64</v>
      </c>
      <c r="O1343" s="5">
        <v>0</v>
      </c>
      <c r="P1343" s="5" t="s">
        <v>2661</v>
      </c>
      <c r="Q1343" s="5" t="s">
        <v>2662</v>
      </c>
      <c r="R1343" s="5">
        <v>9.29</v>
      </c>
      <c r="S1343" s="4">
        <v>45177</v>
      </c>
      <c r="T1343" s="4">
        <v>45184</v>
      </c>
      <c r="U1343" s="5">
        <f t="shared" si="62"/>
        <v>7</v>
      </c>
      <c r="V1343" s="5" t="s">
        <v>59</v>
      </c>
      <c r="X1343" s="5"/>
    </row>
    <row r="1344" spans="1:24">
      <c r="A1344" s="4">
        <v>45296</v>
      </c>
      <c r="B1344" s="5" t="str">
        <f t="shared" si="60"/>
        <v>January</v>
      </c>
      <c r="C1344" s="5" t="s">
        <v>16</v>
      </c>
      <c r="D1344" s="5" t="s">
        <v>24</v>
      </c>
      <c r="E1344" s="5">
        <v>2</v>
      </c>
      <c r="F1344" s="5">
        <v>454.01</v>
      </c>
      <c r="G1344" s="6">
        <f t="shared" si="61"/>
        <v>908.02</v>
      </c>
      <c r="H1344" s="5" t="s">
        <v>53</v>
      </c>
      <c r="I1344" s="5" t="s">
        <v>54</v>
      </c>
      <c r="J1344" s="5">
        <v>0</v>
      </c>
      <c r="K1344" s="5" t="s">
        <v>82</v>
      </c>
      <c r="L1344" s="6">
        <v>908.02</v>
      </c>
      <c r="M1344" s="5" t="s">
        <v>30</v>
      </c>
      <c r="N1344" s="5" t="s">
        <v>69</v>
      </c>
      <c r="O1344" s="5">
        <v>0</v>
      </c>
      <c r="P1344" s="5" t="s">
        <v>2663</v>
      </c>
      <c r="Q1344" s="5" t="s">
        <v>2664</v>
      </c>
      <c r="R1344" s="5">
        <v>9.78</v>
      </c>
      <c r="S1344" s="4">
        <v>45296</v>
      </c>
      <c r="T1344" s="4">
        <v>45298</v>
      </c>
      <c r="U1344" s="5">
        <f t="shared" si="62"/>
        <v>2</v>
      </c>
      <c r="V1344" s="5" t="s">
        <v>59</v>
      </c>
      <c r="X1344" s="5"/>
    </row>
    <row r="1345" spans="1:24">
      <c r="A1345" s="4">
        <v>45141</v>
      </c>
      <c r="B1345" s="5" t="str">
        <f t="shared" si="60"/>
        <v>August</v>
      </c>
      <c r="C1345" s="5" t="s">
        <v>17</v>
      </c>
      <c r="D1345" s="5" t="s">
        <v>25</v>
      </c>
      <c r="E1345" s="5">
        <v>5</v>
      </c>
      <c r="F1345" s="5">
        <v>163.55</v>
      </c>
      <c r="G1345" s="6">
        <f t="shared" si="61"/>
        <v>817.75</v>
      </c>
      <c r="H1345" s="5" t="s">
        <v>81</v>
      </c>
      <c r="I1345" s="5" t="s">
        <v>62</v>
      </c>
      <c r="J1345" s="5">
        <v>0.05</v>
      </c>
      <c r="K1345" s="5" t="s">
        <v>73</v>
      </c>
      <c r="L1345" s="6">
        <v>776.8625</v>
      </c>
      <c r="M1345" s="5" t="s">
        <v>34</v>
      </c>
      <c r="N1345" s="5"/>
      <c r="O1345" s="5">
        <v>0</v>
      </c>
      <c r="P1345" s="5" t="s">
        <v>2665</v>
      </c>
      <c r="Q1345" s="5" t="s">
        <v>2666</v>
      </c>
      <c r="R1345" s="5">
        <v>28.9</v>
      </c>
      <c r="S1345" s="4">
        <v>45141</v>
      </c>
      <c r="T1345" s="4">
        <v>45148</v>
      </c>
      <c r="U1345" s="5">
        <f t="shared" si="62"/>
        <v>7</v>
      </c>
      <c r="V1345" s="5" t="s">
        <v>67</v>
      </c>
      <c r="X1345" s="5"/>
    </row>
    <row r="1346" spans="1:24">
      <c r="A1346" s="4">
        <v>45699</v>
      </c>
      <c r="B1346" s="5" t="str">
        <f t="shared" si="60"/>
        <v>February</v>
      </c>
      <c r="C1346" s="5" t="s">
        <v>18</v>
      </c>
      <c r="D1346" s="5" t="s">
        <v>26</v>
      </c>
      <c r="E1346" s="5">
        <v>12</v>
      </c>
      <c r="F1346" s="5">
        <v>141.61</v>
      </c>
      <c r="G1346" s="6">
        <f t="shared" si="61"/>
        <v>1699.32</v>
      </c>
      <c r="H1346" s="5" t="s">
        <v>53</v>
      </c>
      <c r="I1346" s="5" t="s">
        <v>54</v>
      </c>
      <c r="J1346" s="5">
        <v>0</v>
      </c>
      <c r="K1346" s="5" t="s">
        <v>73</v>
      </c>
      <c r="L1346" s="6">
        <v>1699.32</v>
      </c>
      <c r="M1346" s="5" t="s">
        <v>32</v>
      </c>
      <c r="N1346" s="5" t="s">
        <v>69</v>
      </c>
      <c r="O1346" s="5">
        <v>0</v>
      </c>
      <c r="P1346" s="5" t="s">
        <v>2667</v>
      </c>
      <c r="Q1346" s="5" t="s">
        <v>2668</v>
      </c>
      <c r="R1346" s="5">
        <v>11.72</v>
      </c>
      <c r="S1346" s="4">
        <v>45699</v>
      </c>
      <c r="T1346" s="4">
        <v>45709</v>
      </c>
      <c r="U1346" s="5">
        <f t="shared" si="62"/>
        <v>10</v>
      </c>
      <c r="V1346" s="5" t="s">
        <v>72</v>
      </c>
      <c r="X1346" s="5"/>
    </row>
    <row r="1347" spans="1:24">
      <c r="A1347" s="4">
        <v>45094</v>
      </c>
      <c r="B1347" s="5" t="str">
        <f t="shared" ref="B1347:B1410" si="63">TEXT(A1347,"mmmm")</f>
        <v>June</v>
      </c>
      <c r="C1347" s="5" t="s">
        <v>17</v>
      </c>
      <c r="D1347" s="5" t="s">
        <v>25</v>
      </c>
      <c r="E1347" s="5">
        <v>6</v>
      </c>
      <c r="F1347" s="5">
        <v>332.18</v>
      </c>
      <c r="G1347" s="6">
        <f t="shared" ref="G1347:G1410" si="64">F1347*E1347</f>
        <v>1993.08</v>
      </c>
      <c r="H1347" s="5" t="s">
        <v>53</v>
      </c>
      <c r="I1347" s="5" t="s">
        <v>54</v>
      </c>
      <c r="J1347" s="5">
        <v>0.1</v>
      </c>
      <c r="K1347" s="5" t="s">
        <v>89</v>
      </c>
      <c r="L1347" s="6">
        <v>1793.772</v>
      </c>
      <c r="M1347" s="5" t="s">
        <v>30</v>
      </c>
      <c r="N1347" s="5" t="s">
        <v>69</v>
      </c>
      <c r="O1347" s="5">
        <v>0</v>
      </c>
      <c r="P1347" s="5" t="s">
        <v>2669</v>
      </c>
      <c r="Q1347" s="5" t="s">
        <v>2670</v>
      </c>
      <c r="R1347" s="5">
        <v>21.95</v>
      </c>
      <c r="S1347" s="4">
        <v>45094</v>
      </c>
      <c r="T1347" s="4">
        <v>45098</v>
      </c>
      <c r="U1347" s="5">
        <f t="shared" ref="U1347:U1410" si="65">T1347-S1347</f>
        <v>4</v>
      </c>
      <c r="V1347" s="5" t="s">
        <v>67</v>
      </c>
      <c r="X1347" s="5"/>
    </row>
    <row r="1348" spans="1:24">
      <c r="A1348" s="4">
        <v>45327</v>
      </c>
      <c r="B1348" s="5" t="str">
        <f t="shared" si="63"/>
        <v>February</v>
      </c>
      <c r="C1348" s="5" t="s">
        <v>19</v>
      </c>
      <c r="D1348" s="5" t="s">
        <v>26</v>
      </c>
      <c r="E1348" s="5">
        <v>14</v>
      </c>
      <c r="F1348" s="5">
        <v>463.96</v>
      </c>
      <c r="G1348" s="6">
        <f t="shared" si="64"/>
        <v>6495.44</v>
      </c>
      <c r="H1348" s="5" t="s">
        <v>81</v>
      </c>
      <c r="I1348" s="5" t="s">
        <v>62</v>
      </c>
      <c r="J1348" s="5">
        <v>0.15</v>
      </c>
      <c r="K1348" s="5" t="s">
        <v>82</v>
      </c>
      <c r="L1348" s="6">
        <v>5521.124</v>
      </c>
      <c r="M1348" s="5" t="s">
        <v>31</v>
      </c>
      <c r="N1348" s="5"/>
      <c r="O1348" s="5">
        <v>0</v>
      </c>
      <c r="P1348" s="5" t="s">
        <v>2671</v>
      </c>
      <c r="Q1348" s="5" t="s">
        <v>2672</v>
      </c>
      <c r="R1348" s="5">
        <v>29.19</v>
      </c>
      <c r="S1348" s="4">
        <v>45327</v>
      </c>
      <c r="T1348" s="4">
        <v>45336</v>
      </c>
      <c r="U1348" s="5">
        <f t="shared" si="65"/>
        <v>9</v>
      </c>
      <c r="V1348" s="5" t="s">
        <v>76</v>
      </c>
      <c r="X1348" s="5"/>
    </row>
    <row r="1349" spans="1:24">
      <c r="A1349" s="4">
        <v>45368</v>
      </c>
      <c r="B1349" s="5" t="str">
        <f t="shared" si="63"/>
        <v>March</v>
      </c>
      <c r="C1349" s="5" t="s">
        <v>17</v>
      </c>
      <c r="D1349" s="5" t="s">
        <v>24</v>
      </c>
      <c r="E1349" s="5">
        <v>10</v>
      </c>
      <c r="F1349" s="5">
        <v>68.27</v>
      </c>
      <c r="G1349" s="6">
        <f t="shared" si="64"/>
        <v>682.7</v>
      </c>
      <c r="H1349" s="5" t="s">
        <v>61</v>
      </c>
      <c r="I1349" s="5" t="s">
        <v>54</v>
      </c>
      <c r="J1349" s="5">
        <v>0.15</v>
      </c>
      <c r="K1349" s="5" t="s">
        <v>82</v>
      </c>
      <c r="L1349" s="6">
        <v>580.295</v>
      </c>
      <c r="M1349" s="5" t="s">
        <v>32</v>
      </c>
      <c r="N1349" s="5"/>
      <c r="O1349" s="5">
        <v>0</v>
      </c>
      <c r="P1349" s="5" t="s">
        <v>2673</v>
      </c>
      <c r="Q1349" s="5" t="s">
        <v>1917</v>
      </c>
      <c r="R1349" s="5">
        <v>24.33</v>
      </c>
      <c r="S1349" s="4">
        <v>45368</v>
      </c>
      <c r="T1349" s="4">
        <v>45378</v>
      </c>
      <c r="U1349" s="5">
        <f t="shared" si="65"/>
        <v>10</v>
      </c>
      <c r="V1349" s="5" t="s">
        <v>67</v>
      </c>
      <c r="X1349" s="5"/>
    </row>
    <row r="1350" spans="1:24">
      <c r="A1350" s="4">
        <v>45325</v>
      </c>
      <c r="B1350" s="5" t="str">
        <f t="shared" si="63"/>
        <v>February</v>
      </c>
      <c r="C1350" s="5" t="s">
        <v>19</v>
      </c>
      <c r="D1350" s="5" t="s">
        <v>22</v>
      </c>
      <c r="E1350" s="5">
        <v>8</v>
      </c>
      <c r="F1350" s="5">
        <v>27.01</v>
      </c>
      <c r="G1350" s="6">
        <f t="shared" si="64"/>
        <v>216.08</v>
      </c>
      <c r="H1350" s="5" t="s">
        <v>77</v>
      </c>
      <c r="I1350" s="5" t="s">
        <v>54</v>
      </c>
      <c r="J1350" s="5">
        <v>0.05</v>
      </c>
      <c r="K1350" s="5" t="s">
        <v>55</v>
      </c>
      <c r="L1350" s="6">
        <v>205.276</v>
      </c>
      <c r="M1350" s="5" t="s">
        <v>30</v>
      </c>
      <c r="N1350" s="5" t="s">
        <v>56</v>
      </c>
      <c r="O1350" s="5">
        <v>1</v>
      </c>
      <c r="P1350" s="5" t="s">
        <v>2674</v>
      </c>
      <c r="Q1350" s="5" t="s">
        <v>2675</v>
      </c>
      <c r="R1350" s="5">
        <v>42.65</v>
      </c>
      <c r="S1350" s="4">
        <v>45325</v>
      </c>
      <c r="T1350" s="4">
        <v>45331</v>
      </c>
      <c r="U1350" s="5">
        <f t="shared" si="65"/>
        <v>6</v>
      </c>
      <c r="V1350" s="5" t="s">
        <v>76</v>
      </c>
      <c r="X1350" s="5"/>
    </row>
    <row r="1351" spans="1:24">
      <c r="A1351" s="4">
        <v>45016</v>
      </c>
      <c r="B1351" s="5" t="str">
        <f t="shared" si="63"/>
        <v>March</v>
      </c>
      <c r="C1351" s="5" t="s">
        <v>18</v>
      </c>
      <c r="D1351" s="5" t="s">
        <v>101</v>
      </c>
      <c r="E1351" s="5">
        <v>9</v>
      </c>
      <c r="F1351" s="5">
        <v>78.8</v>
      </c>
      <c r="G1351" s="6">
        <f t="shared" si="64"/>
        <v>709.2</v>
      </c>
      <c r="H1351" s="5" t="s">
        <v>81</v>
      </c>
      <c r="I1351" s="5" t="s">
        <v>62</v>
      </c>
      <c r="J1351" s="5">
        <v>0.1</v>
      </c>
      <c r="K1351" s="5" t="s">
        <v>63</v>
      </c>
      <c r="L1351" s="6">
        <v>638.28</v>
      </c>
      <c r="M1351" s="5" t="s">
        <v>30</v>
      </c>
      <c r="N1351" s="5" t="s">
        <v>56</v>
      </c>
      <c r="O1351" s="5">
        <v>0</v>
      </c>
      <c r="P1351" s="5" t="s">
        <v>2676</v>
      </c>
      <c r="Q1351" s="5" t="s">
        <v>1616</v>
      </c>
      <c r="R1351" s="5">
        <v>9.29</v>
      </c>
      <c r="S1351" s="4">
        <v>45016</v>
      </c>
      <c r="T1351" s="4">
        <v>45026</v>
      </c>
      <c r="U1351" s="5">
        <f t="shared" si="65"/>
        <v>10</v>
      </c>
      <c r="V1351" s="5" t="s">
        <v>72</v>
      </c>
      <c r="X1351" s="5"/>
    </row>
    <row r="1352" spans="1:24">
      <c r="A1352" s="4">
        <v>45156</v>
      </c>
      <c r="B1352" s="5" t="str">
        <f t="shared" si="63"/>
        <v>August</v>
      </c>
      <c r="C1352" s="5" t="s">
        <v>20</v>
      </c>
      <c r="D1352" s="5" t="s">
        <v>101</v>
      </c>
      <c r="E1352" s="5">
        <v>16</v>
      </c>
      <c r="F1352" s="5">
        <v>174.68</v>
      </c>
      <c r="G1352" s="6">
        <f t="shared" si="64"/>
        <v>2794.88</v>
      </c>
      <c r="H1352" s="5" t="s">
        <v>53</v>
      </c>
      <c r="I1352" s="5" t="s">
        <v>54</v>
      </c>
      <c r="J1352" s="5">
        <v>0.15</v>
      </c>
      <c r="K1352" s="5" t="s">
        <v>73</v>
      </c>
      <c r="L1352" s="6">
        <v>2375.648</v>
      </c>
      <c r="M1352" s="5" t="s">
        <v>32</v>
      </c>
      <c r="N1352" s="5"/>
      <c r="O1352" s="5">
        <v>0</v>
      </c>
      <c r="P1352" s="5" t="s">
        <v>2677</v>
      </c>
      <c r="Q1352" s="5" t="s">
        <v>2331</v>
      </c>
      <c r="R1352" s="5">
        <v>45.99</v>
      </c>
      <c r="S1352" s="4">
        <v>45156</v>
      </c>
      <c r="T1352" s="4">
        <v>45160</v>
      </c>
      <c r="U1352" s="5">
        <f t="shared" si="65"/>
        <v>4</v>
      </c>
      <c r="V1352" s="5" t="s">
        <v>94</v>
      </c>
      <c r="X1352" s="5"/>
    </row>
    <row r="1353" spans="1:24">
      <c r="A1353" s="4">
        <v>45179</v>
      </c>
      <c r="B1353" s="5" t="str">
        <f t="shared" si="63"/>
        <v>September</v>
      </c>
      <c r="C1353" s="5" t="s">
        <v>19</v>
      </c>
      <c r="D1353" s="5" t="s">
        <v>27</v>
      </c>
      <c r="E1353" s="5">
        <v>4</v>
      </c>
      <c r="F1353" s="5">
        <v>306.06</v>
      </c>
      <c r="G1353" s="6">
        <f t="shared" si="64"/>
        <v>1224.24</v>
      </c>
      <c r="H1353" s="5" t="s">
        <v>77</v>
      </c>
      <c r="I1353" s="5" t="s">
        <v>54</v>
      </c>
      <c r="J1353" s="5">
        <v>0.05</v>
      </c>
      <c r="K1353" s="5" t="s">
        <v>78</v>
      </c>
      <c r="L1353" s="6">
        <v>1163.028</v>
      </c>
      <c r="M1353" s="5" t="s">
        <v>31</v>
      </c>
      <c r="N1353" s="5" t="s">
        <v>64</v>
      </c>
      <c r="O1353" s="5">
        <v>1</v>
      </c>
      <c r="P1353" s="5" t="s">
        <v>2678</v>
      </c>
      <c r="Q1353" s="5" t="s">
        <v>1349</v>
      </c>
      <c r="R1353" s="5">
        <v>32.75</v>
      </c>
      <c r="S1353" s="4">
        <v>45179</v>
      </c>
      <c r="T1353" s="4">
        <v>45182</v>
      </c>
      <c r="U1353" s="5">
        <f t="shared" si="65"/>
        <v>3</v>
      </c>
      <c r="V1353" s="5" t="s">
        <v>76</v>
      </c>
      <c r="X1353" s="5"/>
    </row>
    <row r="1354" spans="1:24">
      <c r="A1354" s="4">
        <v>45320</v>
      </c>
      <c r="B1354" s="5" t="str">
        <f t="shared" si="63"/>
        <v>January</v>
      </c>
      <c r="C1354" s="5" t="s">
        <v>17</v>
      </c>
      <c r="D1354" s="5" t="s">
        <v>101</v>
      </c>
      <c r="E1354" s="5">
        <v>12</v>
      </c>
      <c r="F1354" s="5">
        <v>164.22</v>
      </c>
      <c r="G1354" s="6">
        <f t="shared" si="64"/>
        <v>1970.64</v>
      </c>
      <c r="H1354" s="5" t="s">
        <v>77</v>
      </c>
      <c r="I1354" s="5" t="s">
        <v>62</v>
      </c>
      <c r="J1354" s="5">
        <v>0</v>
      </c>
      <c r="K1354" s="5" t="s">
        <v>89</v>
      </c>
      <c r="L1354" s="6">
        <v>1970.64</v>
      </c>
      <c r="M1354" s="5" t="s">
        <v>32</v>
      </c>
      <c r="N1354" s="5" t="s">
        <v>56</v>
      </c>
      <c r="O1354" s="5">
        <v>0</v>
      </c>
      <c r="P1354" s="5" t="s">
        <v>2679</v>
      </c>
      <c r="Q1354" s="5" t="s">
        <v>2656</v>
      </c>
      <c r="R1354" s="5">
        <v>21.46</v>
      </c>
      <c r="S1354" s="4">
        <v>45320</v>
      </c>
      <c r="T1354" s="4">
        <v>45325</v>
      </c>
      <c r="U1354" s="5">
        <f t="shared" si="65"/>
        <v>5</v>
      </c>
      <c r="V1354" s="5" t="s">
        <v>67</v>
      </c>
      <c r="X1354" s="5"/>
    </row>
    <row r="1355" spans="1:24">
      <c r="A1355" s="4">
        <v>45372</v>
      </c>
      <c r="B1355" s="5" t="str">
        <f t="shared" si="63"/>
        <v>March</v>
      </c>
      <c r="C1355" s="5" t="s">
        <v>18</v>
      </c>
      <c r="D1355" s="5" t="s">
        <v>101</v>
      </c>
      <c r="E1355" s="5">
        <v>20</v>
      </c>
      <c r="F1355" s="5">
        <v>336.29</v>
      </c>
      <c r="G1355" s="6">
        <f t="shared" si="64"/>
        <v>6725.8</v>
      </c>
      <c r="H1355" s="5" t="s">
        <v>77</v>
      </c>
      <c r="I1355" s="5" t="s">
        <v>62</v>
      </c>
      <c r="J1355" s="5">
        <v>0</v>
      </c>
      <c r="K1355" s="5" t="s">
        <v>55</v>
      </c>
      <c r="L1355" s="6">
        <v>6725.8</v>
      </c>
      <c r="M1355" s="5" t="s">
        <v>31</v>
      </c>
      <c r="N1355" s="5" t="s">
        <v>56</v>
      </c>
      <c r="O1355" s="5">
        <v>0</v>
      </c>
      <c r="P1355" s="5" t="s">
        <v>2680</v>
      </c>
      <c r="Q1355" s="5" t="s">
        <v>2681</v>
      </c>
      <c r="R1355" s="5">
        <v>25.02</v>
      </c>
      <c r="S1355" s="4">
        <v>45372</v>
      </c>
      <c r="T1355" s="4">
        <v>45381</v>
      </c>
      <c r="U1355" s="5">
        <f t="shared" si="65"/>
        <v>9</v>
      </c>
      <c r="V1355" s="5" t="s">
        <v>72</v>
      </c>
      <c r="X1355" s="5"/>
    </row>
    <row r="1356" spans="1:24">
      <c r="A1356" s="4">
        <v>45507</v>
      </c>
      <c r="B1356" s="5" t="str">
        <f t="shared" si="63"/>
        <v>August</v>
      </c>
      <c r="C1356" s="5" t="s">
        <v>20</v>
      </c>
      <c r="D1356" s="5" t="s">
        <v>101</v>
      </c>
      <c r="E1356" s="5">
        <v>7</v>
      </c>
      <c r="F1356" s="5">
        <v>180.25</v>
      </c>
      <c r="G1356" s="6">
        <f t="shared" si="64"/>
        <v>1261.75</v>
      </c>
      <c r="H1356" s="5" t="s">
        <v>81</v>
      </c>
      <c r="I1356" s="5" t="s">
        <v>62</v>
      </c>
      <c r="J1356" s="5">
        <v>0.1</v>
      </c>
      <c r="K1356" s="5" t="s">
        <v>82</v>
      </c>
      <c r="L1356" s="6">
        <v>1135.575</v>
      </c>
      <c r="M1356" s="5" t="s">
        <v>31</v>
      </c>
      <c r="N1356" s="5" t="s">
        <v>69</v>
      </c>
      <c r="O1356" s="5">
        <v>0</v>
      </c>
      <c r="P1356" s="5" t="s">
        <v>2682</v>
      </c>
      <c r="Q1356" s="5" t="s">
        <v>2683</v>
      </c>
      <c r="R1356" s="5">
        <v>36.79</v>
      </c>
      <c r="S1356" s="4">
        <v>45507</v>
      </c>
      <c r="T1356" s="4">
        <v>45509</v>
      </c>
      <c r="U1356" s="5">
        <f t="shared" si="65"/>
        <v>2</v>
      </c>
      <c r="V1356" s="5" t="s">
        <v>94</v>
      </c>
      <c r="X1356" s="5"/>
    </row>
    <row r="1357" spans="1:24">
      <c r="A1357" s="4">
        <v>45782</v>
      </c>
      <c r="B1357" s="5" t="str">
        <f t="shared" si="63"/>
        <v>May</v>
      </c>
      <c r="C1357" s="5" t="s">
        <v>18</v>
      </c>
      <c r="D1357" s="5" t="s">
        <v>26</v>
      </c>
      <c r="E1357" s="5">
        <v>1</v>
      </c>
      <c r="F1357" s="5">
        <v>21.75</v>
      </c>
      <c r="G1357" s="6">
        <f t="shared" si="64"/>
        <v>21.75</v>
      </c>
      <c r="H1357" s="5" t="s">
        <v>77</v>
      </c>
      <c r="I1357" s="5" t="s">
        <v>62</v>
      </c>
      <c r="J1357" s="5">
        <v>0</v>
      </c>
      <c r="K1357" s="5" t="s">
        <v>63</v>
      </c>
      <c r="L1357" s="6">
        <v>21.75</v>
      </c>
      <c r="M1357" s="5" t="s">
        <v>34</v>
      </c>
      <c r="N1357" s="5" t="s">
        <v>56</v>
      </c>
      <c r="O1357" s="5">
        <v>0</v>
      </c>
      <c r="P1357" s="5" t="s">
        <v>2684</v>
      </c>
      <c r="Q1357" s="5" t="s">
        <v>2685</v>
      </c>
      <c r="R1357" s="5">
        <v>7.35</v>
      </c>
      <c r="S1357" s="4">
        <v>45782</v>
      </c>
      <c r="T1357" s="4">
        <v>45791</v>
      </c>
      <c r="U1357" s="5">
        <f t="shared" si="65"/>
        <v>9</v>
      </c>
      <c r="V1357" s="5" t="s">
        <v>72</v>
      </c>
      <c r="X1357" s="5"/>
    </row>
    <row r="1358" spans="1:24">
      <c r="A1358" s="4">
        <v>44965</v>
      </c>
      <c r="B1358" s="5" t="str">
        <f t="shared" si="63"/>
        <v>February</v>
      </c>
      <c r="C1358" s="5" t="s">
        <v>20</v>
      </c>
      <c r="D1358" s="5" t="s">
        <v>101</v>
      </c>
      <c r="E1358" s="5">
        <v>13</v>
      </c>
      <c r="F1358" s="5">
        <v>149.16</v>
      </c>
      <c r="G1358" s="6">
        <f t="shared" si="64"/>
        <v>1939.08</v>
      </c>
      <c r="H1358" s="5" t="s">
        <v>77</v>
      </c>
      <c r="I1358" s="5" t="s">
        <v>62</v>
      </c>
      <c r="J1358" s="5">
        <v>0.1</v>
      </c>
      <c r="K1358" s="5" t="s">
        <v>55</v>
      </c>
      <c r="L1358" s="6">
        <v>1745.172</v>
      </c>
      <c r="M1358" s="5" t="s">
        <v>34</v>
      </c>
      <c r="N1358" s="5"/>
      <c r="O1358" s="5">
        <v>1</v>
      </c>
      <c r="P1358" s="5" t="s">
        <v>2686</v>
      </c>
      <c r="Q1358" s="5" t="s">
        <v>1224</v>
      </c>
      <c r="R1358" s="5">
        <v>20.9</v>
      </c>
      <c r="S1358" s="4">
        <v>44965</v>
      </c>
      <c r="T1358" s="4">
        <v>44973</v>
      </c>
      <c r="U1358" s="5">
        <f t="shared" si="65"/>
        <v>8</v>
      </c>
      <c r="V1358" s="5" t="s">
        <v>94</v>
      </c>
      <c r="X1358" s="5"/>
    </row>
    <row r="1359" spans="1:24">
      <c r="A1359" s="4">
        <v>45072</v>
      </c>
      <c r="B1359" s="5" t="str">
        <f t="shared" si="63"/>
        <v>May</v>
      </c>
      <c r="C1359" s="5" t="s">
        <v>19</v>
      </c>
      <c r="D1359" s="5" t="s">
        <v>25</v>
      </c>
      <c r="E1359" s="5">
        <v>7</v>
      </c>
      <c r="F1359" s="5">
        <v>220.9</v>
      </c>
      <c r="G1359" s="6">
        <f t="shared" si="64"/>
        <v>1546.3</v>
      </c>
      <c r="H1359" s="5" t="s">
        <v>61</v>
      </c>
      <c r="I1359" s="5" t="s">
        <v>54</v>
      </c>
      <c r="J1359" s="5">
        <v>0.15</v>
      </c>
      <c r="K1359" s="5" t="s">
        <v>89</v>
      </c>
      <c r="L1359" s="6">
        <v>1314.355</v>
      </c>
      <c r="M1359" s="5" t="s">
        <v>31</v>
      </c>
      <c r="N1359" s="5" t="s">
        <v>56</v>
      </c>
      <c r="O1359" s="5">
        <v>0</v>
      </c>
      <c r="P1359" s="5" t="s">
        <v>2687</v>
      </c>
      <c r="Q1359" s="5" t="s">
        <v>2688</v>
      </c>
      <c r="R1359" s="5">
        <v>15.25</v>
      </c>
      <c r="S1359" s="4">
        <v>45072</v>
      </c>
      <c r="T1359" s="4">
        <v>45082</v>
      </c>
      <c r="U1359" s="5">
        <f t="shared" si="65"/>
        <v>10</v>
      </c>
      <c r="V1359" s="5" t="s">
        <v>76</v>
      </c>
      <c r="X1359" s="5"/>
    </row>
    <row r="1360" spans="1:24">
      <c r="A1360" s="4">
        <v>45488</v>
      </c>
      <c r="B1360" s="5" t="str">
        <f t="shared" si="63"/>
        <v>July</v>
      </c>
      <c r="C1360" s="5" t="s">
        <v>16</v>
      </c>
      <c r="D1360" s="5" t="s">
        <v>25</v>
      </c>
      <c r="E1360" s="5">
        <v>1</v>
      </c>
      <c r="F1360" s="5">
        <v>364.27</v>
      </c>
      <c r="G1360" s="6">
        <f t="shared" si="64"/>
        <v>364.27</v>
      </c>
      <c r="H1360" s="5" t="s">
        <v>61</v>
      </c>
      <c r="I1360" s="5" t="s">
        <v>62</v>
      </c>
      <c r="J1360" s="5">
        <v>0.1</v>
      </c>
      <c r="K1360" s="5" t="s">
        <v>63</v>
      </c>
      <c r="L1360" s="6">
        <v>327.843</v>
      </c>
      <c r="M1360" s="5" t="s">
        <v>33</v>
      </c>
      <c r="N1360" s="5" t="s">
        <v>69</v>
      </c>
      <c r="O1360" s="5">
        <v>0</v>
      </c>
      <c r="P1360" s="5" t="s">
        <v>2689</v>
      </c>
      <c r="Q1360" s="5" t="s">
        <v>2690</v>
      </c>
      <c r="R1360" s="5">
        <v>8.91</v>
      </c>
      <c r="S1360" s="4">
        <v>45488</v>
      </c>
      <c r="T1360" s="4">
        <v>45495</v>
      </c>
      <c r="U1360" s="5">
        <f t="shared" si="65"/>
        <v>7</v>
      </c>
      <c r="V1360" s="5" t="s">
        <v>59</v>
      </c>
      <c r="X1360" s="5"/>
    </row>
    <row r="1361" spans="1:24">
      <c r="A1361" s="4">
        <v>45644</v>
      </c>
      <c r="B1361" s="5" t="str">
        <f t="shared" si="63"/>
        <v>December</v>
      </c>
      <c r="C1361" s="5" t="s">
        <v>18</v>
      </c>
      <c r="D1361" s="5" t="s">
        <v>26</v>
      </c>
      <c r="E1361" s="5">
        <v>9</v>
      </c>
      <c r="F1361" s="5">
        <v>306.42</v>
      </c>
      <c r="G1361" s="6">
        <f t="shared" si="64"/>
        <v>2757.78</v>
      </c>
      <c r="H1361" s="5" t="s">
        <v>77</v>
      </c>
      <c r="I1361" s="5" t="s">
        <v>54</v>
      </c>
      <c r="J1361" s="5">
        <v>0</v>
      </c>
      <c r="K1361" s="5" t="s">
        <v>89</v>
      </c>
      <c r="L1361" s="6">
        <v>2757.78</v>
      </c>
      <c r="M1361" s="5" t="s">
        <v>30</v>
      </c>
      <c r="N1361" s="5"/>
      <c r="O1361" s="5">
        <v>0</v>
      </c>
      <c r="P1361" s="5" t="s">
        <v>2691</v>
      </c>
      <c r="Q1361" s="5" t="s">
        <v>2692</v>
      </c>
      <c r="R1361" s="5">
        <v>15.81</v>
      </c>
      <c r="S1361" s="4">
        <v>45644</v>
      </c>
      <c r="T1361" s="4">
        <v>45653</v>
      </c>
      <c r="U1361" s="5">
        <f t="shared" si="65"/>
        <v>9</v>
      </c>
      <c r="V1361" s="5" t="s">
        <v>72</v>
      </c>
      <c r="X1361" s="5"/>
    </row>
    <row r="1362" spans="1:24">
      <c r="A1362" s="4">
        <v>45564</v>
      </c>
      <c r="B1362" s="5" t="str">
        <f t="shared" si="63"/>
        <v>September</v>
      </c>
      <c r="C1362" s="5" t="s">
        <v>18</v>
      </c>
      <c r="D1362" s="5" t="s">
        <v>101</v>
      </c>
      <c r="E1362" s="5">
        <v>18</v>
      </c>
      <c r="F1362" s="5">
        <v>589</v>
      </c>
      <c r="G1362" s="6">
        <f t="shared" si="64"/>
        <v>10602</v>
      </c>
      <c r="H1362" s="5" t="s">
        <v>53</v>
      </c>
      <c r="I1362" s="5" t="s">
        <v>54</v>
      </c>
      <c r="J1362" s="5">
        <v>0.1</v>
      </c>
      <c r="K1362" s="5" t="s">
        <v>82</v>
      </c>
      <c r="L1362" s="6">
        <v>9541.8</v>
      </c>
      <c r="M1362" s="5" t="s">
        <v>34</v>
      </c>
      <c r="N1362" s="5" t="s">
        <v>69</v>
      </c>
      <c r="O1362" s="5">
        <v>0</v>
      </c>
      <c r="P1362" s="5" t="s">
        <v>2693</v>
      </c>
      <c r="Q1362" s="5" t="s">
        <v>2694</v>
      </c>
      <c r="R1362" s="5">
        <v>37.78</v>
      </c>
      <c r="S1362" s="4">
        <v>45564</v>
      </c>
      <c r="T1362" s="4">
        <v>45573</v>
      </c>
      <c r="U1362" s="5">
        <f t="shared" si="65"/>
        <v>9</v>
      </c>
      <c r="V1362" s="5" t="s">
        <v>72</v>
      </c>
      <c r="X1362" s="5"/>
    </row>
    <row r="1363" spans="1:24">
      <c r="A1363" s="4">
        <v>45590</v>
      </c>
      <c r="B1363" s="5" t="str">
        <f t="shared" si="63"/>
        <v>October</v>
      </c>
      <c r="C1363" s="5" t="s">
        <v>17</v>
      </c>
      <c r="D1363" s="5" t="s">
        <v>24</v>
      </c>
      <c r="E1363" s="5">
        <v>16</v>
      </c>
      <c r="F1363" s="5">
        <v>249.45</v>
      </c>
      <c r="G1363" s="6">
        <f t="shared" si="64"/>
        <v>3991.2</v>
      </c>
      <c r="H1363" s="5" t="s">
        <v>77</v>
      </c>
      <c r="I1363" s="5" t="s">
        <v>54</v>
      </c>
      <c r="J1363" s="5">
        <v>0.1</v>
      </c>
      <c r="K1363" s="5" t="s">
        <v>63</v>
      </c>
      <c r="L1363" s="6">
        <v>3592.08</v>
      </c>
      <c r="M1363" s="5" t="s">
        <v>34</v>
      </c>
      <c r="N1363" s="5" t="s">
        <v>56</v>
      </c>
      <c r="O1363" s="5">
        <v>0</v>
      </c>
      <c r="P1363" s="5" t="s">
        <v>2695</v>
      </c>
      <c r="Q1363" s="5" t="s">
        <v>2696</v>
      </c>
      <c r="R1363" s="5">
        <v>20.92</v>
      </c>
      <c r="S1363" s="4">
        <v>45590</v>
      </c>
      <c r="T1363" s="4">
        <v>45597</v>
      </c>
      <c r="U1363" s="5">
        <f t="shared" si="65"/>
        <v>7</v>
      </c>
      <c r="V1363" s="5" t="s">
        <v>67</v>
      </c>
      <c r="X1363" s="5"/>
    </row>
    <row r="1364" spans="1:24">
      <c r="A1364" s="4">
        <v>45663</v>
      </c>
      <c r="B1364" s="5" t="str">
        <f t="shared" si="63"/>
        <v>January</v>
      </c>
      <c r="C1364" s="5" t="s">
        <v>18</v>
      </c>
      <c r="D1364" s="5" t="s">
        <v>26</v>
      </c>
      <c r="E1364" s="5">
        <v>20</v>
      </c>
      <c r="F1364" s="5">
        <v>440.32</v>
      </c>
      <c r="G1364" s="6">
        <f t="shared" si="64"/>
        <v>8806.4</v>
      </c>
      <c r="H1364" s="5" t="s">
        <v>77</v>
      </c>
      <c r="I1364" s="5" t="s">
        <v>62</v>
      </c>
      <c r="J1364" s="5">
        <v>0.05</v>
      </c>
      <c r="K1364" s="5" t="s">
        <v>63</v>
      </c>
      <c r="L1364" s="6">
        <v>8366.08</v>
      </c>
      <c r="M1364" s="5" t="s">
        <v>33</v>
      </c>
      <c r="N1364" s="5" t="s">
        <v>64</v>
      </c>
      <c r="O1364" s="5">
        <v>1</v>
      </c>
      <c r="P1364" s="5" t="s">
        <v>2697</v>
      </c>
      <c r="Q1364" s="5" t="s">
        <v>2698</v>
      </c>
      <c r="R1364" s="5">
        <v>6.17</v>
      </c>
      <c r="S1364" s="4">
        <v>45663</v>
      </c>
      <c r="T1364" s="4">
        <v>45673</v>
      </c>
      <c r="U1364" s="5">
        <f t="shared" si="65"/>
        <v>10</v>
      </c>
      <c r="V1364" s="5" t="s">
        <v>72</v>
      </c>
      <c r="X1364" s="5"/>
    </row>
    <row r="1365" spans="1:24">
      <c r="A1365" s="4">
        <v>45249</v>
      </c>
      <c r="B1365" s="5" t="str">
        <f t="shared" si="63"/>
        <v>November</v>
      </c>
      <c r="C1365" s="5" t="s">
        <v>19</v>
      </c>
      <c r="D1365" s="5" t="s">
        <v>101</v>
      </c>
      <c r="E1365" s="5">
        <v>3</v>
      </c>
      <c r="F1365" s="5">
        <v>101.34</v>
      </c>
      <c r="G1365" s="6">
        <f t="shared" si="64"/>
        <v>304.02</v>
      </c>
      <c r="H1365" s="5" t="s">
        <v>61</v>
      </c>
      <c r="I1365" s="5" t="s">
        <v>54</v>
      </c>
      <c r="J1365" s="5">
        <v>0</v>
      </c>
      <c r="K1365" s="5" t="s">
        <v>78</v>
      </c>
      <c r="L1365" s="6">
        <v>304.02</v>
      </c>
      <c r="M1365" s="5" t="s">
        <v>33</v>
      </c>
      <c r="N1365" s="5"/>
      <c r="O1365" s="5">
        <v>0</v>
      </c>
      <c r="P1365" s="5" t="s">
        <v>2699</v>
      </c>
      <c r="Q1365" s="5" t="s">
        <v>2700</v>
      </c>
      <c r="R1365" s="5">
        <v>23.15</v>
      </c>
      <c r="S1365" s="4">
        <v>45249</v>
      </c>
      <c r="T1365" s="4">
        <v>45251</v>
      </c>
      <c r="U1365" s="5">
        <f t="shared" si="65"/>
        <v>2</v>
      </c>
      <c r="V1365" s="5" t="s">
        <v>76</v>
      </c>
      <c r="X1365" s="5"/>
    </row>
    <row r="1366" spans="1:24">
      <c r="A1366" s="4">
        <v>45393</v>
      </c>
      <c r="B1366" s="5" t="str">
        <f t="shared" si="63"/>
        <v>April</v>
      </c>
      <c r="C1366" s="5" t="s">
        <v>17</v>
      </c>
      <c r="D1366" s="5" t="s">
        <v>23</v>
      </c>
      <c r="E1366" s="5">
        <v>17</v>
      </c>
      <c r="F1366" s="5">
        <v>311.61</v>
      </c>
      <c r="G1366" s="6">
        <f t="shared" si="64"/>
        <v>5297.37</v>
      </c>
      <c r="H1366" s="5" t="s">
        <v>61</v>
      </c>
      <c r="I1366" s="5" t="s">
        <v>62</v>
      </c>
      <c r="J1366" s="5">
        <v>0.05</v>
      </c>
      <c r="K1366" s="5" t="s">
        <v>55</v>
      </c>
      <c r="L1366" s="6">
        <v>5032.5015</v>
      </c>
      <c r="M1366" s="5" t="s">
        <v>30</v>
      </c>
      <c r="N1366" s="5"/>
      <c r="O1366" s="5">
        <v>1</v>
      </c>
      <c r="P1366" s="5" t="s">
        <v>2701</v>
      </c>
      <c r="Q1366" s="5" t="s">
        <v>2702</v>
      </c>
      <c r="R1366" s="5">
        <v>29.9</v>
      </c>
      <c r="S1366" s="4">
        <v>45393</v>
      </c>
      <c r="T1366" s="4">
        <v>45399</v>
      </c>
      <c r="U1366" s="5">
        <f t="shared" si="65"/>
        <v>6</v>
      </c>
      <c r="V1366" s="5" t="s">
        <v>67</v>
      </c>
      <c r="X1366" s="5"/>
    </row>
    <row r="1367" spans="1:24">
      <c r="A1367" s="4">
        <v>45381</v>
      </c>
      <c r="B1367" s="5" t="str">
        <f t="shared" si="63"/>
        <v>March</v>
      </c>
      <c r="C1367" s="5" t="s">
        <v>17</v>
      </c>
      <c r="D1367" s="5" t="s">
        <v>26</v>
      </c>
      <c r="E1367" s="5">
        <v>2</v>
      </c>
      <c r="F1367" s="5">
        <v>441.18</v>
      </c>
      <c r="G1367" s="6">
        <f t="shared" si="64"/>
        <v>882.36</v>
      </c>
      <c r="H1367" s="5" t="s">
        <v>53</v>
      </c>
      <c r="I1367" s="5" t="s">
        <v>62</v>
      </c>
      <c r="J1367" s="5">
        <v>0.15</v>
      </c>
      <c r="K1367" s="5" t="s">
        <v>89</v>
      </c>
      <c r="L1367" s="6">
        <v>750.006</v>
      </c>
      <c r="M1367" s="5" t="s">
        <v>34</v>
      </c>
      <c r="N1367" s="5"/>
      <c r="O1367" s="5">
        <v>1</v>
      </c>
      <c r="P1367" s="5" t="s">
        <v>2703</v>
      </c>
      <c r="Q1367" s="5" t="s">
        <v>2704</v>
      </c>
      <c r="R1367" s="5">
        <v>23.07</v>
      </c>
      <c r="S1367" s="4">
        <v>45381</v>
      </c>
      <c r="T1367" s="4">
        <v>45388</v>
      </c>
      <c r="U1367" s="5">
        <f t="shared" si="65"/>
        <v>7</v>
      </c>
      <c r="V1367" s="5" t="s">
        <v>67</v>
      </c>
      <c r="X1367" s="5"/>
    </row>
    <row r="1368" spans="1:24">
      <c r="A1368" s="4">
        <v>45621</v>
      </c>
      <c r="B1368" s="5" t="str">
        <f t="shared" si="63"/>
        <v>November</v>
      </c>
      <c r="C1368" s="5" t="s">
        <v>18</v>
      </c>
      <c r="D1368" s="5" t="s">
        <v>25</v>
      </c>
      <c r="E1368" s="5">
        <v>20</v>
      </c>
      <c r="F1368" s="5">
        <v>286.66</v>
      </c>
      <c r="G1368" s="6">
        <f t="shared" si="64"/>
        <v>5733.2</v>
      </c>
      <c r="H1368" s="5" t="s">
        <v>81</v>
      </c>
      <c r="I1368" s="5" t="s">
        <v>62</v>
      </c>
      <c r="J1368" s="5">
        <v>0.1</v>
      </c>
      <c r="K1368" s="5" t="s">
        <v>78</v>
      </c>
      <c r="L1368" s="6">
        <v>5159.88</v>
      </c>
      <c r="M1368" s="5" t="s">
        <v>33</v>
      </c>
      <c r="N1368" s="5" t="s">
        <v>69</v>
      </c>
      <c r="O1368" s="5">
        <v>0</v>
      </c>
      <c r="P1368" s="5" t="s">
        <v>2705</v>
      </c>
      <c r="Q1368" s="5" t="s">
        <v>515</v>
      </c>
      <c r="R1368" s="5">
        <v>15.54</v>
      </c>
      <c r="S1368" s="4">
        <v>45621</v>
      </c>
      <c r="T1368" s="4">
        <v>45625</v>
      </c>
      <c r="U1368" s="5">
        <f t="shared" si="65"/>
        <v>4</v>
      </c>
      <c r="V1368" s="5" t="s">
        <v>72</v>
      </c>
      <c r="X1368" s="5"/>
    </row>
    <row r="1369" spans="1:24">
      <c r="A1369" s="4">
        <v>45663</v>
      </c>
      <c r="B1369" s="5" t="str">
        <f t="shared" si="63"/>
        <v>January</v>
      </c>
      <c r="C1369" s="5" t="s">
        <v>18</v>
      </c>
      <c r="D1369" s="5" t="s">
        <v>27</v>
      </c>
      <c r="E1369" s="5">
        <v>13</v>
      </c>
      <c r="F1369" s="5">
        <v>483.63</v>
      </c>
      <c r="G1369" s="6">
        <f t="shared" si="64"/>
        <v>6287.19</v>
      </c>
      <c r="H1369" s="5" t="s">
        <v>61</v>
      </c>
      <c r="I1369" s="5" t="s">
        <v>62</v>
      </c>
      <c r="J1369" s="5">
        <v>0.05</v>
      </c>
      <c r="K1369" s="5" t="s">
        <v>78</v>
      </c>
      <c r="L1369" s="6">
        <v>5972.8305</v>
      </c>
      <c r="M1369" s="5" t="s">
        <v>34</v>
      </c>
      <c r="N1369" s="5" t="s">
        <v>56</v>
      </c>
      <c r="O1369" s="5">
        <v>0</v>
      </c>
      <c r="P1369" s="5" t="s">
        <v>2706</v>
      </c>
      <c r="Q1369" s="5" t="s">
        <v>2707</v>
      </c>
      <c r="R1369" s="5">
        <v>18.22</v>
      </c>
      <c r="S1369" s="4">
        <v>45663</v>
      </c>
      <c r="T1369" s="4">
        <v>45672</v>
      </c>
      <c r="U1369" s="5">
        <f t="shared" si="65"/>
        <v>9</v>
      </c>
      <c r="V1369" s="5" t="s">
        <v>72</v>
      </c>
      <c r="X1369" s="5"/>
    </row>
    <row r="1370" spans="1:24">
      <c r="A1370" s="4">
        <v>45031</v>
      </c>
      <c r="B1370" s="5" t="str">
        <f t="shared" si="63"/>
        <v>April</v>
      </c>
      <c r="C1370" s="5" t="s">
        <v>20</v>
      </c>
      <c r="D1370" s="5" t="s">
        <v>101</v>
      </c>
      <c r="E1370" s="5">
        <v>8</v>
      </c>
      <c r="F1370" s="5">
        <v>304.15</v>
      </c>
      <c r="G1370" s="6">
        <f t="shared" si="64"/>
        <v>2433.2</v>
      </c>
      <c r="H1370" s="5" t="s">
        <v>53</v>
      </c>
      <c r="I1370" s="5" t="s">
        <v>54</v>
      </c>
      <c r="J1370" s="5">
        <v>0.05</v>
      </c>
      <c r="K1370" s="5" t="s">
        <v>78</v>
      </c>
      <c r="L1370" s="6">
        <v>2311.54</v>
      </c>
      <c r="M1370" s="5" t="s">
        <v>33</v>
      </c>
      <c r="N1370" s="5"/>
      <c r="O1370" s="5">
        <v>0</v>
      </c>
      <c r="P1370" s="5" t="s">
        <v>2708</v>
      </c>
      <c r="Q1370" s="5" t="s">
        <v>2709</v>
      </c>
      <c r="R1370" s="5">
        <v>41.73</v>
      </c>
      <c r="S1370" s="4">
        <v>45031</v>
      </c>
      <c r="T1370" s="4">
        <v>45034</v>
      </c>
      <c r="U1370" s="5">
        <f t="shared" si="65"/>
        <v>3</v>
      </c>
      <c r="V1370" s="5" t="s">
        <v>94</v>
      </c>
      <c r="X1370" s="5"/>
    </row>
    <row r="1371" spans="1:24">
      <c r="A1371" s="4">
        <v>45329</v>
      </c>
      <c r="B1371" s="5" t="str">
        <f t="shared" si="63"/>
        <v>February</v>
      </c>
      <c r="C1371" s="5" t="s">
        <v>16</v>
      </c>
      <c r="D1371" s="5" t="s">
        <v>27</v>
      </c>
      <c r="E1371" s="5">
        <v>10</v>
      </c>
      <c r="F1371" s="5">
        <v>452.21</v>
      </c>
      <c r="G1371" s="6">
        <f t="shared" si="64"/>
        <v>4522.1</v>
      </c>
      <c r="H1371" s="5" t="s">
        <v>61</v>
      </c>
      <c r="I1371" s="5" t="s">
        <v>62</v>
      </c>
      <c r="J1371" s="5">
        <v>0.1</v>
      </c>
      <c r="K1371" s="5" t="s">
        <v>55</v>
      </c>
      <c r="L1371" s="6">
        <v>4069.89</v>
      </c>
      <c r="M1371" s="5" t="s">
        <v>34</v>
      </c>
      <c r="N1371" s="5" t="s">
        <v>69</v>
      </c>
      <c r="O1371" s="5">
        <v>0</v>
      </c>
      <c r="P1371" s="5" t="s">
        <v>2710</v>
      </c>
      <c r="Q1371" s="5" t="s">
        <v>2711</v>
      </c>
      <c r="R1371" s="5">
        <v>15.87</v>
      </c>
      <c r="S1371" s="4">
        <v>45329</v>
      </c>
      <c r="T1371" s="4">
        <v>45339</v>
      </c>
      <c r="U1371" s="5">
        <f t="shared" si="65"/>
        <v>10</v>
      </c>
      <c r="V1371" s="5" t="s">
        <v>59</v>
      </c>
      <c r="X1371" s="5"/>
    </row>
    <row r="1372" spans="1:24">
      <c r="A1372" s="4">
        <v>45079</v>
      </c>
      <c r="B1372" s="5" t="str">
        <f t="shared" si="63"/>
        <v>June</v>
      </c>
      <c r="C1372" s="5" t="s">
        <v>16</v>
      </c>
      <c r="D1372" s="5" t="s">
        <v>27</v>
      </c>
      <c r="E1372" s="5">
        <v>4</v>
      </c>
      <c r="F1372" s="5">
        <v>248.16</v>
      </c>
      <c r="G1372" s="6">
        <f t="shared" si="64"/>
        <v>992.64</v>
      </c>
      <c r="H1372" s="5" t="s">
        <v>53</v>
      </c>
      <c r="I1372" s="5" t="s">
        <v>62</v>
      </c>
      <c r="J1372" s="5">
        <v>0.1</v>
      </c>
      <c r="K1372" s="5" t="s">
        <v>82</v>
      </c>
      <c r="L1372" s="6">
        <v>893.376</v>
      </c>
      <c r="M1372" s="5" t="s">
        <v>32</v>
      </c>
      <c r="N1372" s="5"/>
      <c r="O1372" s="5">
        <v>1</v>
      </c>
      <c r="P1372" s="5" t="s">
        <v>2712</v>
      </c>
      <c r="Q1372" s="5" t="s">
        <v>2713</v>
      </c>
      <c r="R1372" s="5">
        <v>45.11</v>
      </c>
      <c r="S1372" s="4">
        <v>45079</v>
      </c>
      <c r="T1372" s="4">
        <v>45082</v>
      </c>
      <c r="U1372" s="5">
        <f t="shared" si="65"/>
        <v>3</v>
      </c>
      <c r="V1372" s="5" t="s">
        <v>59</v>
      </c>
      <c r="X1372" s="5"/>
    </row>
    <row r="1373" spans="1:24">
      <c r="A1373" s="4">
        <v>45162</v>
      </c>
      <c r="B1373" s="5" t="str">
        <f t="shared" si="63"/>
        <v>August</v>
      </c>
      <c r="C1373" s="5" t="s">
        <v>16</v>
      </c>
      <c r="D1373" s="5" t="s">
        <v>22</v>
      </c>
      <c r="E1373" s="5">
        <v>4</v>
      </c>
      <c r="F1373" s="5">
        <v>520</v>
      </c>
      <c r="G1373" s="6">
        <f t="shared" si="64"/>
        <v>2080</v>
      </c>
      <c r="H1373" s="5" t="s">
        <v>61</v>
      </c>
      <c r="I1373" s="5" t="s">
        <v>62</v>
      </c>
      <c r="J1373" s="5">
        <v>0</v>
      </c>
      <c r="K1373" s="5" t="s">
        <v>55</v>
      </c>
      <c r="L1373" s="6">
        <v>2080</v>
      </c>
      <c r="M1373" s="5" t="s">
        <v>32</v>
      </c>
      <c r="N1373" s="5" t="s">
        <v>69</v>
      </c>
      <c r="O1373" s="5">
        <v>0</v>
      </c>
      <c r="P1373" s="5" t="s">
        <v>2714</v>
      </c>
      <c r="Q1373" s="5" t="s">
        <v>2715</v>
      </c>
      <c r="R1373" s="5">
        <v>18.25</v>
      </c>
      <c r="S1373" s="4">
        <v>45162</v>
      </c>
      <c r="T1373" s="4">
        <v>45171</v>
      </c>
      <c r="U1373" s="5">
        <f t="shared" si="65"/>
        <v>9</v>
      </c>
      <c r="V1373" s="5" t="s">
        <v>59</v>
      </c>
      <c r="X1373" s="5"/>
    </row>
    <row r="1374" spans="1:24">
      <c r="A1374" s="4">
        <v>45632</v>
      </c>
      <c r="B1374" s="5" t="str">
        <f t="shared" si="63"/>
        <v>December</v>
      </c>
      <c r="C1374" s="5" t="s">
        <v>17</v>
      </c>
      <c r="D1374" s="5" t="s">
        <v>25</v>
      </c>
      <c r="E1374" s="5">
        <v>11</v>
      </c>
      <c r="F1374" s="5">
        <v>571.07</v>
      </c>
      <c r="G1374" s="6">
        <f t="shared" si="64"/>
        <v>6281.77</v>
      </c>
      <c r="H1374" s="5" t="s">
        <v>61</v>
      </c>
      <c r="I1374" s="5" t="s">
        <v>62</v>
      </c>
      <c r="J1374" s="5">
        <v>0</v>
      </c>
      <c r="K1374" s="5" t="s">
        <v>73</v>
      </c>
      <c r="L1374" s="6">
        <v>6281.77</v>
      </c>
      <c r="M1374" s="5" t="s">
        <v>31</v>
      </c>
      <c r="N1374" s="5" t="s">
        <v>64</v>
      </c>
      <c r="O1374" s="5">
        <v>0</v>
      </c>
      <c r="P1374" s="5" t="s">
        <v>2716</v>
      </c>
      <c r="Q1374" s="5" t="s">
        <v>2717</v>
      </c>
      <c r="R1374" s="5">
        <v>12.6</v>
      </c>
      <c r="S1374" s="4">
        <v>45632</v>
      </c>
      <c r="T1374" s="4">
        <v>45637</v>
      </c>
      <c r="U1374" s="5">
        <f t="shared" si="65"/>
        <v>5</v>
      </c>
      <c r="V1374" s="5" t="s">
        <v>67</v>
      </c>
      <c r="X1374" s="5"/>
    </row>
    <row r="1375" spans="1:24">
      <c r="A1375" s="4">
        <v>45268</v>
      </c>
      <c r="B1375" s="5" t="str">
        <f t="shared" si="63"/>
        <v>December</v>
      </c>
      <c r="C1375" s="5" t="s">
        <v>16</v>
      </c>
      <c r="D1375" s="5" t="s">
        <v>101</v>
      </c>
      <c r="E1375" s="5">
        <v>11</v>
      </c>
      <c r="F1375" s="5">
        <v>65.57</v>
      </c>
      <c r="G1375" s="6">
        <f t="shared" si="64"/>
        <v>721.27</v>
      </c>
      <c r="H1375" s="5" t="s">
        <v>81</v>
      </c>
      <c r="I1375" s="5" t="s">
        <v>62</v>
      </c>
      <c r="J1375" s="5">
        <v>0.1</v>
      </c>
      <c r="K1375" s="5" t="s">
        <v>82</v>
      </c>
      <c r="L1375" s="6">
        <v>649.143</v>
      </c>
      <c r="M1375" s="5" t="s">
        <v>33</v>
      </c>
      <c r="N1375" s="5" t="s">
        <v>64</v>
      </c>
      <c r="O1375" s="5">
        <v>1</v>
      </c>
      <c r="P1375" s="5" t="s">
        <v>2718</v>
      </c>
      <c r="Q1375" s="5" t="s">
        <v>2719</v>
      </c>
      <c r="R1375" s="5">
        <v>30.43</v>
      </c>
      <c r="S1375" s="4">
        <v>45268</v>
      </c>
      <c r="T1375" s="4">
        <v>45274</v>
      </c>
      <c r="U1375" s="5">
        <f t="shared" si="65"/>
        <v>6</v>
      </c>
      <c r="V1375" s="5" t="s">
        <v>59</v>
      </c>
      <c r="X1375" s="5"/>
    </row>
    <row r="1376" spans="1:24">
      <c r="A1376" s="4">
        <v>45058</v>
      </c>
      <c r="B1376" s="5" t="str">
        <f t="shared" si="63"/>
        <v>May</v>
      </c>
      <c r="C1376" s="5" t="s">
        <v>17</v>
      </c>
      <c r="D1376" s="5" t="s">
        <v>101</v>
      </c>
      <c r="E1376" s="5">
        <v>4</v>
      </c>
      <c r="F1376" s="5">
        <v>397.02</v>
      </c>
      <c r="G1376" s="6">
        <f t="shared" si="64"/>
        <v>1588.08</v>
      </c>
      <c r="H1376" s="5" t="s">
        <v>61</v>
      </c>
      <c r="I1376" s="5" t="s">
        <v>54</v>
      </c>
      <c r="J1376" s="5">
        <v>0</v>
      </c>
      <c r="K1376" s="5" t="s">
        <v>73</v>
      </c>
      <c r="L1376" s="6">
        <v>1588.08</v>
      </c>
      <c r="M1376" s="5" t="s">
        <v>34</v>
      </c>
      <c r="N1376" s="5" t="s">
        <v>56</v>
      </c>
      <c r="O1376" s="5">
        <v>0</v>
      </c>
      <c r="P1376" s="5" t="s">
        <v>2720</v>
      </c>
      <c r="Q1376" s="5" t="s">
        <v>2721</v>
      </c>
      <c r="R1376" s="5">
        <v>23.25</v>
      </c>
      <c r="S1376" s="4">
        <v>45058</v>
      </c>
      <c r="T1376" s="4">
        <v>45066</v>
      </c>
      <c r="U1376" s="5">
        <f t="shared" si="65"/>
        <v>8</v>
      </c>
      <c r="V1376" s="5" t="s">
        <v>67</v>
      </c>
      <c r="X1376" s="5"/>
    </row>
    <row r="1377" spans="1:24">
      <c r="A1377" s="4">
        <v>45771</v>
      </c>
      <c r="B1377" s="5" t="str">
        <f t="shared" si="63"/>
        <v>April</v>
      </c>
      <c r="C1377" s="5" t="s">
        <v>20</v>
      </c>
      <c r="D1377" s="5" t="s">
        <v>22</v>
      </c>
      <c r="E1377" s="5">
        <v>10</v>
      </c>
      <c r="F1377" s="5">
        <v>169.35</v>
      </c>
      <c r="G1377" s="6">
        <f t="shared" si="64"/>
        <v>1693.5</v>
      </c>
      <c r="H1377" s="5" t="s">
        <v>53</v>
      </c>
      <c r="I1377" s="5" t="s">
        <v>62</v>
      </c>
      <c r="J1377" s="5">
        <v>0.05</v>
      </c>
      <c r="K1377" s="5" t="s">
        <v>63</v>
      </c>
      <c r="L1377" s="6">
        <v>1608.825</v>
      </c>
      <c r="M1377" s="5" t="s">
        <v>32</v>
      </c>
      <c r="N1377" s="5" t="s">
        <v>69</v>
      </c>
      <c r="O1377" s="5">
        <v>0</v>
      </c>
      <c r="P1377" s="5" t="s">
        <v>2722</v>
      </c>
      <c r="Q1377" s="5" t="s">
        <v>2723</v>
      </c>
      <c r="R1377" s="5">
        <v>44.91</v>
      </c>
      <c r="S1377" s="4">
        <v>45771</v>
      </c>
      <c r="T1377" s="4">
        <v>45774</v>
      </c>
      <c r="U1377" s="5">
        <f t="shared" si="65"/>
        <v>3</v>
      </c>
      <c r="V1377" s="5" t="s">
        <v>94</v>
      </c>
      <c r="X1377" s="5"/>
    </row>
    <row r="1378" spans="1:24">
      <c r="A1378" s="4">
        <v>45039</v>
      </c>
      <c r="B1378" s="5" t="str">
        <f t="shared" si="63"/>
        <v>April</v>
      </c>
      <c r="C1378" s="5" t="s">
        <v>19</v>
      </c>
      <c r="D1378" s="5" t="s">
        <v>101</v>
      </c>
      <c r="E1378" s="5">
        <v>9</v>
      </c>
      <c r="F1378" s="5">
        <v>340.44</v>
      </c>
      <c r="G1378" s="6">
        <f t="shared" si="64"/>
        <v>3063.96</v>
      </c>
      <c r="H1378" s="5" t="s">
        <v>81</v>
      </c>
      <c r="I1378" s="5" t="s">
        <v>62</v>
      </c>
      <c r="J1378" s="5">
        <v>0.05</v>
      </c>
      <c r="K1378" s="5" t="s">
        <v>78</v>
      </c>
      <c r="L1378" s="6">
        <v>2910.762</v>
      </c>
      <c r="M1378" s="5" t="s">
        <v>33</v>
      </c>
      <c r="N1378" s="5" t="s">
        <v>56</v>
      </c>
      <c r="O1378" s="5">
        <v>1</v>
      </c>
      <c r="P1378" s="5" t="s">
        <v>2724</v>
      </c>
      <c r="Q1378" s="5" t="s">
        <v>2725</v>
      </c>
      <c r="R1378" s="5">
        <v>36.68</v>
      </c>
      <c r="S1378" s="4">
        <v>45039</v>
      </c>
      <c r="T1378" s="4">
        <v>45049</v>
      </c>
      <c r="U1378" s="5">
        <f t="shared" si="65"/>
        <v>10</v>
      </c>
      <c r="V1378" s="5" t="s">
        <v>76</v>
      </c>
      <c r="X1378" s="5"/>
    </row>
    <row r="1379" spans="1:24">
      <c r="A1379" s="4">
        <v>44944</v>
      </c>
      <c r="B1379" s="5" t="str">
        <f t="shared" si="63"/>
        <v>January</v>
      </c>
      <c r="C1379" s="5" t="s">
        <v>18</v>
      </c>
      <c r="D1379" s="5" t="s">
        <v>26</v>
      </c>
      <c r="E1379" s="5">
        <v>1</v>
      </c>
      <c r="F1379" s="5">
        <v>120.2</v>
      </c>
      <c r="G1379" s="6">
        <f t="shared" si="64"/>
        <v>120.2</v>
      </c>
      <c r="H1379" s="5" t="s">
        <v>81</v>
      </c>
      <c r="I1379" s="5" t="s">
        <v>62</v>
      </c>
      <c r="J1379" s="5">
        <v>0.05</v>
      </c>
      <c r="K1379" s="5" t="s">
        <v>78</v>
      </c>
      <c r="L1379" s="6">
        <v>114.19</v>
      </c>
      <c r="M1379" s="5" t="s">
        <v>30</v>
      </c>
      <c r="N1379" s="5" t="s">
        <v>69</v>
      </c>
      <c r="O1379" s="5">
        <v>0</v>
      </c>
      <c r="P1379" s="5" t="s">
        <v>2726</v>
      </c>
      <c r="Q1379" s="5" t="s">
        <v>2595</v>
      </c>
      <c r="R1379" s="5">
        <v>44.99</v>
      </c>
      <c r="S1379" s="4">
        <v>44944</v>
      </c>
      <c r="T1379" s="4">
        <v>44947</v>
      </c>
      <c r="U1379" s="5">
        <f t="shared" si="65"/>
        <v>3</v>
      </c>
      <c r="V1379" s="5" t="s">
        <v>72</v>
      </c>
      <c r="X1379" s="5"/>
    </row>
    <row r="1380" spans="1:24">
      <c r="A1380" s="4">
        <v>45788</v>
      </c>
      <c r="B1380" s="5" t="str">
        <f t="shared" si="63"/>
        <v>May</v>
      </c>
      <c r="C1380" s="5" t="s">
        <v>18</v>
      </c>
      <c r="D1380" s="5" t="s">
        <v>23</v>
      </c>
      <c r="E1380" s="5">
        <v>13</v>
      </c>
      <c r="F1380" s="5">
        <v>169.39</v>
      </c>
      <c r="G1380" s="6">
        <f t="shared" si="64"/>
        <v>2202.07</v>
      </c>
      <c r="H1380" s="5" t="s">
        <v>53</v>
      </c>
      <c r="I1380" s="5" t="s">
        <v>54</v>
      </c>
      <c r="J1380" s="5">
        <v>0.15</v>
      </c>
      <c r="K1380" s="5" t="s">
        <v>82</v>
      </c>
      <c r="L1380" s="6">
        <v>1871.7595</v>
      </c>
      <c r="M1380" s="5" t="s">
        <v>32</v>
      </c>
      <c r="N1380" s="5"/>
      <c r="O1380" s="5">
        <v>0</v>
      </c>
      <c r="P1380" s="5" t="s">
        <v>2727</v>
      </c>
      <c r="Q1380" s="5" t="s">
        <v>2728</v>
      </c>
      <c r="R1380" s="5">
        <v>6.81</v>
      </c>
      <c r="S1380" s="4">
        <v>45788</v>
      </c>
      <c r="T1380" s="4">
        <v>45798</v>
      </c>
      <c r="U1380" s="5">
        <f t="shared" si="65"/>
        <v>10</v>
      </c>
      <c r="V1380" s="5" t="s">
        <v>72</v>
      </c>
      <c r="X1380" s="5"/>
    </row>
    <row r="1381" spans="1:24">
      <c r="A1381" s="4">
        <v>45649</v>
      </c>
      <c r="B1381" s="5" t="str">
        <f t="shared" si="63"/>
        <v>December</v>
      </c>
      <c r="C1381" s="5" t="s">
        <v>20</v>
      </c>
      <c r="D1381" s="5" t="s">
        <v>101</v>
      </c>
      <c r="E1381" s="5">
        <v>10</v>
      </c>
      <c r="F1381" s="5">
        <v>170.72</v>
      </c>
      <c r="G1381" s="6">
        <f t="shared" si="64"/>
        <v>1707.2</v>
      </c>
      <c r="H1381" s="5" t="s">
        <v>61</v>
      </c>
      <c r="I1381" s="5" t="s">
        <v>54</v>
      </c>
      <c r="J1381" s="5">
        <v>0.05</v>
      </c>
      <c r="K1381" s="5" t="s">
        <v>73</v>
      </c>
      <c r="L1381" s="6">
        <v>1621.84</v>
      </c>
      <c r="M1381" s="5" t="s">
        <v>30</v>
      </c>
      <c r="N1381" s="5" t="s">
        <v>56</v>
      </c>
      <c r="O1381" s="5">
        <v>0</v>
      </c>
      <c r="P1381" s="5" t="s">
        <v>2729</v>
      </c>
      <c r="Q1381" s="5" t="s">
        <v>2730</v>
      </c>
      <c r="R1381" s="5">
        <v>29.18</v>
      </c>
      <c r="S1381" s="4">
        <v>45649</v>
      </c>
      <c r="T1381" s="4">
        <v>45659</v>
      </c>
      <c r="U1381" s="5">
        <f t="shared" si="65"/>
        <v>10</v>
      </c>
      <c r="V1381" s="5" t="s">
        <v>94</v>
      </c>
      <c r="X1381" s="5"/>
    </row>
    <row r="1382" spans="1:24">
      <c r="A1382" s="4">
        <v>45158</v>
      </c>
      <c r="B1382" s="5" t="str">
        <f t="shared" si="63"/>
        <v>August</v>
      </c>
      <c r="C1382" s="5" t="s">
        <v>20</v>
      </c>
      <c r="D1382" s="5" t="s">
        <v>24</v>
      </c>
      <c r="E1382" s="5">
        <v>9</v>
      </c>
      <c r="F1382" s="5">
        <v>323.77</v>
      </c>
      <c r="G1382" s="6">
        <f t="shared" si="64"/>
        <v>2913.93</v>
      </c>
      <c r="H1382" s="5" t="s">
        <v>61</v>
      </c>
      <c r="I1382" s="5" t="s">
        <v>54</v>
      </c>
      <c r="J1382" s="5">
        <v>0.15</v>
      </c>
      <c r="K1382" s="5" t="s">
        <v>78</v>
      </c>
      <c r="L1382" s="6">
        <v>2476.8405</v>
      </c>
      <c r="M1382" s="5" t="s">
        <v>33</v>
      </c>
      <c r="N1382" s="5"/>
      <c r="O1382" s="5">
        <v>0</v>
      </c>
      <c r="P1382" s="5" t="s">
        <v>2731</v>
      </c>
      <c r="Q1382" s="5" t="s">
        <v>2732</v>
      </c>
      <c r="R1382" s="5">
        <v>6.36</v>
      </c>
      <c r="S1382" s="4">
        <v>45158</v>
      </c>
      <c r="T1382" s="4">
        <v>45166</v>
      </c>
      <c r="U1382" s="5">
        <f t="shared" si="65"/>
        <v>8</v>
      </c>
      <c r="V1382" s="5" t="s">
        <v>94</v>
      </c>
      <c r="X1382" s="5"/>
    </row>
    <row r="1383" spans="1:24">
      <c r="A1383" s="4">
        <v>45734</v>
      </c>
      <c r="B1383" s="5" t="str">
        <f t="shared" si="63"/>
        <v>March</v>
      </c>
      <c r="C1383" s="5" t="s">
        <v>19</v>
      </c>
      <c r="D1383" s="5" t="s">
        <v>25</v>
      </c>
      <c r="E1383" s="5">
        <v>4</v>
      </c>
      <c r="F1383" s="5">
        <v>481.86</v>
      </c>
      <c r="G1383" s="6">
        <f t="shared" si="64"/>
        <v>1927.44</v>
      </c>
      <c r="H1383" s="5" t="s">
        <v>53</v>
      </c>
      <c r="I1383" s="5" t="s">
        <v>54</v>
      </c>
      <c r="J1383" s="5">
        <v>0</v>
      </c>
      <c r="K1383" s="5" t="s">
        <v>89</v>
      </c>
      <c r="L1383" s="6">
        <v>1927.44</v>
      </c>
      <c r="M1383" s="5" t="s">
        <v>30</v>
      </c>
      <c r="N1383" s="5" t="s">
        <v>56</v>
      </c>
      <c r="O1383" s="5">
        <v>0</v>
      </c>
      <c r="P1383" s="5" t="s">
        <v>2733</v>
      </c>
      <c r="Q1383" s="5" t="s">
        <v>2734</v>
      </c>
      <c r="R1383" s="5">
        <v>21.92</v>
      </c>
      <c r="S1383" s="4">
        <v>45734</v>
      </c>
      <c r="T1383" s="4">
        <v>45739</v>
      </c>
      <c r="U1383" s="5">
        <f t="shared" si="65"/>
        <v>5</v>
      </c>
      <c r="V1383" s="5" t="s">
        <v>76</v>
      </c>
      <c r="X1383" s="5"/>
    </row>
    <row r="1384" spans="1:24">
      <c r="A1384" s="4">
        <v>45307</v>
      </c>
      <c r="B1384" s="5" t="str">
        <f t="shared" si="63"/>
        <v>January</v>
      </c>
      <c r="C1384" s="5" t="s">
        <v>19</v>
      </c>
      <c r="D1384" s="5" t="s">
        <v>23</v>
      </c>
      <c r="E1384" s="5">
        <v>4</v>
      </c>
      <c r="F1384" s="5">
        <v>78.05</v>
      </c>
      <c r="G1384" s="6">
        <f t="shared" si="64"/>
        <v>312.2</v>
      </c>
      <c r="H1384" s="5" t="s">
        <v>61</v>
      </c>
      <c r="I1384" s="5" t="s">
        <v>62</v>
      </c>
      <c r="J1384" s="5">
        <v>0</v>
      </c>
      <c r="K1384" s="5" t="s">
        <v>78</v>
      </c>
      <c r="L1384" s="6">
        <v>312.2</v>
      </c>
      <c r="M1384" s="5" t="s">
        <v>32</v>
      </c>
      <c r="N1384" s="5"/>
      <c r="O1384" s="5">
        <v>0</v>
      </c>
      <c r="P1384" s="5" t="s">
        <v>2735</v>
      </c>
      <c r="Q1384" s="5" t="s">
        <v>2736</v>
      </c>
      <c r="R1384" s="5">
        <v>14.03</v>
      </c>
      <c r="S1384" s="4">
        <v>45307</v>
      </c>
      <c r="T1384" s="4">
        <v>45315</v>
      </c>
      <c r="U1384" s="5">
        <f t="shared" si="65"/>
        <v>8</v>
      </c>
      <c r="V1384" s="5" t="s">
        <v>76</v>
      </c>
      <c r="X1384" s="5"/>
    </row>
    <row r="1385" spans="1:24">
      <c r="A1385" s="4">
        <v>45441</v>
      </c>
      <c r="B1385" s="5" t="str">
        <f t="shared" si="63"/>
        <v>May</v>
      </c>
      <c r="C1385" s="5" t="s">
        <v>16</v>
      </c>
      <c r="D1385" s="5" t="s">
        <v>101</v>
      </c>
      <c r="E1385" s="5">
        <v>6</v>
      </c>
      <c r="F1385" s="5">
        <v>57.4</v>
      </c>
      <c r="G1385" s="6">
        <f t="shared" si="64"/>
        <v>344.4</v>
      </c>
      <c r="H1385" s="5" t="s">
        <v>77</v>
      </c>
      <c r="I1385" s="5" t="s">
        <v>54</v>
      </c>
      <c r="J1385" s="5">
        <v>0.1</v>
      </c>
      <c r="K1385" s="5" t="s">
        <v>55</v>
      </c>
      <c r="L1385" s="6">
        <v>309.96</v>
      </c>
      <c r="M1385" s="5" t="s">
        <v>33</v>
      </c>
      <c r="N1385" s="5" t="s">
        <v>56</v>
      </c>
      <c r="O1385" s="5">
        <v>0</v>
      </c>
      <c r="P1385" s="5" t="s">
        <v>2737</v>
      </c>
      <c r="Q1385" s="5" t="s">
        <v>2738</v>
      </c>
      <c r="R1385" s="5">
        <v>26.42</v>
      </c>
      <c r="S1385" s="4">
        <v>45441</v>
      </c>
      <c r="T1385" s="4">
        <v>45451</v>
      </c>
      <c r="U1385" s="5">
        <f t="shared" si="65"/>
        <v>10</v>
      </c>
      <c r="V1385" s="5" t="s">
        <v>59</v>
      </c>
      <c r="X1385" s="5"/>
    </row>
    <row r="1386" spans="1:24">
      <c r="A1386" s="4">
        <v>45741</v>
      </c>
      <c r="B1386" s="5" t="str">
        <f t="shared" si="63"/>
        <v>March</v>
      </c>
      <c r="C1386" s="5" t="s">
        <v>17</v>
      </c>
      <c r="D1386" s="5" t="s">
        <v>22</v>
      </c>
      <c r="E1386" s="5">
        <v>9</v>
      </c>
      <c r="F1386" s="5">
        <v>454.98</v>
      </c>
      <c r="G1386" s="6">
        <f t="shared" si="64"/>
        <v>4094.82</v>
      </c>
      <c r="H1386" s="5" t="s">
        <v>53</v>
      </c>
      <c r="I1386" s="5" t="s">
        <v>54</v>
      </c>
      <c r="J1386" s="5">
        <v>0.15</v>
      </c>
      <c r="K1386" s="5" t="s">
        <v>55</v>
      </c>
      <c r="L1386" s="6">
        <v>3480.597</v>
      </c>
      <c r="M1386" s="5" t="s">
        <v>32</v>
      </c>
      <c r="N1386" s="5"/>
      <c r="O1386" s="5">
        <v>0</v>
      </c>
      <c r="P1386" s="5" t="s">
        <v>2739</v>
      </c>
      <c r="Q1386" s="5" t="s">
        <v>2740</v>
      </c>
      <c r="R1386" s="5">
        <v>40.76</v>
      </c>
      <c r="S1386" s="4">
        <v>45741</v>
      </c>
      <c r="T1386" s="4">
        <v>45743</v>
      </c>
      <c r="U1386" s="5">
        <f t="shared" si="65"/>
        <v>2</v>
      </c>
      <c r="V1386" s="5" t="s">
        <v>67</v>
      </c>
      <c r="X1386" s="5"/>
    </row>
    <row r="1387" spans="1:24">
      <c r="A1387" s="4">
        <v>45738</v>
      </c>
      <c r="B1387" s="5" t="str">
        <f t="shared" si="63"/>
        <v>March</v>
      </c>
      <c r="C1387" s="5" t="s">
        <v>19</v>
      </c>
      <c r="D1387" s="5" t="s">
        <v>24</v>
      </c>
      <c r="E1387" s="5">
        <v>11</v>
      </c>
      <c r="F1387" s="5">
        <v>365.75</v>
      </c>
      <c r="G1387" s="6">
        <f t="shared" si="64"/>
        <v>4023.25</v>
      </c>
      <c r="H1387" s="5" t="s">
        <v>81</v>
      </c>
      <c r="I1387" s="5" t="s">
        <v>54</v>
      </c>
      <c r="J1387" s="5">
        <v>0.05</v>
      </c>
      <c r="K1387" s="5" t="s">
        <v>89</v>
      </c>
      <c r="L1387" s="6">
        <v>3822.0875</v>
      </c>
      <c r="M1387" s="5" t="s">
        <v>33</v>
      </c>
      <c r="N1387" s="5" t="s">
        <v>56</v>
      </c>
      <c r="O1387" s="5">
        <v>1</v>
      </c>
      <c r="P1387" s="5" t="s">
        <v>2741</v>
      </c>
      <c r="Q1387" s="5" t="s">
        <v>2742</v>
      </c>
      <c r="R1387" s="5">
        <v>8.37</v>
      </c>
      <c r="S1387" s="4">
        <v>45738</v>
      </c>
      <c r="T1387" s="4">
        <v>45743</v>
      </c>
      <c r="U1387" s="5">
        <f t="shared" si="65"/>
        <v>5</v>
      </c>
      <c r="V1387" s="5" t="s">
        <v>76</v>
      </c>
      <c r="X1387" s="5"/>
    </row>
    <row r="1388" spans="1:24">
      <c r="A1388" s="4">
        <v>45521</v>
      </c>
      <c r="B1388" s="5" t="str">
        <f t="shared" si="63"/>
        <v>August</v>
      </c>
      <c r="C1388" s="5" t="s">
        <v>16</v>
      </c>
      <c r="D1388" s="5" t="s">
        <v>23</v>
      </c>
      <c r="E1388" s="5">
        <v>7</v>
      </c>
      <c r="F1388" s="5">
        <v>106.88</v>
      </c>
      <c r="G1388" s="6">
        <f t="shared" si="64"/>
        <v>748.16</v>
      </c>
      <c r="H1388" s="5" t="s">
        <v>77</v>
      </c>
      <c r="I1388" s="5" t="s">
        <v>62</v>
      </c>
      <c r="J1388" s="5">
        <v>0.05</v>
      </c>
      <c r="K1388" s="5" t="s">
        <v>82</v>
      </c>
      <c r="L1388" s="6">
        <v>710.752</v>
      </c>
      <c r="M1388" s="5" t="s">
        <v>34</v>
      </c>
      <c r="N1388" s="5" t="s">
        <v>69</v>
      </c>
      <c r="O1388" s="5">
        <v>1</v>
      </c>
      <c r="P1388" s="5" t="s">
        <v>2743</v>
      </c>
      <c r="Q1388" s="5" t="s">
        <v>2744</v>
      </c>
      <c r="R1388" s="5">
        <v>26.12</v>
      </c>
      <c r="S1388" s="4">
        <v>45521</v>
      </c>
      <c r="T1388" s="4">
        <v>45528</v>
      </c>
      <c r="U1388" s="5">
        <f t="shared" si="65"/>
        <v>7</v>
      </c>
      <c r="V1388" s="5" t="s">
        <v>59</v>
      </c>
      <c r="X1388" s="5"/>
    </row>
    <row r="1389" spans="1:24">
      <c r="A1389" s="4">
        <v>45445</v>
      </c>
      <c r="B1389" s="5" t="str">
        <f t="shared" si="63"/>
        <v>June</v>
      </c>
      <c r="C1389" s="5" t="s">
        <v>17</v>
      </c>
      <c r="D1389" s="5" t="s">
        <v>27</v>
      </c>
      <c r="E1389" s="5">
        <v>2</v>
      </c>
      <c r="F1389" s="5">
        <v>250.98</v>
      </c>
      <c r="G1389" s="6">
        <f t="shared" si="64"/>
        <v>501.96</v>
      </c>
      <c r="H1389" s="5" t="s">
        <v>53</v>
      </c>
      <c r="I1389" s="5" t="s">
        <v>54</v>
      </c>
      <c r="J1389" s="5">
        <v>0.1</v>
      </c>
      <c r="K1389" s="5" t="s">
        <v>55</v>
      </c>
      <c r="L1389" s="6">
        <v>451.764</v>
      </c>
      <c r="M1389" s="5" t="s">
        <v>30</v>
      </c>
      <c r="N1389" s="5" t="s">
        <v>69</v>
      </c>
      <c r="O1389" s="5">
        <v>0</v>
      </c>
      <c r="P1389" s="5" t="s">
        <v>2745</v>
      </c>
      <c r="Q1389" s="5" t="s">
        <v>2746</v>
      </c>
      <c r="R1389" s="5">
        <v>18.8</v>
      </c>
      <c r="S1389" s="4">
        <v>45445</v>
      </c>
      <c r="T1389" s="4">
        <v>45455</v>
      </c>
      <c r="U1389" s="5">
        <f t="shared" si="65"/>
        <v>10</v>
      </c>
      <c r="V1389" s="5" t="s">
        <v>67</v>
      </c>
      <c r="X1389" s="5"/>
    </row>
    <row r="1390" spans="1:24">
      <c r="A1390" s="4">
        <v>45016</v>
      </c>
      <c r="B1390" s="5" t="str">
        <f t="shared" si="63"/>
        <v>March</v>
      </c>
      <c r="C1390" s="5" t="s">
        <v>17</v>
      </c>
      <c r="D1390" s="5" t="s">
        <v>26</v>
      </c>
      <c r="E1390" s="5">
        <v>8</v>
      </c>
      <c r="F1390" s="5">
        <v>591.29</v>
      </c>
      <c r="G1390" s="6">
        <f t="shared" si="64"/>
        <v>4730.32</v>
      </c>
      <c r="H1390" s="5" t="s">
        <v>77</v>
      </c>
      <c r="I1390" s="5" t="s">
        <v>62</v>
      </c>
      <c r="J1390" s="5">
        <v>0.1</v>
      </c>
      <c r="K1390" s="5" t="s">
        <v>82</v>
      </c>
      <c r="L1390" s="6">
        <v>4257.288</v>
      </c>
      <c r="M1390" s="5" t="s">
        <v>32</v>
      </c>
      <c r="N1390" s="5"/>
      <c r="O1390" s="5">
        <v>1</v>
      </c>
      <c r="P1390" s="5" t="s">
        <v>2747</v>
      </c>
      <c r="Q1390" s="5" t="s">
        <v>2748</v>
      </c>
      <c r="R1390" s="5">
        <v>45.14</v>
      </c>
      <c r="S1390" s="4">
        <v>45016</v>
      </c>
      <c r="T1390" s="4">
        <v>45026</v>
      </c>
      <c r="U1390" s="5">
        <f t="shared" si="65"/>
        <v>10</v>
      </c>
      <c r="V1390" s="5" t="s">
        <v>67</v>
      </c>
      <c r="X1390" s="5"/>
    </row>
    <row r="1391" spans="1:24">
      <c r="A1391" s="4">
        <v>45431</v>
      </c>
      <c r="B1391" s="5" t="str">
        <f t="shared" si="63"/>
        <v>May</v>
      </c>
      <c r="C1391" s="5" t="s">
        <v>20</v>
      </c>
      <c r="D1391" s="5" t="s">
        <v>26</v>
      </c>
      <c r="E1391" s="5">
        <v>18</v>
      </c>
      <c r="F1391" s="5">
        <v>369.79</v>
      </c>
      <c r="G1391" s="6">
        <f t="shared" si="64"/>
        <v>6656.22</v>
      </c>
      <c r="H1391" s="5" t="s">
        <v>61</v>
      </c>
      <c r="I1391" s="5" t="s">
        <v>54</v>
      </c>
      <c r="J1391" s="5">
        <v>0.05</v>
      </c>
      <c r="K1391" s="5" t="s">
        <v>55</v>
      </c>
      <c r="L1391" s="6">
        <v>6323.409</v>
      </c>
      <c r="M1391" s="5" t="s">
        <v>34</v>
      </c>
      <c r="N1391" s="5" t="s">
        <v>56</v>
      </c>
      <c r="O1391" s="5">
        <v>1</v>
      </c>
      <c r="P1391" s="5" t="s">
        <v>2749</v>
      </c>
      <c r="Q1391" s="5" t="s">
        <v>2750</v>
      </c>
      <c r="R1391" s="5">
        <v>16.4</v>
      </c>
      <c r="S1391" s="4">
        <v>45431</v>
      </c>
      <c r="T1391" s="4">
        <v>45435</v>
      </c>
      <c r="U1391" s="5">
        <f t="shared" si="65"/>
        <v>4</v>
      </c>
      <c r="V1391" s="5" t="s">
        <v>94</v>
      </c>
      <c r="X1391" s="5"/>
    </row>
    <row r="1392" spans="1:24">
      <c r="A1392" s="4">
        <v>44987</v>
      </c>
      <c r="B1392" s="5" t="str">
        <f t="shared" si="63"/>
        <v>March</v>
      </c>
      <c r="C1392" s="5" t="s">
        <v>20</v>
      </c>
      <c r="D1392" s="5" t="s">
        <v>24</v>
      </c>
      <c r="E1392" s="5">
        <v>15</v>
      </c>
      <c r="F1392" s="5">
        <v>166.24</v>
      </c>
      <c r="G1392" s="6">
        <f t="shared" si="64"/>
        <v>2493.6</v>
      </c>
      <c r="H1392" s="5" t="s">
        <v>81</v>
      </c>
      <c r="I1392" s="5" t="s">
        <v>54</v>
      </c>
      <c r="J1392" s="5">
        <v>0.1</v>
      </c>
      <c r="K1392" s="5" t="s">
        <v>82</v>
      </c>
      <c r="L1392" s="6">
        <v>2244.24</v>
      </c>
      <c r="M1392" s="5" t="s">
        <v>33</v>
      </c>
      <c r="N1392" s="5" t="s">
        <v>64</v>
      </c>
      <c r="O1392" s="5">
        <v>0</v>
      </c>
      <c r="P1392" s="5" t="s">
        <v>2751</v>
      </c>
      <c r="Q1392" s="5" t="s">
        <v>2752</v>
      </c>
      <c r="R1392" s="5">
        <v>9.86</v>
      </c>
      <c r="S1392" s="4">
        <v>44987</v>
      </c>
      <c r="T1392" s="4">
        <v>44990</v>
      </c>
      <c r="U1392" s="5">
        <f t="shared" si="65"/>
        <v>3</v>
      </c>
      <c r="V1392" s="5" t="s">
        <v>94</v>
      </c>
      <c r="X1392" s="5"/>
    </row>
    <row r="1393" spans="1:24">
      <c r="A1393" s="4">
        <v>44998</v>
      </c>
      <c r="B1393" s="5" t="str">
        <f t="shared" si="63"/>
        <v>March</v>
      </c>
      <c r="C1393" s="5" t="s">
        <v>18</v>
      </c>
      <c r="D1393" s="5" t="s">
        <v>27</v>
      </c>
      <c r="E1393" s="5">
        <v>12</v>
      </c>
      <c r="F1393" s="5">
        <v>260.76</v>
      </c>
      <c r="G1393" s="6">
        <f t="shared" si="64"/>
        <v>3129.12</v>
      </c>
      <c r="H1393" s="5" t="s">
        <v>77</v>
      </c>
      <c r="I1393" s="5" t="s">
        <v>54</v>
      </c>
      <c r="J1393" s="5">
        <v>0.15</v>
      </c>
      <c r="K1393" s="5" t="s">
        <v>78</v>
      </c>
      <c r="L1393" s="6">
        <v>2659.752</v>
      </c>
      <c r="M1393" s="5" t="s">
        <v>30</v>
      </c>
      <c r="N1393" s="5"/>
      <c r="O1393" s="5">
        <v>0</v>
      </c>
      <c r="P1393" s="5" t="s">
        <v>2753</v>
      </c>
      <c r="Q1393" s="5" t="s">
        <v>2754</v>
      </c>
      <c r="R1393" s="5">
        <v>20.92</v>
      </c>
      <c r="S1393" s="4">
        <v>44998</v>
      </c>
      <c r="T1393" s="4">
        <v>45007</v>
      </c>
      <c r="U1393" s="5">
        <f t="shared" si="65"/>
        <v>9</v>
      </c>
      <c r="V1393" s="5" t="s">
        <v>72</v>
      </c>
      <c r="X1393" s="5"/>
    </row>
    <row r="1394" spans="1:24">
      <c r="A1394" s="4">
        <v>45763</v>
      </c>
      <c r="B1394" s="5" t="str">
        <f t="shared" si="63"/>
        <v>April</v>
      </c>
      <c r="C1394" s="5" t="s">
        <v>20</v>
      </c>
      <c r="D1394" s="5" t="s">
        <v>22</v>
      </c>
      <c r="E1394" s="5">
        <v>10</v>
      </c>
      <c r="F1394" s="5">
        <v>348.63</v>
      </c>
      <c r="G1394" s="6">
        <f t="shared" si="64"/>
        <v>3486.3</v>
      </c>
      <c r="H1394" s="5" t="s">
        <v>81</v>
      </c>
      <c r="I1394" s="5" t="s">
        <v>54</v>
      </c>
      <c r="J1394" s="5">
        <v>0.05</v>
      </c>
      <c r="K1394" s="5" t="s">
        <v>82</v>
      </c>
      <c r="L1394" s="6">
        <v>3311.985</v>
      </c>
      <c r="M1394" s="5" t="s">
        <v>32</v>
      </c>
      <c r="N1394" s="5"/>
      <c r="O1394" s="5">
        <v>1</v>
      </c>
      <c r="P1394" s="5" t="s">
        <v>2755</v>
      </c>
      <c r="Q1394" s="5" t="s">
        <v>2756</v>
      </c>
      <c r="R1394" s="5">
        <v>42.79</v>
      </c>
      <c r="S1394" s="4">
        <v>45763</v>
      </c>
      <c r="T1394" s="4">
        <v>45765</v>
      </c>
      <c r="U1394" s="5">
        <f t="shared" si="65"/>
        <v>2</v>
      </c>
      <c r="V1394" s="5" t="s">
        <v>94</v>
      </c>
      <c r="X1394" s="5"/>
    </row>
    <row r="1395" spans="1:24">
      <c r="A1395" s="4">
        <v>45448</v>
      </c>
      <c r="B1395" s="5" t="str">
        <f t="shared" si="63"/>
        <v>June</v>
      </c>
      <c r="C1395" s="5" t="s">
        <v>18</v>
      </c>
      <c r="D1395" s="5" t="s">
        <v>25</v>
      </c>
      <c r="E1395" s="5">
        <v>5</v>
      </c>
      <c r="F1395" s="5">
        <v>473.28</v>
      </c>
      <c r="G1395" s="6">
        <f t="shared" si="64"/>
        <v>2366.4</v>
      </c>
      <c r="H1395" s="5" t="s">
        <v>61</v>
      </c>
      <c r="I1395" s="5" t="s">
        <v>62</v>
      </c>
      <c r="J1395" s="5">
        <v>0</v>
      </c>
      <c r="K1395" s="5" t="s">
        <v>82</v>
      </c>
      <c r="L1395" s="6">
        <v>2366.4</v>
      </c>
      <c r="M1395" s="5" t="s">
        <v>32</v>
      </c>
      <c r="N1395" s="5" t="s">
        <v>64</v>
      </c>
      <c r="O1395" s="5">
        <v>1</v>
      </c>
      <c r="P1395" s="5" t="s">
        <v>2757</v>
      </c>
      <c r="Q1395" s="5" t="s">
        <v>2758</v>
      </c>
      <c r="R1395" s="5">
        <v>30.69</v>
      </c>
      <c r="S1395" s="4">
        <v>45448</v>
      </c>
      <c r="T1395" s="4">
        <v>45458</v>
      </c>
      <c r="U1395" s="5">
        <f t="shared" si="65"/>
        <v>10</v>
      </c>
      <c r="V1395" s="5" t="s">
        <v>72</v>
      </c>
      <c r="X1395" s="5"/>
    </row>
    <row r="1396" spans="1:24">
      <c r="A1396" s="4">
        <v>45536</v>
      </c>
      <c r="B1396" s="5" t="str">
        <f t="shared" si="63"/>
        <v>September</v>
      </c>
      <c r="C1396" s="5" t="s">
        <v>18</v>
      </c>
      <c r="D1396" s="5" t="s">
        <v>25</v>
      </c>
      <c r="E1396" s="5">
        <v>16</v>
      </c>
      <c r="F1396" s="5">
        <v>401.83</v>
      </c>
      <c r="G1396" s="6">
        <f t="shared" si="64"/>
        <v>6429.28</v>
      </c>
      <c r="H1396" s="5" t="s">
        <v>53</v>
      </c>
      <c r="I1396" s="5" t="s">
        <v>62</v>
      </c>
      <c r="J1396" s="5">
        <v>0</v>
      </c>
      <c r="K1396" s="5" t="s">
        <v>55</v>
      </c>
      <c r="L1396" s="6">
        <v>6429.28</v>
      </c>
      <c r="M1396" s="5" t="s">
        <v>34</v>
      </c>
      <c r="N1396" s="5" t="s">
        <v>56</v>
      </c>
      <c r="O1396" s="5">
        <v>0</v>
      </c>
      <c r="P1396" s="5" t="s">
        <v>2759</v>
      </c>
      <c r="Q1396" s="5" t="s">
        <v>1328</v>
      </c>
      <c r="R1396" s="5">
        <v>21.54</v>
      </c>
      <c r="S1396" s="4">
        <v>45536</v>
      </c>
      <c r="T1396" s="4">
        <v>45540</v>
      </c>
      <c r="U1396" s="5">
        <f t="shared" si="65"/>
        <v>4</v>
      </c>
      <c r="V1396" s="5" t="s">
        <v>72</v>
      </c>
      <c r="X1396" s="5"/>
    </row>
    <row r="1397" spans="1:24">
      <c r="A1397" s="4">
        <v>45556</v>
      </c>
      <c r="B1397" s="5" t="str">
        <f t="shared" si="63"/>
        <v>September</v>
      </c>
      <c r="C1397" s="5" t="s">
        <v>18</v>
      </c>
      <c r="D1397" s="5" t="s">
        <v>23</v>
      </c>
      <c r="E1397" s="5">
        <v>10</v>
      </c>
      <c r="F1397" s="5">
        <v>269.29</v>
      </c>
      <c r="G1397" s="6">
        <f t="shared" si="64"/>
        <v>2692.9</v>
      </c>
      <c r="H1397" s="5" t="s">
        <v>77</v>
      </c>
      <c r="I1397" s="5" t="s">
        <v>62</v>
      </c>
      <c r="J1397" s="5">
        <v>0</v>
      </c>
      <c r="K1397" s="5" t="s">
        <v>55</v>
      </c>
      <c r="L1397" s="6">
        <v>2692.9</v>
      </c>
      <c r="M1397" s="5" t="s">
        <v>33</v>
      </c>
      <c r="N1397" s="5" t="s">
        <v>64</v>
      </c>
      <c r="O1397" s="5">
        <v>0</v>
      </c>
      <c r="P1397" s="5" t="s">
        <v>2760</v>
      </c>
      <c r="Q1397" s="5" t="s">
        <v>2501</v>
      </c>
      <c r="R1397" s="5">
        <v>14.09</v>
      </c>
      <c r="S1397" s="4">
        <v>45556</v>
      </c>
      <c r="T1397" s="4">
        <v>45565</v>
      </c>
      <c r="U1397" s="5">
        <f t="shared" si="65"/>
        <v>9</v>
      </c>
      <c r="V1397" s="5" t="s">
        <v>72</v>
      </c>
      <c r="X1397" s="5"/>
    </row>
    <row r="1398" spans="1:24">
      <c r="A1398" s="4">
        <v>45668</v>
      </c>
      <c r="B1398" s="5" t="str">
        <f t="shared" si="63"/>
        <v>January</v>
      </c>
      <c r="C1398" s="5" t="s">
        <v>18</v>
      </c>
      <c r="D1398" s="5" t="s">
        <v>24</v>
      </c>
      <c r="E1398" s="5">
        <v>4</v>
      </c>
      <c r="F1398" s="5">
        <v>323.02</v>
      </c>
      <c r="G1398" s="6">
        <f t="shared" si="64"/>
        <v>1292.08</v>
      </c>
      <c r="H1398" s="5" t="s">
        <v>77</v>
      </c>
      <c r="I1398" s="5" t="s">
        <v>62</v>
      </c>
      <c r="J1398" s="5">
        <v>0.05</v>
      </c>
      <c r="K1398" s="5" t="s">
        <v>82</v>
      </c>
      <c r="L1398" s="6">
        <v>1227.476</v>
      </c>
      <c r="M1398" s="5" t="s">
        <v>34</v>
      </c>
      <c r="N1398" s="5"/>
      <c r="O1398" s="5">
        <v>0</v>
      </c>
      <c r="P1398" s="5" t="s">
        <v>2761</v>
      </c>
      <c r="Q1398" s="5" t="s">
        <v>2762</v>
      </c>
      <c r="R1398" s="5">
        <v>19.53</v>
      </c>
      <c r="S1398" s="4">
        <v>45668</v>
      </c>
      <c r="T1398" s="4">
        <v>45673</v>
      </c>
      <c r="U1398" s="5">
        <f t="shared" si="65"/>
        <v>5</v>
      </c>
      <c r="V1398" s="5" t="s">
        <v>72</v>
      </c>
      <c r="X1398" s="5"/>
    </row>
    <row r="1399" spans="1:24">
      <c r="A1399" s="4">
        <v>44930</v>
      </c>
      <c r="B1399" s="5" t="str">
        <f t="shared" si="63"/>
        <v>January</v>
      </c>
      <c r="C1399" s="5" t="s">
        <v>20</v>
      </c>
      <c r="D1399" s="5" t="s">
        <v>26</v>
      </c>
      <c r="E1399" s="5">
        <v>15</v>
      </c>
      <c r="F1399" s="5">
        <v>439.89</v>
      </c>
      <c r="G1399" s="6">
        <f t="shared" si="64"/>
        <v>6598.35</v>
      </c>
      <c r="H1399" s="5" t="s">
        <v>81</v>
      </c>
      <c r="I1399" s="5" t="s">
        <v>62</v>
      </c>
      <c r="J1399" s="5">
        <v>0.15</v>
      </c>
      <c r="K1399" s="5" t="s">
        <v>82</v>
      </c>
      <c r="L1399" s="6">
        <v>5608.5975</v>
      </c>
      <c r="M1399" s="5" t="s">
        <v>30</v>
      </c>
      <c r="N1399" s="5" t="s">
        <v>56</v>
      </c>
      <c r="O1399" s="5">
        <v>0</v>
      </c>
      <c r="P1399" s="5" t="s">
        <v>2763</v>
      </c>
      <c r="Q1399" s="5" t="s">
        <v>2764</v>
      </c>
      <c r="R1399" s="5">
        <v>49.71</v>
      </c>
      <c r="S1399" s="4">
        <v>44930</v>
      </c>
      <c r="T1399" s="4">
        <v>44934</v>
      </c>
      <c r="U1399" s="5">
        <f t="shared" si="65"/>
        <v>4</v>
      </c>
      <c r="V1399" s="5" t="s">
        <v>94</v>
      </c>
      <c r="X1399" s="5"/>
    </row>
    <row r="1400" spans="1:24">
      <c r="A1400" s="4">
        <v>45048</v>
      </c>
      <c r="B1400" s="5" t="str">
        <f t="shared" si="63"/>
        <v>May</v>
      </c>
      <c r="C1400" s="5" t="s">
        <v>20</v>
      </c>
      <c r="D1400" s="5" t="s">
        <v>26</v>
      </c>
      <c r="E1400" s="5">
        <v>16</v>
      </c>
      <c r="F1400" s="5">
        <v>483.09</v>
      </c>
      <c r="G1400" s="6">
        <f t="shared" si="64"/>
        <v>7729.44</v>
      </c>
      <c r="H1400" s="5" t="s">
        <v>77</v>
      </c>
      <c r="I1400" s="5" t="s">
        <v>54</v>
      </c>
      <c r="J1400" s="5">
        <v>0.05</v>
      </c>
      <c r="K1400" s="5" t="s">
        <v>63</v>
      </c>
      <c r="L1400" s="6">
        <v>7342.968</v>
      </c>
      <c r="M1400" s="5" t="s">
        <v>33</v>
      </c>
      <c r="N1400" s="5"/>
      <c r="O1400" s="5">
        <v>1</v>
      </c>
      <c r="P1400" s="5" t="s">
        <v>2765</v>
      </c>
      <c r="Q1400" s="5" t="s">
        <v>2531</v>
      </c>
      <c r="R1400" s="5">
        <v>37.66</v>
      </c>
      <c r="S1400" s="4">
        <v>45048</v>
      </c>
      <c r="T1400" s="4">
        <v>45051</v>
      </c>
      <c r="U1400" s="5">
        <f t="shared" si="65"/>
        <v>3</v>
      </c>
      <c r="V1400" s="5" t="s">
        <v>94</v>
      </c>
      <c r="X1400" s="5"/>
    </row>
    <row r="1401" spans="1:24">
      <c r="A1401" s="4">
        <v>45116</v>
      </c>
      <c r="B1401" s="5" t="str">
        <f t="shared" si="63"/>
        <v>July</v>
      </c>
      <c r="C1401" s="5" t="s">
        <v>16</v>
      </c>
      <c r="D1401" s="5" t="s">
        <v>23</v>
      </c>
      <c r="E1401" s="5">
        <v>13</v>
      </c>
      <c r="F1401" s="5">
        <v>27.39</v>
      </c>
      <c r="G1401" s="6">
        <f t="shared" si="64"/>
        <v>356.07</v>
      </c>
      <c r="H1401" s="5" t="s">
        <v>53</v>
      </c>
      <c r="I1401" s="5" t="s">
        <v>62</v>
      </c>
      <c r="J1401" s="5">
        <v>0.15</v>
      </c>
      <c r="K1401" s="5" t="s">
        <v>73</v>
      </c>
      <c r="L1401" s="6">
        <v>302.6595</v>
      </c>
      <c r="M1401" s="5" t="s">
        <v>34</v>
      </c>
      <c r="N1401" s="5"/>
      <c r="O1401" s="5">
        <v>0</v>
      </c>
      <c r="P1401" s="5" t="s">
        <v>2766</v>
      </c>
      <c r="Q1401" s="5" t="s">
        <v>2767</v>
      </c>
      <c r="R1401" s="5">
        <v>22.95</v>
      </c>
      <c r="S1401" s="4">
        <v>45116</v>
      </c>
      <c r="T1401" s="4">
        <v>45121</v>
      </c>
      <c r="U1401" s="5">
        <f t="shared" si="65"/>
        <v>5</v>
      </c>
      <c r="V1401" s="5" t="s">
        <v>59</v>
      </c>
      <c r="X1401" s="5"/>
    </row>
    <row r="1402" spans="1:24">
      <c r="A1402" s="4">
        <v>45715</v>
      </c>
      <c r="B1402" s="5" t="str">
        <f t="shared" si="63"/>
        <v>February</v>
      </c>
      <c r="C1402" s="5" t="s">
        <v>16</v>
      </c>
      <c r="D1402" s="5" t="s">
        <v>26</v>
      </c>
      <c r="E1402" s="5">
        <v>18</v>
      </c>
      <c r="F1402" s="5">
        <v>432.52</v>
      </c>
      <c r="G1402" s="6">
        <f t="shared" si="64"/>
        <v>7785.36</v>
      </c>
      <c r="H1402" s="5" t="s">
        <v>81</v>
      </c>
      <c r="I1402" s="5" t="s">
        <v>62</v>
      </c>
      <c r="J1402" s="5">
        <v>0.05</v>
      </c>
      <c r="K1402" s="5" t="s">
        <v>89</v>
      </c>
      <c r="L1402" s="6">
        <v>7396.092</v>
      </c>
      <c r="M1402" s="5" t="s">
        <v>32</v>
      </c>
      <c r="N1402" s="5" t="s">
        <v>64</v>
      </c>
      <c r="O1402" s="5">
        <v>1</v>
      </c>
      <c r="P1402" s="5" t="s">
        <v>2768</v>
      </c>
      <c r="Q1402" s="5" t="s">
        <v>100</v>
      </c>
      <c r="R1402" s="5">
        <v>34.19</v>
      </c>
      <c r="S1402" s="4">
        <v>45715</v>
      </c>
      <c r="T1402" s="4">
        <v>45720</v>
      </c>
      <c r="U1402" s="5">
        <f t="shared" si="65"/>
        <v>5</v>
      </c>
      <c r="V1402" s="5" t="s">
        <v>59</v>
      </c>
      <c r="X1402" s="5"/>
    </row>
    <row r="1403" spans="1:24">
      <c r="A1403" s="4">
        <v>45558</v>
      </c>
      <c r="B1403" s="5" t="str">
        <f t="shared" si="63"/>
        <v>September</v>
      </c>
      <c r="C1403" s="5" t="s">
        <v>20</v>
      </c>
      <c r="D1403" s="5" t="s">
        <v>27</v>
      </c>
      <c r="E1403" s="5">
        <v>3</v>
      </c>
      <c r="F1403" s="5">
        <v>360.93</v>
      </c>
      <c r="G1403" s="6">
        <f t="shared" si="64"/>
        <v>1082.79</v>
      </c>
      <c r="H1403" s="5" t="s">
        <v>53</v>
      </c>
      <c r="I1403" s="5" t="s">
        <v>54</v>
      </c>
      <c r="J1403" s="5">
        <v>0.15</v>
      </c>
      <c r="K1403" s="5" t="s">
        <v>82</v>
      </c>
      <c r="L1403" s="6">
        <v>920.3715</v>
      </c>
      <c r="M1403" s="5" t="s">
        <v>33</v>
      </c>
      <c r="N1403" s="5" t="s">
        <v>69</v>
      </c>
      <c r="O1403" s="5">
        <v>0</v>
      </c>
      <c r="P1403" s="5" t="s">
        <v>2769</v>
      </c>
      <c r="Q1403" s="5" t="s">
        <v>2770</v>
      </c>
      <c r="R1403" s="5">
        <v>35.61</v>
      </c>
      <c r="S1403" s="4">
        <v>45558</v>
      </c>
      <c r="T1403" s="4">
        <v>45564</v>
      </c>
      <c r="U1403" s="5">
        <f t="shared" si="65"/>
        <v>6</v>
      </c>
      <c r="V1403" s="5" t="s">
        <v>94</v>
      </c>
      <c r="X1403" s="5"/>
    </row>
    <row r="1404" spans="1:24">
      <c r="A1404" s="4">
        <v>45830</v>
      </c>
      <c r="B1404" s="5" t="str">
        <f t="shared" si="63"/>
        <v>June</v>
      </c>
      <c r="C1404" s="5" t="s">
        <v>16</v>
      </c>
      <c r="D1404" s="5" t="s">
        <v>101</v>
      </c>
      <c r="E1404" s="5">
        <v>5</v>
      </c>
      <c r="F1404" s="5">
        <v>414.58</v>
      </c>
      <c r="G1404" s="6">
        <f t="shared" si="64"/>
        <v>2072.9</v>
      </c>
      <c r="H1404" s="5" t="s">
        <v>53</v>
      </c>
      <c r="I1404" s="5" t="s">
        <v>62</v>
      </c>
      <c r="J1404" s="5">
        <v>0.1</v>
      </c>
      <c r="K1404" s="5" t="s">
        <v>82</v>
      </c>
      <c r="L1404" s="6">
        <v>1865.61</v>
      </c>
      <c r="M1404" s="5" t="s">
        <v>31</v>
      </c>
      <c r="N1404" s="5"/>
      <c r="O1404" s="5">
        <v>0</v>
      </c>
      <c r="P1404" s="5" t="s">
        <v>2771</v>
      </c>
      <c r="Q1404" s="5" t="s">
        <v>2772</v>
      </c>
      <c r="R1404" s="5">
        <v>14.98</v>
      </c>
      <c r="S1404" s="4">
        <v>45830</v>
      </c>
      <c r="T1404" s="4">
        <v>45839</v>
      </c>
      <c r="U1404" s="5">
        <f t="shared" si="65"/>
        <v>9</v>
      </c>
      <c r="V1404" s="5" t="s">
        <v>59</v>
      </c>
      <c r="X1404" s="5"/>
    </row>
    <row r="1405" spans="1:24">
      <c r="A1405" s="4">
        <v>45676</v>
      </c>
      <c r="B1405" s="5" t="str">
        <f t="shared" si="63"/>
        <v>January</v>
      </c>
      <c r="C1405" s="5" t="s">
        <v>19</v>
      </c>
      <c r="D1405" s="5" t="s">
        <v>101</v>
      </c>
      <c r="E1405" s="5">
        <v>4</v>
      </c>
      <c r="F1405" s="5">
        <v>68.04</v>
      </c>
      <c r="G1405" s="6">
        <f t="shared" si="64"/>
        <v>272.16</v>
      </c>
      <c r="H1405" s="5" t="s">
        <v>77</v>
      </c>
      <c r="I1405" s="5" t="s">
        <v>54</v>
      </c>
      <c r="J1405" s="5">
        <v>0</v>
      </c>
      <c r="K1405" s="5" t="s">
        <v>89</v>
      </c>
      <c r="L1405" s="6">
        <v>272.16</v>
      </c>
      <c r="M1405" s="5" t="s">
        <v>30</v>
      </c>
      <c r="N1405" s="5" t="s">
        <v>56</v>
      </c>
      <c r="O1405" s="5">
        <v>0</v>
      </c>
      <c r="P1405" s="5" t="s">
        <v>2773</v>
      </c>
      <c r="Q1405" s="5" t="s">
        <v>2774</v>
      </c>
      <c r="R1405" s="5">
        <v>18.72</v>
      </c>
      <c r="S1405" s="4">
        <v>45676</v>
      </c>
      <c r="T1405" s="4">
        <v>45685</v>
      </c>
      <c r="U1405" s="5">
        <f t="shared" si="65"/>
        <v>9</v>
      </c>
      <c r="V1405" s="5" t="s">
        <v>76</v>
      </c>
      <c r="X1405" s="5"/>
    </row>
    <row r="1406" spans="1:24">
      <c r="A1406" s="4">
        <v>45691</v>
      </c>
      <c r="B1406" s="5" t="str">
        <f t="shared" si="63"/>
        <v>February</v>
      </c>
      <c r="C1406" s="5" t="s">
        <v>16</v>
      </c>
      <c r="D1406" s="5" t="s">
        <v>23</v>
      </c>
      <c r="E1406" s="5">
        <v>10</v>
      </c>
      <c r="F1406" s="5">
        <v>407.99</v>
      </c>
      <c r="G1406" s="6">
        <f t="shared" si="64"/>
        <v>4079.9</v>
      </c>
      <c r="H1406" s="5" t="s">
        <v>77</v>
      </c>
      <c r="I1406" s="5" t="s">
        <v>62</v>
      </c>
      <c r="J1406" s="5">
        <v>0.15</v>
      </c>
      <c r="K1406" s="5" t="s">
        <v>55</v>
      </c>
      <c r="L1406" s="6">
        <v>3467.915</v>
      </c>
      <c r="M1406" s="5" t="s">
        <v>34</v>
      </c>
      <c r="N1406" s="5"/>
      <c r="O1406" s="5">
        <v>0</v>
      </c>
      <c r="P1406" s="5" t="s">
        <v>2775</v>
      </c>
      <c r="Q1406" s="5" t="s">
        <v>2776</v>
      </c>
      <c r="R1406" s="5">
        <v>49.59</v>
      </c>
      <c r="S1406" s="4">
        <v>45691</v>
      </c>
      <c r="T1406" s="4">
        <v>45696</v>
      </c>
      <c r="U1406" s="5">
        <f t="shared" si="65"/>
        <v>5</v>
      </c>
      <c r="V1406" s="5" t="s">
        <v>59</v>
      </c>
      <c r="X1406" s="5"/>
    </row>
    <row r="1407" spans="1:24">
      <c r="A1407" s="4">
        <v>45241</v>
      </c>
      <c r="B1407" s="5" t="str">
        <f t="shared" si="63"/>
        <v>November</v>
      </c>
      <c r="C1407" s="5" t="s">
        <v>16</v>
      </c>
      <c r="D1407" s="5" t="s">
        <v>101</v>
      </c>
      <c r="E1407" s="5">
        <v>15</v>
      </c>
      <c r="F1407" s="5">
        <v>274.77</v>
      </c>
      <c r="G1407" s="6">
        <f t="shared" si="64"/>
        <v>4121.55</v>
      </c>
      <c r="H1407" s="5" t="s">
        <v>81</v>
      </c>
      <c r="I1407" s="5" t="s">
        <v>62</v>
      </c>
      <c r="J1407" s="5">
        <v>0</v>
      </c>
      <c r="K1407" s="5" t="s">
        <v>55</v>
      </c>
      <c r="L1407" s="6">
        <v>4121.55</v>
      </c>
      <c r="M1407" s="5" t="s">
        <v>34</v>
      </c>
      <c r="N1407" s="5"/>
      <c r="O1407" s="5">
        <v>1</v>
      </c>
      <c r="P1407" s="5" t="s">
        <v>2777</v>
      </c>
      <c r="Q1407" s="5" t="s">
        <v>2778</v>
      </c>
      <c r="R1407" s="5">
        <v>19.37</v>
      </c>
      <c r="S1407" s="4">
        <v>45241</v>
      </c>
      <c r="T1407" s="4">
        <v>45247</v>
      </c>
      <c r="U1407" s="5">
        <f t="shared" si="65"/>
        <v>6</v>
      </c>
      <c r="V1407" s="5" t="s">
        <v>59</v>
      </c>
      <c r="X1407" s="5"/>
    </row>
    <row r="1408" spans="1:24">
      <c r="A1408" s="4">
        <v>45420</v>
      </c>
      <c r="B1408" s="5" t="str">
        <f t="shared" si="63"/>
        <v>May</v>
      </c>
      <c r="C1408" s="5" t="s">
        <v>16</v>
      </c>
      <c r="D1408" s="5" t="s">
        <v>24</v>
      </c>
      <c r="E1408" s="5">
        <v>15</v>
      </c>
      <c r="F1408" s="5">
        <v>31.81</v>
      </c>
      <c r="G1408" s="6">
        <f t="shared" si="64"/>
        <v>477.15</v>
      </c>
      <c r="H1408" s="5" t="s">
        <v>77</v>
      </c>
      <c r="I1408" s="5" t="s">
        <v>54</v>
      </c>
      <c r="J1408" s="5">
        <v>0.15</v>
      </c>
      <c r="K1408" s="5" t="s">
        <v>55</v>
      </c>
      <c r="L1408" s="6">
        <v>405.5775</v>
      </c>
      <c r="M1408" s="5" t="s">
        <v>34</v>
      </c>
      <c r="N1408" s="5" t="s">
        <v>64</v>
      </c>
      <c r="O1408" s="5">
        <v>0</v>
      </c>
      <c r="P1408" s="5" t="s">
        <v>2779</v>
      </c>
      <c r="Q1408" s="5" t="s">
        <v>2780</v>
      </c>
      <c r="R1408" s="5">
        <v>23.61</v>
      </c>
      <c r="S1408" s="4">
        <v>45420</v>
      </c>
      <c r="T1408" s="4">
        <v>45422</v>
      </c>
      <c r="U1408" s="5">
        <f t="shared" si="65"/>
        <v>2</v>
      </c>
      <c r="V1408" s="5" t="s">
        <v>59</v>
      </c>
      <c r="X1408" s="5"/>
    </row>
    <row r="1409" spans="1:24">
      <c r="A1409" s="4">
        <v>45187</v>
      </c>
      <c r="B1409" s="5" t="str">
        <f t="shared" si="63"/>
        <v>September</v>
      </c>
      <c r="C1409" s="5" t="s">
        <v>17</v>
      </c>
      <c r="D1409" s="5" t="s">
        <v>27</v>
      </c>
      <c r="E1409" s="5">
        <v>14</v>
      </c>
      <c r="F1409" s="5">
        <v>268.32</v>
      </c>
      <c r="G1409" s="6">
        <f t="shared" si="64"/>
        <v>3756.48</v>
      </c>
      <c r="H1409" s="5" t="s">
        <v>81</v>
      </c>
      <c r="I1409" s="5" t="s">
        <v>62</v>
      </c>
      <c r="J1409" s="5">
        <v>0</v>
      </c>
      <c r="K1409" s="5" t="s">
        <v>73</v>
      </c>
      <c r="L1409" s="6">
        <v>3756.48</v>
      </c>
      <c r="M1409" s="5" t="s">
        <v>30</v>
      </c>
      <c r="N1409" s="5" t="s">
        <v>69</v>
      </c>
      <c r="O1409" s="5">
        <v>0</v>
      </c>
      <c r="P1409" s="5" t="s">
        <v>2781</v>
      </c>
      <c r="Q1409" s="5" t="s">
        <v>2782</v>
      </c>
      <c r="R1409" s="5">
        <v>43.14</v>
      </c>
      <c r="S1409" s="4">
        <v>45187</v>
      </c>
      <c r="T1409" s="4">
        <v>45196</v>
      </c>
      <c r="U1409" s="5">
        <f t="shared" si="65"/>
        <v>9</v>
      </c>
      <c r="V1409" s="5" t="s">
        <v>67</v>
      </c>
      <c r="X1409" s="5"/>
    </row>
    <row r="1410" spans="1:24">
      <c r="A1410" s="4">
        <v>45752</v>
      </c>
      <c r="B1410" s="5" t="str">
        <f t="shared" si="63"/>
        <v>April</v>
      </c>
      <c r="C1410" s="5" t="s">
        <v>19</v>
      </c>
      <c r="D1410" s="5" t="s">
        <v>101</v>
      </c>
      <c r="E1410" s="5">
        <v>19</v>
      </c>
      <c r="F1410" s="5">
        <v>350.12</v>
      </c>
      <c r="G1410" s="6">
        <f t="shared" si="64"/>
        <v>6652.28</v>
      </c>
      <c r="H1410" s="5" t="s">
        <v>81</v>
      </c>
      <c r="I1410" s="5" t="s">
        <v>62</v>
      </c>
      <c r="J1410" s="5">
        <v>0.05</v>
      </c>
      <c r="K1410" s="5" t="s">
        <v>63</v>
      </c>
      <c r="L1410" s="6">
        <v>6319.666</v>
      </c>
      <c r="M1410" s="5" t="s">
        <v>32</v>
      </c>
      <c r="N1410" s="5" t="s">
        <v>56</v>
      </c>
      <c r="O1410" s="5">
        <v>0</v>
      </c>
      <c r="P1410" s="5" t="s">
        <v>2783</v>
      </c>
      <c r="Q1410" s="5" t="s">
        <v>1806</v>
      </c>
      <c r="R1410" s="5">
        <v>48.98</v>
      </c>
      <c r="S1410" s="4">
        <v>45752</v>
      </c>
      <c r="T1410" s="4">
        <v>45760</v>
      </c>
      <c r="U1410" s="5">
        <f t="shared" si="65"/>
        <v>8</v>
      </c>
      <c r="V1410" s="5" t="s">
        <v>76</v>
      </c>
      <c r="X1410" s="5"/>
    </row>
    <row r="1411" spans="1:24">
      <c r="A1411" s="4">
        <v>45182</v>
      </c>
      <c r="B1411" s="5" t="str">
        <f t="shared" ref="B1411:B1474" si="66">TEXT(A1411,"mmmm")</f>
        <v>September</v>
      </c>
      <c r="C1411" s="5" t="s">
        <v>19</v>
      </c>
      <c r="D1411" s="5" t="s">
        <v>24</v>
      </c>
      <c r="E1411" s="5">
        <v>9</v>
      </c>
      <c r="F1411" s="5">
        <v>329.15</v>
      </c>
      <c r="G1411" s="6">
        <f t="shared" ref="G1411:G1474" si="67">F1411*E1411</f>
        <v>2962.35</v>
      </c>
      <c r="H1411" s="5" t="s">
        <v>61</v>
      </c>
      <c r="I1411" s="5" t="s">
        <v>62</v>
      </c>
      <c r="J1411" s="5">
        <v>0.05</v>
      </c>
      <c r="K1411" s="5" t="s">
        <v>82</v>
      </c>
      <c r="L1411" s="6">
        <v>2814.2325</v>
      </c>
      <c r="M1411" s="5" t="s">
        <v>31</v>
      </c>
      <c r="N1411" s="5" t="s">
        <v>56</v>
      </c>
      <c r="O1411" s="5">
        <v>0</v>
      </c>
      <c r="P1411" s="5" t="s">
        <v>2784</v>
      </c>
      <c r="Q1411" s="5" t="s">
        <v>2785</v>
      </c>
      <c r="R1411" s="5">
        <v>29.41</v>
      </c>
      <c r="S1411" s="4">
        <v>45182</v>
      </c>
      <c r="T1411" s="4">
        <v>45184</v>
      </c>
      <c r="U1411" s="5">
        <f t="shared" ref="U1411:U1474" si="68">T1411-S1411</f>
        <v>2</v>
      </c>
      <c r="V1411" s="5" t="s">
        <v>76</v>
      </c>
      <c r="X1411" s="5"/>
    </row>
    <row r="1412" spans="1:24">
      <c r="A1412" s="4">
        <v>45471</v>
      </c>
      <c r="B1412" s="5" t="str">
        <f t="shared" si="66"/>
        <v>June</v>
      </c>
      <c r="C1412" s="5" t="s">
        <v>16</v>
      </c>
      <c r="D1412" s="5" t="s">
        <v>26</v>
      </c>
      <c r="E1412" s="5">
        <v>1</v>
      </c>
      <c r="F1412" s="5">
        <v>577.07</v>
      </c>
      <c r="G1412" s="6">
        <f t="shared" si="67"/>
        <v>577.07</v>
      </c>
      <c r="H1412" s="5" t="s">
        <v>77</v>
      </c>
      <c r="I1412" s="5" t="s">
        <v>54</v>
      </c>
      <c r="J1412" s="5">
        <v>0.05</v>
      </c>
      <c r="K1412" s="5" t="s">
        <v>73</v>
      </c>
      <c r="L1412" s="6">
        <v>548.2165</v>
      </c>
      <c r="M1412" s="5" t="s">
        <v>30</v>
      </c>
      <c r="N1412" s="5" t="s">
        <v>69</v>
      </c>
      <c r="O1412" s="5">
        <v>0</v>
      </c>
      <c r="P1412" s="5" t="s">
        <v>2786</v>
      </c>
      <c r="Q1412" s="5" t="s">
        <v>2787</v>
      </c>
      <c r="R1412" s="5">
        <v>22.97</v>
      </c>
      <c r="S1412" s="4">
        <v>45471</v>
      </c>
      <c r="T1412" s="4">
        <v>45479</v>
      </c>
      <c r="U1412" s="5">
        <f t="shared" si="68"/>
        <v>8</v>
      </c>
      <c r="V1412" s="5" t="s">
        <v>59</v>
      </c>
      <c r="X1412" s="5"/>
    </row>
    <row r="1413" spans="1:24">
      <c r="A1413" s="4">
        <v>45022</v>
      </c>
      <c r="B1413" s="5" t="str">
        <f t="shared" si="66"/>
        <v>April</v>
      </c>
      <c r="C1413" s="5" t="s">
        <v>19</v>
      </c>
      <c r="D1413" s="5" t="s">
        <v>25</v>
      </c>
      <c r="E1413" s="5">
        <v>6</v>
      </c>
      <c r="F1413" s="5">
        <v>544.33</v>
      </c>
      <c r="G1413" s="6">
        <f t="shared" si="67"/>
        <v>3265.98</v>
      </c>
      <c r="H1413" s="5" t="s">
        <v>53</v>
      </c>
      <c r="I1413" s="5" t="s">
        <v>54</v>
      </c>
      <c r="J1413" s="5">
        <v>0.1</v>
      </c>
      <c r="K1413" s="5" t="s">
        <v>78</v>
      </c>
      <c r="L1413" s="6">
        <v>2939.382</v>
      </c>
      <c r="M1413" s="5" t="s">
        <v>34</v>
      </c>
      <c r="N1413" s="5"/>
      <c r="O1413" s="5">
        <v>0</v>
      </c>
      <c r="P1413" s="5" t="s">
        <v>2788</v>
      </c>
      <c r="Q1413" s="5" t="s">
        <v>1007</v>
      </c>
      <c r="R1413" s="5">
        <v>11.52</v>
      </c>
      <c r="S1413" s="4">
        <v>45022</v>
      </c>
      <c r="T1413" s="4">
        <v>45024</v>
      </c>
      <c r="U1413" s="5">
        <f t="shared" si="68"/>
        <v>2</v>
      </c>
      <c r="V1413" s="5" t="s">
        <v>76</v>
      </c>
      <c r="X1413" s="5"/>
    </row>
    <row r="1414" spans="1:24">
      <c r="A1414" s="4">
        <v>45059</v>
      </c>
      <c r="B1414" s="5" t="str">
        <f t="shared" si="66"/>
        <v>May</v>
      </c>
      <c r="C1414" s="5" t="s">
        <v>17</v>
      </c>
      <c r="D1414" s="5" t="s">
        <v>22</v>
      </c>
      <c r="E1414" s="5">
        <v>18</v>
      </c>
      <c r="F1414" s="5">
        <v>331.45</v>
      </c>
      <c r="G1414" s="6">
        <f t="shared" si="67"/>
        <v>5966.1</v>
      </c>
      <c r="H1414" s="5" t="s">
        <v>81</v>
      </c>
      <c r="I1414" s="5" t="s">
        <v>62</v>
      </c>
      <c r="J1414" s="5">
        <v>0.15</v>
      </c>
      <c r="K1414" s="5" t="s">
        <v>63</v>
      </c>
      <c r="L1414" s="6">
        <v>5071.185</v>
      </c>
      <c r="M1414" s="5" t="s">
        <v>34</v>
      </c>
      <c r="N1414" s="5" t="s">
        <v>69</v>
      </c>
      <c r="O1414" s="5">
        <v>1</v>
      </c>
      <c r="P1414" s="5" t="s">
        <v>2789</v>
      </c>
      <c r="Q1414" s="5" t="s">
        <v>2168</v>
      </c>
      <c r="R1414" s="5">
        <v>32.92</v>
      </c>
      <c r="S1414" s="4">
        <v>45059</v>
      </c>
      <c r="T1414" s="4">
        <v>45064</v>
      </c>
      <c r="U1414" s="5">
        <f t="shared" si="68"/>
        <v>5</v>
      </c>
      <c r="V1414" s="5" t="s">
        <v>67</v>
      </c>
      <c r="X1414" s="5"/>
    </row>
    <row r="1415" spans="1:24">
      <c r="A1415" s="4">
        <v>45784</v>
      </c>
      <c r="B1415" s="5" t="str">
        <f t="shared" si="66"/>
        <v>May</v>
      </c>
      <c r="C1415" s="5" t="s">
        <v>16</v>
      </c>
      <c r="D1415" s="5" t="s">
        <v>22</v>
      </c>
      <c r="E1415" s="5">
        <v>1</v>
      </c>
      <c r="F1415" s="5">
        <v>421.26</v>
      </c>
      <c r="G1415" s="6">
        <f t="shared" si="67"/>
        <v>421.26</v>
      </c>
      <c r="H1415" s="5" t="s">
        <v>81</v>
      </c>
      <c r="I1415" s="5" t="s">
        <v>62</v>
      </c>
      <c r="J1415" s="5">
        <v>0.1</v>
      </c>
      <c r="K1415" s="5" t="s">
        <v>55</v>
      </c>
      <c r="L1415" s="6">
        <v>379.134</v>
      </c>
      <c r="M1415" s="5" t="s">
        <v>33</v>
      </c>
      <c r="N1415" s="5" t="s">
        <v>56</v>
      </c>
      <c r="O1415" s="5">
        <v>0</v>
      </c>
      <c r="P1415" s="5" t="s">
        <v>2790</v>
      </c>
      <c r="Q1415" s="5" t="s">
        <v>2791</v>
      </c>
      <c r="R1415" s="5">
        <v>36.34</v>
      </c>
      <c r="S1415" s="4">
        <v>45784</v>
      </c>
      <c r="T1415" s="4">
        <v>45792</v>
      </c>
      <c r="U1415" s="5">
        <f t="shared" si="68"/>
        <v>8</v>
      </c>
      <c r="V1415" s="5" t="s">
        <v>59</v>
      </c>
      <c r="X1415" s="5"/>
    </row>
    <row r="1416" spans="1:24">
      <c r="A1416" s="4">
        <v>45738</v>
      </c>
      <c r="B1416" s="5" t="str">
        <f t="shared" si="66"/>
        <v>March</v>
      </c>
      <c r="C1416" s="5" t="s">
        <v>18</v>
      </c>
      <c r="D1416" s="5" t="s">
        <v>101</v>
      </c>
      <c r="E1416" s="5">
        <v>4</v>
      </c>
      <c r="F1416" s="5">
        <v>555.02</v>
      </c>
      <c r="G1416" s="6">
        <f t="shared" si="67"/>
        <v>2220.08</v>
      </c>
      <c r="H1416" s="5" t="s">
        <v>53</v>
      </c>
      <c r="I1416" s="5" t="s">
        <v>62</v>
      </c>
      <c r="J1416" s="5">
        <v>0.1</v>
      </c>
      <c r="K1416" s="5" t="s">
        <v>82</v>
      </c>
      <c r="L1416" s="6">
        <v>1998.072</v>
      </c>
      <c r="M1416" s="5" t="s">
        <v>34</v>
      </c>
      <c r="N1416" s="5" t="s">
        <v>64</v>
      </c>
      <c r="O1416" s="5">
        <v>0</v>
      </c>
      <c r="P1416" s="5" t="s">
        <v>2792</v>
      </c>
      <c r="Q1416" s="5" t="s">
        <v>2793</v>
      </c>
      <c r="R1416" s="5">
        <v>45.25</v>
      </c>
      <c r="S1416" s="4">
        <v>45738</v>
      </c>
      <c r="T1416" s="4">
        <v>45743</v>
      </c>
      <c r="U1416" s="5">
        <f t="shared" si="68"/>
        <v>5</v>
      </c>
      <c r="V1416" s="5" t="s">
        <v>72</v>
      </c>
      <c r="X1416" s="5"/>
    </row>
    <row r="1417" spans="1:24">
      <c r="A1417" s="4">
        <v>45467</v>
      </c>
      <c r="B1417" s="5" t="str">
        <f t="shared" si="66"/>
        <v>June</v>
      </c>
      <c r="C1417" s="5" t="s">
        <v>17</v>
      </c>
      <c r="D1417" s="5" t="s">
        <v>22</v>
      </c>
      <c r="E1417" s="5">
        <v>19</v>
      </c>
      <c r="F1417" s="5">
        <v>254.03</v>
      </c>
      <c r="G1417" s="6">
        <f t="shared" si="67"/>
        <v>4826.57</v>
      </c>
      <c r="H1417" s="5" t="s">
        <v>77</v>
      </c>
      <c r="I1417" s="5" t="s">
        <v>54</v>
      </c>
      <c r="J1417" s="5">
        <v>0</v>
      </c>
      <c r="K1417" s="5" t="s">
        <v>73</v>
      </c>
      <c r="L1417" s="6">
        <v>4826.57</v>
      </c>
      <c r="M1417" s="5" t="s">
        <v>30</v>
      </c>
      <c r="N1417" s="5" t="s">
        <v>64</v>
      </c>
      <c r="O1417" s="5">
        <v>1</v>
      </c>
      <c r="P1417" s="5" t="s">
        <v>2794</v>
      </c>
      <c r="Q1417" s="5" t="s">
        <v>1783</v>
      </c>
      <c r="R1417" s="5">
        <v>11.21</v>
      </c>
      <c r="S1417" s="4">
        <v>45467</v>
      </c>
      <c r="T1417" s="4">
        <v>45475</v>
      </c>
      <c r="U1417" s="5">
        <f t="shared" si="68"/>
        <v>8</v>
      </c>
      <c r="V1417" s="5" t="s">
        <v>67</v>
      </c>
      <c r="X1417" s="5"/>
    </row>
    <row r="1418" spans="1:24">
      <c r="A1418" s="4">
        <v>45837</v>
      </c>
      <c r="B1418" s="5" t="str">
        <f t="shared" si="66"/>
        <v>June</v>
      </c>
      <c r="C1418" s="5" t="s">
        <v>20</v>
      </c>
      <c r="D1418" s="5" t="s">
        <v>101</v>
      </c>
      <c r="E1418" s="5">
        <v>9</v>
      </c>
      <c r="F1418" s="5">
        <v>533.93</v>
      </c>
      <c r="G1418" s="6">
        <f t="shared" si="67"/>
        <v>4805.37</v>
      </c>
      <c r="H1418" s="5" t="s">
        <v>81</v>
      </c>
      <c r="I1418" s="5" t="s">
        <v>62</v>
      </c>
      <c r="J1418" s="5">
        <v>0.15</v>
      </c>
      <c r="K1418" s="5" t="s">
        <v>73</v>
      </c>
      <c r="L1418" s="6">
        <v>4084.5645</v>
      </c>
      <c r="M1418" s="5" t="s">
        <v>31</v>
      </c>
      <c r="N1418" s="5"/>
      <c r="O1418" s="5">
        <v>0</v>
      </c>
      <c r="P1418" s="5" t="s">
        <v>2795</v>
      </c>
      <c r="Q1418" s="5" t="s">
        <v>2796</v>
      </c>
      <c r="R1418" s="5">
        <v>34.76</v>
      </c>
      <c r="S1418" s="4">
        <v>45837</v>
      </c>
      <c r="T1418" s="4">
        <v>45841</v>
      </c>
      <c r="U1418" s="5">
        <f t="shared" si="68"/>
        <v>4</v>
      </c>
      <c r="V1418" s="5" t="s">
        <v>94</v>
      </c>
      <c r="X1418" s="5"/>
    </row>
    <row r="1419" spans="1:24">
      <c r="A1419" s="4">
        <v>45383</v>
      </c>
      <c r="B1419" s="5" t="str">
        <f t="shared" si="66"/>
        <v>April</v>
      </c>
      <c r="C1419" s="5" t="s">
        <v>20</v>
      </c>
      <c r="D1419" s="5" t="s">
        <v>24</v>
      </c>
      <c r="E1419" s="5">
        <v>7</v>
      </c>
      <c r="F1419" s="5">
        <v>241.35</v>
      </c>
      <c r="G1419" s="6">
        <f t="shared" si="67"/>
        <v>1689.45</v>
      </c>
      <c r="H1419" s="5" t="s">
        <v>53</v>
      </c>
      <c r="I1419" s="5" t="s">
        <v>54</v>
      </c>
      <c r="J1419" s="5">
        <v>0.1</v>
      </c>
      <c r="K1419" s="5" t="s">
        <v>82</v>
      </c>
      <c r="L1419" s="6">
        <v>1520.505</v>
      </c>
      <c r="M1419" s="5" t="s">
        <v>32</v>
      </c>
      <c r="N1419" s="5" t="s">
        <v>64</v>
      </c>
      <c r="O1419" s="5">
        <v>0</v>
      </c>
      <c r="P1419" s="5" t="s">
        <v>2797</v>
      </c>
      <c r="Q1419" s="5" t="s">
        <v>2798</v>
      </c>
      <c r="R1419" s="5">
        <v>42.43</v>
      </c>
      <c r="S1419" s="4">
        <v>45383</v>
      </c>
      <c r="T1419" s="4">
        <v>45392</v>
      </c>
      <c r="U1419" s="5">
        <f t="shared" si="68"/>
        <v>9</v>
      </c>
      <c r="V1419" s="5" t="s">
        <v>94</v>
      </c>
      <c r="X1419" s="5"/>
    </row>
    <row r="1420" spans="1:24">
      <c r="A1420" s="4">
        <v>45447</v>
      </c>
      <c r="B1420" s="5" t="str">
        <f t="shared" si="66"/>
        <v>June</v>
      </c>
      <c r="C1420" s="5" t="s">
        <v>18</v>
      </c>
      <c r="D1420" s="5" t="s">
        <v>101</v>
      </c>
      <c r="E1420" s="5">
        <v>11</v>
      </c>
      <c r="F1420" s="5">
        <v>160.37</v>
      </c>
      <c r="G1420" s="6">
        <f t="shared" si="67"/>
        <v>1764.07</v>
      </c>
      <c r="H1420" s="5" t="s">
        <v>53</v>
      </c>
      <c r="I1420" s="5" t="s">
        <v>54</v>
      </c>
      <c r="J1420" s="5">
        <v>0.05</v>
      </c>
      <c r="K1420" s="5" t="s">
        <v>78</v>
      </c>
      <c r="L1420" s="6">
        <v>1675.8665</v>
      </c>
      <c r="M1420" s="5" t="s">
        <v>34</v>
      </c>
      <c r="N1420" s="5"/>
      <c r="O1420" s="5">
        <v>0</v>
      </c>
      <c r="P1420" s="5" t="s">
        <v>2799</v>
      </c>
      <c r="Q1420" s="5" t="s">
        <v>2800</v>
      </c>
      <c r="R1420" s="5">
        <v>36.05</v>
      </c>
      <c r="S1420" s="4">
        <v>45447</v>
      </c>
      <c r="T1420" s="4">
        <v>45457</v>
      </c>
      <c r="U1420" s="5">
        <f t="shared" si="68"/>
        <v>10</v>
      </c>
      <c r="V1420" s="5" t="s">
        <v>72</v>
      </c>
      <c r="X1420" s="5"/>
    </row>
    <row r="1421" spans="1:24">
      <c r="A1421" s="4">
        <v>45015</v>
      </c>
      <c r="B1421" s="5" t="str">
        <f t="shared" si="66"/>
        <v>March</v>
      </c>
      <c r="C1421" s="5" t="s">
        <v>16</v>
      </c>
      <c r="D1421" s="5" t="s">
        <v>101</v>
      </c>
      <c r="E1421" s="5">
        <v>1</v>
      </c>
      <c r="F1421" s="5">
        <v>419.1</v>
      </c>
      <c r="G1421" s="6">
        <f t="shared" si="67"/>
        <v>419.1</v>
      </c>
      <c r="H1421" s="5" t="s">
        <v>53</v>
      </c>
      <c r="I1421" s="5" t="s">
        <v>54</v>
      </c>
      <c r="J1421" s="5">
        <v>0.1</v>
      </c>
      <c r="K1421" s="5" t="s">
        <v>78</v>
      </c>
      <c r="L1421" s="6">
        <v>377.19</v>
      </c>
      <c r="M1421" s="5" t="s">
        <v>31</v>
      </c>
      <c r="N1421" s="5" t="s">
        <v>64</v>
      </c>
      <c r="O1421" s="5">
        <v>1</v>
      </c>
      <c r="P1421" s="5" t="s">
        <v>2801</v>
      </c>
      <c r="Q1421" s="5" t="s">
        <v>2802</v>
      </c>
      <c r="R1421" s="5">
        <v>38.81</v>
      </c>
      <c r="S1421" s="4">
        <v>45015</v>
      </c>
      <c r="T1421" s="4">
        <v>45022</v>
      </c>
      <c r="U1421" s="5">
        <f t="shared" si="68"/>
        <v>7</v>
      </c>
      <c r="V1421" s="5" t="s">
        <v>59</v>
      </c>
      <c r="X1421" s="5"/>
    </row>
    <row r="1422" spans="1:24">
      <c r="A1422" s="4">
        <v>45742</v>
      </c>
      <c r="B1422" s="5" t="str">
        <f t="shared" si="66"/>
        <v>March</v>
      </c>
      <c r="C1422" s="5" t="s">
        <v>16</v>
      </c>
      <c r="D1422" s="5" t="s">
        <v>22</v>
      </c>
      <c r="E1422" s="5">
        <v>13</v>
      </c>
      <c r="F1422" s="5">
        <v>138.72</v>
      </c>
      <c r="G1422" s="6">
        <f t="shared" si="67"/>
        <v>1803.36</v>
      </c>
      <c r="H1422" s="5" t="s">
        <v>81</v>
      </c>
      <c r="I1422" s="5" t="s">
        <v>54</v>
      </c>
      <c r="J1422" s="5">
        <v>0.15</v>
      </c>
      <c r="K1422" s="5" t="s">
        <v>78</v>
      </c>
      <c r="L1422" s="6">
        <v>1532.856</v>
      </c>
      <c r="M1422" s="5" t="s">
        <v>34</v>
      </c>
      <c r="N1422" s="5" t="s">
        <v>69</v>
      </c>
      <c r="O1422" s="5">
        <v>1</v>
      </c>
      <c r="P1422" s="5" t="s">
        <v>2803</v>
      </c>
      <c r="Q1422" s="5" t="s">
        <v>2804</v>
      </c>
      <c r="R1422" s="5">
        <v>17.89</v>
      </c>
      <c r="S1422" s="4">
        <v>45742</v>
      </c>
      <c r="T1422" s="4">
        <v>45744</v>
      </c>
      <c r="U1422" s="5">
        <f t="shared" si="68"/>
        <v>2</v>
      </c>
      <c r="V1422" s="5" t="s">
        <v>59</v>
      </c>
      <c r="X1422" s="5"/>
    </row>
    <row r="1423" spans="1:24">
      <c r="A1423" s="4">
        <v>45160</v>
      </c>
      <c r="B1423" s="5" t="str">
        <f t="shared" si="66"/>
        <v>August</v>
      </c>
      <c r="C1423" s="5" t="s">
        <v>20</v>
      </c>
      <c r="D1423" s="5" t="s">
        <v>26</v>
      </c>
      <c r="E1423" s="5">
        <v>8</v>
      </c>
      <c r="F1423" s="5">
        <v>461.04</v>
      </c>
      <c r="G1423" s="6">
        <f t="shared" si="67"/>
        <v>3688.32</v>
      </c>
      <c r="H1423" s="5" t="s">
        <v>53</v>
      </c>
      <c r="I1423" s="5" t="s">
        <v>62</v>
      </c>
      <c r="J1423" s="5">
        <v>0</v>
      </c>
      <c r="K1423" s="5" t="s">
        <v>63</v>
      </c>
      <c r="L1423" s="6">
        <v>3688.32</v>
      </c>
      <c r="M1423" s="5" t="s">
        <v>30</v>
      </c>
      <c r="N1423" s="5" t="s">
        <v>56</v>
      </c>
      <c r="O1423" s="5">
        <v>0</v>
      </c>
      <c r="P1423" s="5" t="s">
        <v>2805</v>
      </c>
      <c r="Q1423" s="5" t="s">
        <v>2806</v>
      </c>
      <c r="R1423" s="5">
        <v>13.62</v>
      </c>
      <c r="S1423" s="4">
        <v>45160</v>
      </c>
      <c r="T1423" s="4">
        <v>45162</v>
      </c>
      <c r="U1423" s="5">
        <f t="shared" si="68"/>
        <v>2</v>
      </c>
      <c r="V1423" s="5" t="s">
        <v>94</v>
      </c>
      <c r="X1423" s="5"/>
    </row>
    <row r="1424" spans="1:24">
      <c r="A1424" s="4">
        <v>45398</v>
      </c>
      <c r="B1424" s="5" t="str">
        <f t="shared" si="66"/>
        <v>April</v>
      </c>
      <c r="C1424" s="5" t="s">
        <v>17</v>
      </c>
      <c r="D1424" s="5" t="s">
        <v>23</v>
      </c>
      <c r="E1424" s="5">
        <v>6</v>
      </c>
      <c r="F1424" s="5">
        <v>524.19</v>
      </c>
      <c r="G1424" s="6">
        <f t="shared" si="67"/>
        <v>3145.14</v>
      </c>
      <c r="H1424" s="5" t="s">
        <v>81</v>
      </c>
      <c r="I1424" s="5" t="s">
        <v>62</v>
      </c>
      <c r="J1424" s="5">
        <v>0.15</v>
      </c>
      <c r="K1424" s="5" t="s">
        <v>73</v>
      </c>
      <c r="L1424" s="6">
        <v>2673.369</v>
      </c>
      <c r="M1424" s="5" t="s">
        <v>34</v>
      </c>
      <c r="N1424" s="5" t="s">
        <v>69</v>
      </c>
      <c r="O1424" s="5">
        <v>0</v>
      </c>
      <c r="P1424" s="5" t="s">
        <v>2807</v>
      </c>
      <c r="Q1424" s="5" t="s">
        <v>1255</v>
      </c>
      <c r="R1424" s="5">
        <v>31.04</v>
      </c>
      <c r="S1424" s="4">
        <v>45398</v>
      </c>
      <c r="T1424" s="4">
        <v>45402</v>
      </c>
      <c r="U1424" s="5">
        <f t="shared" si="68"/>
        <v>4</v>
      </c>
      <c r="V1424" s="5" t="s">
        <v>67</v>
      </c>
      <c r="X1424" s="5"/>
    </row>
    <row r="1425" spans="1:24">
      <c r="A1425" s="4">
        <v>45788</v>
      </c>
      <c r="B1425" s="5" t="str">
        <f t="shared" si="66"/>
        <v>May</v>
      </c>
      <c r="C1425" s="5" t="s">
        <v>19</v>
      </c>
      <c r="D1425" s="5" t="s">
        <v>25</v>
      </c>
      <c r="E1425" s="5">
        <v>16</v>
      </c>
      <c r="F1425" s="5">
        <v>305.21</v>
      </c>
      <c r="G1425" s="6">
        <f t="shared" si="67"/>
        <v>4883.36</v>
      </c>
      <c r="H1425" s="5" t="s">
        <v>61</v>
      </c>
      <c r="I1425" s="5" t="s">
        <v>54</v>
      </c>
      <c r="J1425" s="5">
        <v>0.1</v>
      </c>
      <c r="K1425" s="5" t="s">
        <v>63</v>
      </c>
      <c r="L1425" s="6">
        <v>4395.024</v>
      </c>
      <c r="M1425" s="5" t="s">
        <v>33</v>
      </c>
      <c r="N1425" s="5" t="s">
        <v>64</v>
      </c>
      <c r="O1425" s="5">
        <v>0</v>
      </c>
      <c r="P1425" s="5" t="s">
        <v>2808</v>
      </c>
      <c r="Q1425" s="5" t="s">
        <v>803</v>
      </c>
      <c r="R1425" s="5">
        <v>33.37</v>
      </c>
      <c r="S1425" s="4">
        <v>45788</v>
      </c>
      <c r="T1425" s="4">
        <v>45796</v>
      </c>
      <c r="U1425" s="5">
        <f t="shared" si="68"/>
        <v>8</v>
      </c>
      <c r="V1425" s="5" t="s">
        <v>76</v>
      </c>
      <c r="X1425" s="5"/>
    </row>
    <row r="1426" spans="1:24">
      <c r="A1426" s="4">
        <v>45271</v>
      </c>
      <c r="B1426" s="5" t="str">
        <f t="shared" si="66"/>
        <v>December</v>
      </c>
      <c r="C1426" s="5" t="s">
        <v>18</v>
      </c>
      <c r="D1426" s="5" t="s">
        <v>27</v>
      </c>
      <c r="E1426" s="5">
        <v>16</v>
      </c>
      <c r="F1426" s="5">
        <v>438.71</v>
      </c>
      <c r="G1426" s="6">
        <f t="shared" si="67"/>
        <v>7019.36</v>
      </c>
      <c r="H1426" s="5" t="s">
        <v>77</v>
      </c>
      <c r="I1426" s="5" t="s">
        <v>62</v>
      </c>
      <c r="J1426" s="5">
        <v>0</v>
      </c>
      <c r="K1426" s="5" t="s">
        <v>63</v>
      </c>
      <c r="L1426" s="6">
        <v>7019.36</v>
      </c>
      <c r="M1426" s="5" t="s">
        <v>30</v>
      </c>
      <c r="N1426" s="5"/>
      <c r="O1426" s="5">
        <v>0</v>
      </c>
      <c r="P1426" s="5" t="s">
        <v>2809</v>
      </c>
      <c r="Q1426" s="5" t="s">
        <v>2810</v>
      </c>
      <c r="R1426" s="5">
        <v>6.53</v>
      </c>
      <c r="S1426" s="4">
        <v>45271</v>
      </c>
      <c r="T1426" s="4">
        <v>45281</v>
      </c>
      <c r="U1426" s="5">
        <f t="shared" si="68"/>
        <v>10</v>
      </c>
      <c r="V1426" s="5" t="s">
        <v>72</v>
      </c>
      <c r="X1426" s="5"/>
    </row>
    <row r="1427" spans="1:24">
      <c r="A1427" s="4">
        <v>44942</v>
      </c>
      <c r="B1427" s="5" t="str">
        <f t="shared" si="66"/>
        <v>January</v>
      </c>
      <c r="C1427" s="5" t="s">
        <v>18</v>
      </c>
      <c r="D1427" s="5" t="s">
        <v>27</v>
      </c>
      <c r="E1427" s="5">
        <v>10</v>
      </c>
      <c r="F1427" s="5">
        <v>193.96</v>
      </c>
      <c r="G1427" s="6">
        <f t="shared" si="67"/>
        <v>1939.6</v>
      </c>
      <c r="H1427" s="5" t="s">
        <v>81</v>
      </c>
      <c r="I1427" s="5" t="s">
        <v>54</v>
      </c>
      <c r="J1427" s="5">
        <v>0.1</v>
      </c>
      <c r="K1427" s="5" t="s">
        <v>63</v>
      </c>
      <c r="L1427" s="6">
        <v>1745.64</v>
      </c>
      <c r="M1427" s="5" t="s">
        <v>31</v>
      </c>
      <c r="N1427" s="5"/>
      <c r="O1427" s="5">
        <v>0</v>
      </c>
      <c r="P1427" s="5" t="s">
        <v>2811</v>
      </c>
      <c r="Q1427" s="5" t="s">
        <v>2812</v>
      </c>
      <c r="R1427" s="5">
        <v>41.3</v>
      </c>
      <c r="S1427" s="4">
        <v>44942</v>
      </c>
      <c r="T1427" s="4">
        <v>44947</v>
      </c>
      <c r="U1427" s="5">
        <f t="shared" si="68"/>
        <v>5</v>
      </c>
      <c r="V1427" s="5" t="s">
        <v>72</v>
      </c>
      <c r="X1427" s="5"/>
    </row>
    <row r="1428" spans="1:24">
      <c r="A1428" s="4">
        <v>45056</v>
      </c>
      <c r="B1428" s="5" t="str">
        <f t="shared" si="66"/>
        <v>May</v>
      </c>
      <c r="C1428" s="5" t="s">
        <v>16</v>
      </c>
      <c r="D1428" s="5" t="s">
        <v>23</v>
      </c>
      <c r="E1428" s="5">
        <v>18</v>
      </c>
      <c r="F1428" s="5">
        <v>580.42</v>
      </c>
      <c r="G1428" s="6">
        <f t="shared" si="67"/>
        <v>10447.56</v>
      </c>
      <c r="H1428" s="5" t="s">
        <v>61</v>
      </c>
      <c r="I1428" s="5" t="s">
        <v>54</v>
      </c>
      <c r="J1428" s="5">
        <v>0.05</v>
      </c>
      <c r="K1428" s="5" t="s">
        <v>89</v>
      </c>
      <c r="L1428" s="6">
        <v>9925.182</v>
      </c>
      <c r="M1428" s="5" t="s">
        <v>30</v>
      </c>
      <c r="N1428" s="5" t="s">
        <v>64</v>
      </c>
      <c r="O1428" s="5">
        <v>0</v>
      </c>
      <c r="P1428" s="5" t="s">
        <v>2813</v>
      </c>
      <c r="Q1428" s="5" t="s">
        <v>2814</v>
      </c>
      <c r="R1428" s="5">
        <v>37.81</v>
      </c>
      <c r="S1428" s="4">
        <v>45056</v>
      </c>
      <c r="T1428" s="4">
        <v>45063</v>
      </c>
      <c r="U1428" s="5">
        <f t="shared" si="68"/>
        <v>7</v>
      </c>
      <c r="V1428" s="5" t="s">
        <v>59</v>
      </c>
      <c r="X1428" s="5"/>
    </row>
    <row r="1429" spans="1:24">
      <c r="A1429" s="4">
        <v>45465</v>
      </c>
      <c r="B1429" s="5" t="str">
        <f t="shared" si="66"/>
        <v>June</v>
      </c>
      <c r="C1429" s="5" t="s">
        <v>19</v>
      </c>
      <c r="D1429" s="5" t="s">
        <v>26</v>
      </c>
      <c r="E1429" s="5">
        <v>18</v>
      </c>
      <c r="F1429" s="5">
        <v>91.55</v>
      </c>
      <c r="G1429" s="6">
        <f t="shared" si="67"/>
        <v>1647.9</v>
      </c>
      <c r="H1429" s="5" t="s">
        <v>77</v>
      </c>
      <c r="I1429" s="5" t="s">
        <v>62</v>
      </c>
      <c r="J1429" s="5">
        <v>0.1</v>
      </c>
      <c r="K1429" s="5" t="s">
        <v>63</v>
      </c>
      <c r="L1429" s="6">
        <v>1483.11</v>
      </c>
      <c r="M1429" s="5" t="s">
        <v>33</v>
      </c>
      <c r="N1429" s="5" t="s">
        <v>56</v>
      </c>
      <c r="O1429" s="5">
        <v>0</v>
      </c>
      <c r="P1429" s="5" t="s">
        <v>2815</v>
      </c>
      <c r="Q1429" s="5" t="s">
        <v>2816</v>
      </c>
      <c r="R1429" s="5">
        <v>32.54</v>
      </c>
      <c r="S1429" s="4">
        <v>45465</v>
      </c>
      <c r="T1429" s="4">
        <v>45472</v>
      </c>
      <c r="U1429" s="5">
        <f t="shared" si="68"/>
        <v>7</v>
      </c>
      <c r="V1429" s="5" t="s">
        <v>76</v>
      </c>
      <c r="X1429" s="5"/>
    </row>
    <row r="1430" spans="1:24">
      <c r="A1430" s="4">
        <v>45745</v>
      </c>
      <c r="B1430" s="5" t="str">
        <f t="shared" si="66"/>
        <v>March</v>
      </c>
      <c r="C1430" s="5" t="s">
        <v>20</v>
      </c>
      <c r="D1430" s="5" t="s">
        <v>101</v>
      </c>
      <c r="E1430" s="5">
        <v>13</v>
      </c>
      <c r="F1430" s="5">
        <v>113.78</v>
      </c>
      <c r="G1430" s="6">
        <f t="shared" si="67"/>
        <v>1479.14</v>
      </c>
      <c r="H1430" s="5" t="s">
        <v>77</v>
      </c>
      <c r="I1430" s="5" t="s">
        <v>54</v>
      </c>
      <c r="J1430" s="5">
        <v>0.1</v>
      </c>
      <c r="K1430" s="5" t="s">
        <v>55</v>
      </c>
      <c r="L1430" s="6">
        <v>1331.226</v>
      </c>
      <c r="M1430" s="5" t="s">
        <v>30</v>
      </c>
      <c r="N1430" s="5" t="s">
        <v>56</v>
      </c>
      <c r="O1430" s="5">
        <v>0</v>
      </c>
      <c r="P1430" s="5" t="s">
        <v>2817</v>
      </c>
      <c r="Q1430" s="5" t="s">
        <v>2818</v>
      </c>
      <c r="R1430" s="5">
        <v>28.07</v>
      </c>
      <c r="S1430" s="4">
        <v>45745</v>
      </c>
      <c r="T1430" s="4">
        <v>45754</v>
      </c>
      <c r="U1430" s="5">
        <f t="shared" si="68"/>
        <v>9</v>
      </c>
      <c r="V1430" s="5" t="s">
        <v>94</v>
      </c>
      <c r="X1430" s="5"/>
    </row>
    <row r="1431" spans="1:24">
      <c r="A1431" s="4">
        <v>45034</v>
      </c>
      <c r="B1431" s="5" t="str">
        <f t="shared" si="66"/>
        <v>April</v>
      </c>
      <c r="C1431" s="5" t="s">
        <v>18</v>
      </c>
      <c r="D1431" s="5" t="s">
        <v>101</v>
      </c>
      <c r="E1431" s="5">
        <v>16</v>
      </c>
      <c r="F1431" s="5">
        <v>477.91</v>
      </c>
      <c r="G1431" s="6">
        <f t="shared" si="67"/>
        <v>7646.56</v>
      </c>
      <c r="H1431" s="5" t="s">
        <v>61</v>
      </c>
      <c r="I1431" s="5" t="s">
        <v>54</v>
      </c>
      <c r="J1431" s="5">
        <v>0</v>
      </c>
      <c r="K1431" s="5" t="s">
        <v>78</v>
      </c>
      <c r="L1431" s="6">
        <v>7646.56</v>
      </c>
      <c r="M1431" s="5" t="s">
        <v>32</v>
      </c>
      <c r="N1431" s="5" t="s">
        <v>69</v>
      </c>
      <c r="O1431" s="5">
        <v>0</v>
      </c>
      <c r="P1431" s="5" t="s">
        <v>2819</v>
      </c>
      <c r="Q1431" s="5" t="s">
        <v>2820</v>
      </c>
      <c r="R1431" s="5">
        <v>21.89</v>
      </c>
      <c r="S1431" s="4">
        <v>45034</v>
      </c>
      <c r="T1431" s="4">
        <v>45039</v>
      </c>
      <c r="U1431" s="5">
        <f t="shared" si="68"/>
        <v>5</v>
      </c>
      <c r="V1431" s="5" t="s">
        <v>72</v>
      </c>
      <c r="X1431" s="5"/>
    </row>
    <row r="1432" spans="1:24">
      <c r="A1432" s="4">
        <v>44964</v>
      </c>
      <c r="B1432" s="5" t="str">
        <f t="shared" si="66"/>
        <v>February</v>
      </c>
      <c r="C1432" s="5" t="s">
        <v>19</v>
      </c>
      <c r="D1432" s="5" t="s">
        <v>22</v>
      </c>
      <c r="E1432" s="5">
        <v>14</v>
      </c>
      <c r="F1432" s="5">
        <v>306.39</v>
      </c>
      <c r="G1432" s="6">
        <f t="shared" si="67"/>
        <v>4289.46</v>
      </c>
      <c r="H1432" s="5" t="s">
        <v>61</v>
      </c>
      <c r="I1432" s="5" t="s">
        <v>62</v>
      </c>
      <c r="J1432" s="5">
        <v>0.1</v>
      </c>
      <c r="K1432" s="5" t="s">
        <v>55</v>
      </c>
      <c r="L1432" s="6">
        <v>3860.514</v>
      </c>
      <c r="M1432" s="5" t="s">
        <v>34</v>
      </c>
      <c r="N1432" s="5" t="s">
        <v>69</v>
      </c>
      <c r="O1432" s="5">
        <v>0</v>
      </c>
      <c r="P1432" s="5" t="s">
        <v>2821</v>
      </c>
      <c r="Q1432" s="5" t="s">
        <v>2822</v>
      </c>
      <c r="R1432" s="5">
        <v>38.73</v>
      </c>
      <c r="S1432" s="4">
        <v>44964</v>
      </c>
      <c r="T1432" s="4">
        <v>44966</v>
      </c>
      <c r="U1432" s="5">
        <f t="shared" si="68"/>
        <v>2</v>
      </c>
      <c r="V1432" s="5" t="s">
        <v>76</v>
      </c>
      <c r="X1432" s="5"/>
    </row>
    <row r="1433" spans="1:24">
      <c r="A1433" s="4">
        <v>45679</v>
      </c>
      <c r="B1433" s="5" t="str">
        <f t="shared" si="66"/>
        <v>January</v>
      </c>
      <c r="C1433" s="5" t="s">
        <v>16</v>
      </c>
      <c r="D1433" s="5" t="s">
        <v>101</v>
      </c>
      <c r="E1433" s="5">
        <v>17</v>
      </c>
      <c r="F1433" s="5">
        <v>8.33</v>
      </c>
      <c r="G1433" s="6">
        <f t="shared" si="67"/>
        <v>141.61</v>
      </c>
      <c r="H1433" s="5" t="s">
        <v>61</v>
      </c>
      <c r="I1433" s="5" t="s">
        <v>62</v>
      </c>
      <c r="J1433" s="5">
        <v>0.05</v>
      </c>
      <c r="K1433" s="5" t="s">
        <v>55</v>
      </c>
      <c r="L1433" s="6">
        <v>134.5295</v>
      </c>
      <c r="M1433" s="5" t="s">
        <v>34</v>
      </c>
      <c r="N1433" s="5"/>
      <c r="O1433" s="5">
        <v>0</v>
      </c>
      <c r="P1433" s="5" t="s">
        <v>2823</v>
      </c>
      <c r="Q1433" s="5" t="s">
        <v>2824</v>
      </c>
      <c r="R1433" s="5">
        <v>43.29</v>
      </c>
      <c r="S1433" s="4">
        <v>45679</v>
      </c>
      <c r="T1433" s="4">
        <v>45682</v>
      </c>
      <c r="U1433" s="5">
        <f t="shared" si="68"/>
        <v>3</v>
      </c>
      <c r="V1433" s="5" t="s">
        <v>59</v>
      </c>
      <c r="X1433" s="5"/>
    </row>
    <row r="1434" spans="1:24">
      <c r="A1434" s="4">
        <v>45111</v>
      </c>
      <c r="B1434" s="5" t="str">
        <f t="shared" si="66"/>
        <v>July</v>
      </c>
      <c r="C1434" s="5" t="s">
        <v>16</v>
      </c>
      <c r="D1434" s="5" t="s">
        <v>23</v>
      </c>
      <c r="E1434" s="5">
        <v>6</v>
      </c>
      <c r="F1434" s="5">
        <v>346.86</v>
      </c>
      <c r="G1434" s="6">
        <f t="shared" si="67"/>
        <v>2081.16</v>
      </c>
      <c r="H1434" s="5" t="s">
        <v>77</v>
      </c>
      <c r="I1434" s="5" t="s">
        <v>62</v>
      </c>
      <c r="J1434" s="5">
        <v>0.05</v>
      </c>
      <c r="K1434" s="5" t="s">
        <v>55</v>
      </c>
      <c r="L1434" s="6">
        <v>1977.102</v>
      </c>
      <c r="M1434" s="5" t="s">
        <v>31</v>
      </c>
      <c r="N1434" s="5" t="s">
        <v>56</v>
      </c>
      <c r="O1434" s="5">
        <v>0</v>
      </c>
      <c r="P1434" s="5" t="s">
        <v>2825</v>
      </c>
      <c r="Q1434" s="5" t="s">
        <v>2826</v>
      </c>
      <c r="R1434" s="5">
        <v>29.18</v>
      </c>
      <c r="S1434" s="4">
        <v>45111</v>
      </c>
      <c r="T1434" s="4">
        <v>45119</v>
      </c>
      <c r="U1434" s="5">
        <f t="shared" si="68"/>
        <v>8</v>
      </c>
      <c r="V1434" s="5" t="s">
        <v>59</v>
      </c>
      <c r="X1434" s="5"/>
    </row>
    <row r="1435" spans="1:24">
      <c r="A1435" s="4">
        <v>45138</v>
      </c>
      <c r="B1435" s="5" t="str">
        <f t="shared" si="66"/>
        <v>July</v>
      </c>
      <c r="C1435" s="5" t="s">
        <v>19</v>
      </c>
      <c r="D1435" s="5" t="s">
        <v>24</v>
      </c>
      <c r="E1435" s="5">
        <v>14</v>
      </c>
      <c r="F1435" s="5">
        <v>223.26</v>
      </c>
      <c r="G1435" s="6">
        <f t="shared" si="67"/>
        <v>3125.64</v>
      </c>
      <c r="H1435" s="5" t="s">
        <v>53</v>
      </c>
      <c r="I1435" s="5" t="s">
        <v>54</v>
      </c>
      <c r="J1435" s="5">
        <v>0.1</v>
      </c>
      <c r="K1435" s="5" t="s">
        <v>63</v>
      </c>
      <c r="L1435" s="6">
        <v>2813.076</v>
      </c>
      <c r="M1435" s="5" t="s">
        <v>32</v>
      </c>
      <c r="N1435" s="5" t="s">
        <v>69</v>
      </c>
      <c r="O1435" s="5">
        <v>0</v>
      </c>
      <c r="P1435" s="5" t="s">
        <v>2827</v>
      </c>
      <c r="Q1435" s="5" t="s">
        <v>2828</v>
      </c>
      <c r="R1435" s="5">
        <v>12.88</v>
      </c>
      <c r="S1435" s="4">
        <v>45138</v>
      </c>
      <c r="T1435" s="4">
        <v>45141</v>
      </c>
      <c r="U1435" s="5">
        <f t="shared" si="68"/>
        <v>3</v>
      </c>
      <c r="V1435" s="5" t="s">
        <v>76</v>
      </c>
      <c r="X1435" s="5"/>
    </row>
    <row r="1436" spans="1:24">
      <c r="A1436" s="4">
        <v>45036</v>
      </c>
      <c r="B1436" s="5" t="str">
        <f t="shared" si="66"/>
        <v>April</v>
      </c>
      <c r="C1436" s="5" t="s">
        <v>18</v>
      </c>
      <c r="D1436" s="5" t="s">
        <v>24</v>
      </c>
      <c r="E1436" s="5">
        <v>6</v>
      </c>
      <c r="F1436" s="5">
        <v>529.1</v>
      </c>
      <c r="G1436" s="6">
        <f t="shared" si="67"/>
        <v>3174.6</v>
      </c>
      <c r="H1436" s="5" t="s">
        <v>81</v>
      </c>
      <c r="I1436" s="5" t="s">
        <v>54</v>
      </c>
      <c r="J1436" s="5">
        <v>0</v>
      </c>
      <c r="K1436" s="5" t="s">
        <v>55</v>
      </c>
      <c r="L1436" s="6">
        <v>3174.6</v>
      </c>
      <c r="M1436" s="5" t="s">
        <v>33</v>
      </c>
      <c r="N1436" s="5" t="s">
        <v>69</v>
      </c>
      <c r="O1436" s="5">
        <v>0</v>
      </c>
      <c r="P1436" s="5" t="s">
        <v>2829</v>
      </c>
      <c r="Q1436" s="5" t="s">
        <v>2830</v>
      </c>
      <c r="R1436" s="5">
        <v>5.13</v>
      </c>
      <c r="S1436" s="4">
        <v>45036</v>
      </c>
      <c r="T1436" s="4">
        <v>45043</v>
      </c>
      <c r="U1436" s="5">
        <f t="shared" si="68"/>
        <v>7</v>
      </c>
      <c r="V1436" s="5" t="s">
        <v>72</v>
      </c>
      <c r="X1436" s="5"/>
    </row>
    <row r="1437" spans="1:24">
      <c r="A1437" s="4">
        <v>45573</v>
      </c>
      <c r="B1437" s="5" t="str">
        <f t="shared" si="66"/>
        <v>October</v>
      </c>
      <c r="C1437" s="5" t="s">
        <v>19</v>
      </c>
      <c r="D1437" s="5" t="s">
        <v>101</v>
      </c>
      <c r="E1437" s="5">
        <v>11</v>
      </c>
      <c r="F1437" s="5">
        <v>97.34</v>
      </c>
      <c r="G1437" s="6">
        <f t="shared" si="67"/>
        <v>1070.74</v>
      </c>
      <c r="H1437" s="5" t="s">
        <v>81</v>
      </c>
      <c r="I1437" s="5" t="s">
        <v>54</v>
      </c>
      <c r="J1437" s="5">
        <v>0.1</v>
      </c>
      <c r="K1437" s="5" t="s">
        <v>78</v>
      </c>
      <c r="L1437" s="6">
        <v>963.666</v>
      </c>
      <c r="M1437" s="5" t="s">
        <v>33</v>
      </c>
      <c r="N1437" s="5" t="s">
        <v>64</v>
      </c>
      <c r="O1437" s="5">
        <v>0</v>
      </c>
      <c r="P1437" s="5" t="s">
        <v>2831</v>
      </c>
      <c r="Q1437" s="5" t="s">
        <v>2832</v>
      </c>
      <c r="R1437" s="5">
        <v>10.61</v>
      </c>
      <c r="S1437" s="4">
        <v>45573</v>
      </c>
      <c r="T1437" s="4">
        <v>45576</v>
      </c>
      <c r="U1437" s="5">
        <f t="shared" si="68"/>
        <v>3</v>
      </c>
      <c r="V1437" s="5" t="s">
        <v>76</v>
      </c>
      <c r="X1437" s="5"/>
    </row>
    <row r="1438" spans="1:24">
      <c r="A1438" s="4">
        <v>45316</v>
      </c>
      <c r="B1438" s="5" t="str">
        <f t="shared" si="66"/>
        <v>January</v>
      </c>
      <c r="C1438" s="5" t="s">
        <v>16</v>
      </c>
      <c r="D1438" s="5" t="s">
        <v>25</v>
      </c>
      <c r="E1438" s="5">
        <v>11</v>
      </c>
      <c r="F1438" s="5">
        <v>422.89</v>
      </c>
      <c r="G1438" s="6">
        <f t="shared" si="67"/>
        <v>4651.79</v>
      </c>
      <c r="H1438" s="5" t="s">
        <v>53</v>
      </c>
      <c r="I1438" s="5" t="s">
        <v>62</v>
      </c>
      <c r="J1438" s="5">
        <v>0.1</v>
      </c>
      <c r="K1438" s="5" t="s">
        <v>73</v>
      </c>
      <c r="L1438" s="6">
        <v>4186.611</v>
      </c>
      <c r="M1438" s="5" t="s">
        <v>32</v>
      </c>
      <c r="N1438" s="5" t="s">
        <v>64</v>
      </c>
      <c r="O1438" s="5">
        <v>0</v>
      </c>
      <c r="P1438" s="5" t="s">
        <v>2833</v>
      </c>
      <c r="Q1438" s="5" t="s">
        <v>2834</v>
      </c>
      <c r="R1438" s="5">
        <v>45.89</v>
      </c>
      <c r="S1438" s="4">
        <v>45316</v>
      </c>
      <c r="T1438" s="4">
        <v>45318</v>
      </c>
      <c r="U1438" s="5">
        <f t="shared" si="68"/>
        <v>2</v>
      </c>
      <c r="V1438" s="5" t="s">
        <v>59</v>
      </c>
      <c r="X1438" s="5"/>
    </row>
    <row r="1439" spans="1:24">
      <c r="A1439" s="4">
        <v>45642</v>
      </c>
      <c r="B1439" s="5" t="str">
        <f t="shared" si="66"/>
        <v>December</v>
      </c>
      <c r="C1439" s="5" t="s">
        <v>17</v>
      </c>
      <c r="D1439" s="5" t="s">
        <v>26</v>
      </c>
      <c r="E1439" s="5">
        <v>4</v>
      </c>
      <c r="F1439" s="5">
        <v>557.17</v>
      </c>
      <c r="G1439" s="6">
        <f t="shared" si="67"/>
        <v>2228.68</v>
      </c>
      <c r="H1439" s="5" t="s">
        <v>77</v>
      </c>
      <c r="I1439" s="5" t="s">
        <v>54</v>
      </c>
      <c r="J1439" s="5">
        <v>0.05</v>
      </c>
      <c r="K1439" s="5" t="s">
        <v>73</v>
      </c>
      <c r="L1439" s="6">
        <v>2117.246</v>
      </c>
      <c r="M1439" s="5" t="s">
        <v>32</v>
      </c>
      <c r="N1439" s="5"/>
      <c r="O1439" s="5">
        <v>0</v>
      </c>
      <c r="P1439" s="5" t="s">
        <v>2835</v>
      </c>
      <c r="Q1439" s="5" t="s">
        <v>2836</v>
      </c>
      <c r="R1439" s="5">
        <v>32.16</v>
      </c>
      <c r="S1439" s="4">
        <v>45642</v>
      </c>
      <c r="T1439" s="4">
        <v>45651</v>
      </c>
      <c r="U1439" s="5">
        <f t="shared" si="68"/>
        <v>9</v>
      </c>
      <c r="V1439" s="5" t="s">
        <v>67</v>
      </c>
      <c r="X1439" s="5"/>
    </row>
    <row r="1440" spans="1:24">
      <c r="A1440" s="4">
        <v>45589</v>
      </c>
      <c r="B1440" s="5" t="str">
        <f t="shared" si="66"/>
        <v>October</v>
      </c>
      <c r="C1440" s="5" t="s">
        <v>19</v>
      </c>
      <c r="D1440" s="5" t="s">
        <v>27</v>
      </c>
      <c r="E1440" s="5">
        <v>9</v>
      </c>
      <c r="F1440" s="5">
        <v>459.65</v>
      </c>
      <c r="G1440" s="6">
        <f t="shared" si="67"/>
        <v>4136.85</v>
      </c>
      <c r="H1440" s="5" t="s">
        <v>53</v>
      </c>
      <c r="I1440" s="5" t="s">
        <v>62</v>
      </c>
      <c r="J1440" s="5">
        <v>0.1</v>
      </c>
      <c r="K1440" s="5" t="s">
        <v>89</v>
      </c>
      <c r="L1440" s="6">
        <v>3723.165</v>
      </c>
      <c r="M1440" s="5" t="s">
        <v>31</v>
      </c>
      <c r="N1440" s="5" t="s">
        <v>69</v>
      </c>
      <c r="O1440" s="5">
        <v>1</v>
      </c>
      <c r="P1440" s="5" t="s">
        <v>2837</v>
      </c>
      <c r="Q1440" s="5" t="s">
        <v>96</v>
      </c>
      <c r="R1440" s="5">
        <v>22.24</v>
      </c>
      <c r="S1440" s="4">
        <v>45589</v>
      </c>
      <c r="T1440" s="4">
        <v>45597</v>
      </c>
      <c r="U1440" s="5">
        <f t="shared" si="68"/>
        <v>8</v>
      </c>
      <c r="V1440" s="5" t="s">
        <v>76</v>
      </c>
      <c r="X1440" s="5"/>
    </row>
    <row r="1441" spans="1:24">
      <c r="A1441" s="4">
        <v>45246</v>
      </c>
      <c r="B1441" s="5" t="str">
        <f t="shared" si="66"/>
        <v>November</v>
      </c>
      <c r="C1441" s="5" t="s">
        <v>20</v>
      </c>
      <c r="D1441" s="5" t="s">
        <v>26</v>
      </c>
      <c r="E1441" s="5">
        <v>8</v>
      </c>
      <c r="F1441" s="5">
        <v>493.35</v>
      </c>
      <c r="G1441" s="6">
        <f t="shared" si="67"/>
        <v>3946.8</v>
      </c>
      <c r="H1441" s="5" t="s">
        <v>61</v>
      </c>
      <c r="I1441" s="5" t="s">
        <v>62</v>
      </c>
      <c r="J1441" s="5">
        <v>0.1</v>
      </c>
      <c r="K1441" s="5" t="s">
        <v>63</v>
      </c>
      <c r="L1441" s="6">
        <v>3552.12</v>
      </c>
      <c r="M1441" s="5" t="s">
        <v>34</v>
      </c>
      <c r="N1441" s="5" t="s">
        <v>56</v>
      </c>
      <c r="O1441" s="5">
        <v>1</v>
      </c>
      <c r="P1441" s="5" t="s">
        <v>2838</v>
      </c>
      <c r="Q1441" s="5" t="s">
        <v>2839</v>
      </c>
      <c r="R1441" s="5">
        <v>12.86</v>
      </c>
      <c r="S1441" s="4">
        <v>45246</v>
      </c>
      <c r="T1441" s="4">
        <v>45250</v>
      </c>
      <c r="U1441" s="5">
        <f t="shared" si="68"/>
        <v>4</v>
      </c>
      <c r="V1441" s="5" t="s">
        <v>94</v>
      </c>
      <c r="X1441" s="5"/>
    </row>
    <row r="1442" spans="1:24">
      <c r="A1442" s="4">
        <v>45382</v>
      </c>
      <c r="B1442" s="5" t="str">
        <f t="shared" si="66"/>
        <v>March</v>
      </c>
      <c r="C1442" s="5" t="s">
        <v>17</v>
      </c>
      <c r="D1442" s="5" t="s">
        <v>22</v>
      </c>
      <c r="E1442" s="5">
        <v>13</v>
      </c>
      <c r="F1442" s="5">
        <v>428.59</v>
      </c>
      <c r="G1442" s="6">
        <f t="shared" si="67"/>
        <v>5571.67</v>
      </c>
      <c r="H1442" s="5" t="s">
        <v>81</v>
      </c>
      <c r="I1442" s="5" t="s">
        <v>62</v>
      </c>
      <c r="J1442" s="5">
        <v>0</v>
      </c>
      <c r="K1442" s="5" t="s">
        <v>89</v>
      </c>
      <c r="L1442" s="6">
        <v>5571.67</v>
      </c>
      <c r="M1442" s="5" t="s">
        <v>34</v>
      </c>
      <c r="N1442" s="5" t="s">
        <v>56</v>
      </c>
      <c r="O1442" s="5">
        <v>0</v>
      </c>
      <c r="P1442" s="5" t="s">
        <v>2840</v>
      </c>
      <c r="Q1442" s="5" t="s">
        <v>2841</v>
      </c>
      <c r="R1442" s="5">
        <v>23.89</v>
      </c>
      <c r="S1442" s="4">
        <v>45382</v>
      </c>
      <c r="T1442" s="4">
        <v>45390</v>
      </c>
      <c r="U1442" s="5">
        <f t="shared" si="68"/>
        <v>8</v>
      </c>
      <c r="V1442" s="5" t="s">
        <v>67</v>
      </c>
      <c r="X1442" s="5"/>
    </row>
    <row r="1443" spans="1:24">
      <c r="A1443" s="4">
        <v>44970</v>
      </c>
      <c r="B1443" s="5" t="str">
        <f t="shared" si="66"/>
        <v>February</v>
      </c>
      <c r="C1443" s="5" t="s">
        <v>16</v>
      </c>
      <c r="D1443" s="5" t="s">
        <v>22</v>
      </c>
      <c r="E1443" s="5">
        <v>7</v>
      </c>
      <c r="F1443" s="5">
        <v>242.11</v>
      </c>
      <c r="G1443" s="6">
        <f t="shared" si="67"/>
        <v>1694.77</v>
      </c>
      <c r="H1443" s="5" t="s">
        <v>77</v>
      </c>
      <c r="I1443" s="5" t="s">
        <v>54</v>
      </c>
      <c r="J1443" s="5">
        <v>0.05</v>
      </c>
      <c r="K1443" s="5" t="s">
        <v>55</v>
      </c>
      <c r="L1443" s="6">
        <v>1610.0315</v>
      </c>
      <c r="M1443" s="5" t="s">
        <v>33</v>
      </c>
      <c r="N1443" s="5" t="s">
        <v>69</v>
      </c>
      <c r="O1443" s="5">
        <v>0</v>
      </c>
      <c r="P1443" s="5" t="s">
        <v>2842</v>
      </c>
      <c r="Q1443" s="5" t="s">
        <v>1768</v>
      </c>
      <c r="R1443" s="5">
        <v>47.19</v>
      </c>
      <c r="S1443" s="4">
        <v>44970</v>
      </c>
      <c r="T1443" s="4">
        <v>44975</v>
      </c>
      <c r="U1443" s="5">
        <f t="shared" si="68"/>
        <v>5</v>
      </c>
      <c r="V1443" s="5" t="s">
        <v>59</v>
      </c>
      <c r="X1443" s="5"/>
    </row>
    <row r="1444" spans="1:24">
      <c r="A1444" s="4">
        <v>45189</v>
      </c>
      <c r="B1444" s="5" t="str">
        <f t="shared" si="66"/>
        <v>September</v>
      </c>
      <c r="C1444" s="5" t="s">
        <v>17</v>
      </c>
      <c r="D1444" s="5" t="s">
        <v>101</v>
      </c>
      <c r="E1444" s="5">
        <v>17</v>
      </c>
      <c r="F1444" s="5">
        <v>477.38</v>
      </c>
      <c r="G1444" s="6">
        <f t="shared" si="67"/>
        <v>8115.46</v>
      </c>
      <c r="H1444" s="5" t="s">
        <v>77</v>
      </c>
      <c r="I1444" s="5" t="s">
        <v>62</v>
      </c>
      <c r="J1444" s="5">
        <v>0.05</v>
      </c>
      <c r="K1444" s="5" t="s">
        <v>63</v>
      </c>
      <c r="L1444" s="6">
        <v>7709.687</v>
      </c>
      <c r="M1444" s="5" t="s">
        <v>31</v>
      </c>
      <c r="N1444" s="5" t="s">
        <v>56</v>
      </c>
      <c r="O1444" s="5">
        <v>0</v>
      </c>
      <c r="P1444" s="5" t="s">
        <v>2843</v>
      </c>
      <c r="Q1444" s="5" t="s">
        <v>2844</v>
      </c>
      <c r="R1444" s="5">
        <v>35.28</v>
      </c>
      <c r="S1444" s="4">
        <v>45189</v>
      </c>
      <c r="T1444" s="4">
        <v>45196</v>
      </c>
      <c r="U1444" s="5">
        <f t="shared" si="68"/>
        <v>7</v>
      </c>
      <c r="V1444" s="5" t="s">
        <v>67</v>
      </c>
      <c r="X1444" s="5"/>
    </row>
    <row r="1445" spans="1:24">
      <c r="A1445" s="4">
        <v>45104</v>
      </c>
      <c r="B1445" s="5" t="str">
        <f t="shared" si="66"/>
        <v>June</v>
      </c>
      <c r="C1445" s="5" t="s">
        <v>17</v>
      </c>
      <c r="D1445" s="5" t="s">
        <v>25</v>
      </c>
      <c r="E1445" s="5">
        <v>3</v>
      </c>
      <c r="F1445" s="5">
        <v>261.6</v>
      </c>
      <c r="G1445" s="6">
        <f t="shared" si="67"/>
        <v>784.8</v>
      </c>
      <c r="H1445" s="5" t="s">
        <v>81</v>
      </c>
      <c r="I1445" s="5" t="s">
        <v>62</v>
      </c>
      <c r="J1445" s="5">
        <v>0.05</v>
      </c>
      <c r="K1445" s="5" t="s">
        <v>82</v>
      </c>
      <c r="L1445" s="6">
        <v>745.56</v>
      </c>
      <c r="M1445" s="5" t="s">
        <v>34</v>
      </c>
      <c r="N1445" s="5" t="s">
        <v>69</v>
      </c>
      <c r="O1445" s="5">
        <v>0</v>
      </c>
      <c r="P1445" s="5" t="s">
        <v>2845</v>
      </c>
      <c r="Q1445" s="5" t="s">
        <v>2846</v>
      </c>
      <c r="R1445" s="5">
        <v>42.11</v>
      </c>
      <c r="S1445" s="4">
        <v>45104</v>
      </c>
      <c r="T1445" s="4">
        <v>45114</v>
      </c>
      <c r="U1445" s="5">
        <f t="shared" si="68"/>
        <v>10</v>
      </c>
      <c r="V1445" s="5" t="s">
        <v>67</v>
      </c>
      <c r="X1445" s="5"/>
    </row>
    <row r="1446" spans="1:24">
      <c r="A1446" s="4">
        <v>45749</v>
      </c>
      <c r="B1446" s="5" t="str">
        <f t="shared" si="66"/>
        <v>April</v>
      </c>
      <c r="C1446" s="5" t="s">
        <v>19</v>
      </c>
      <c r="D1446" s="5" t="s">
        <v>22</v>
      </c>
      <c r="E1446" s="5">
        <v>6</v>
      </c>
      <c r="F1446" s="5">
        <v>416.2</v>
      </c>
      <c r="G1446" s="6">
        <f t="shared" si="67"/>
        <v>2497.2</v>
      </c>
      <c r="H1446" s="5" t="s">
        <v>61</v>
      </c>
      <c r="I1446" s="5" t="s">
        <v>54</v>
      </c>
      <c r="J1446" s="5">
        <v>0.05</v>
      </c>
      <c r="K1446" s="5" t="s">
        <v>63</v>
      </c>
      <c r="L1446" s="6">
        <v>2372.34</v>
      </c>
      <c r="M1446" s="5" t="s">
        <v>34</v>
      </c>
      <c r="N1446" s="5" t="s">
        <v>69</v>
      </c>
      <c r="O1446" s="5">
        <v>1</v>
      </c>
      <c r="P1446" s="5" t="s">
        <v>2847</v>
      </c>
      <c r="Q1446" s="5" t="s">
        <v>2848</v>
      </c>
      <c r="R1446" s="5">
        <v>44.14</v>
      </c>
      <c r="S1446" s="4">
        <v>45749</v>
      </c>
      <c r="T1446" s="4">
        <v>45753</v>
      </c>
      <c r="U1446" s="5">
        <f t="shared" si="68"/>
        <v>4</v>
      </c>
      <c r="V1446" s="5" t="s">
        <v>76</v>
      </c>
      <c r="X1446" s="5"/>
    </row>
    <row r="1447" spans="1:24">
      <c r="A1447" s="4">
        <v>45763</v>
      </c>
      <c r="B1447" s="5" t="str">
        <f t="shared" si="66"/>
        <v>April</v>
      </c>
      <c r="C1447" s="5" t="s">
        <v>18</v>
      </c>
      <c r="D1447" s="5" t="s">
        <v>27</v>
      </c>
      <c r="E1447" s="5">
        <v>15</v>
      </c>
      <c r="F1447" s="5">
        <v>99.66</v>
      </c>
      <c r="G1447" s="6">
        <f t="shared" si="67"/>
        <v>1494.9</v>
      </c>
      <c r="H1447" s="5" t="s">
        <v>61</v>
      </c>
      <c r="I1447" s="5" t="s">
        <v>54</v>
      </c>
      <c r="J1447" s="5">
        <v>0</v>
      </c>
      <c r="K1447" s="5" t="s">
        <v>55</v>
      </c>
      <c r="L1447" s="6">
        <v>1494.9</v>
      </c>
      <c r="M1447" s="5" t="s">
        <v>34</v>
      </c>
      <c r="N1447" s="5" t="s">
        <v>56</v>
      </c>
      <c r="O1447" s="5">
        <v>0</v>
      </c>
      <c r="P1447" s="5" t="s">
        <v>2849</v>
      </c>
      <c r="Q1447" s="5" t="s">
        <v>2850</v>
      </c>
      <c r="R1447" s="5">
        <v>27.55</v>
      </c>
      <c r="S1447" s="4">
        <v>45763</v>
      </c>
      <c r="T1447" s="4">
        <v>45773</v>
      </c>
      <c r="U1447" s="5">
        <f t="shared" si="68"/>
        <v>10</v>
      </c>
      <c r="V1447" s="5" t="s">
        <v>72</v>
      </c>
      <c r="X1447" s="5"/>
    </row>
    <row r="1448" spans="1:24">
      <c r="A1448" s="4">
        <v>45482</v>
      </c>
      <c r="B1448" s="5" t="str">
        <f t="shared" si="66"/>
        <v>July</v>
      </c>
      <c r="C1448" s="5" t="s">
        <v>19</v>
      </c>
      <c r="D1448" s="5" t="s">
        <v>22</v>
      </c>
      <c r="E1448" s="5">
        <v>16</v>
      </c>
      <c r="F1448" s="5">
        <v>55.56</v>
      </c>
      <c r="G1448" s="6">
        <f t="shared" si="67"/>
        <v>888.96</v>
      </c>
      <c r="H1448" s="5" t="s">
        <v>81</v>
      </c>
      <c r="I1448" s="5" t="s">
        <v>54</v>
      </c>
      <c r="J1448" s="5">
        <v>0.15</v>
      </c>
      <c r="K1448" s="5" t="s">
        <v>73</v>
      </c>
      <c r="L1448" s="6">
        <v>755.616</v>
      </c>
      <c r="M1448" s="5" t="s">
        <v>34</v>
      </c>
      <c r="N1448" s="5"/>
      <c r="O1448" s="5">
        <v>1</v>
      </c>
      <c r="P1448" s="5" t="s">
        <v>2851</v>
      </c>
      <c r="Q1448" s="5" t="s">
        <v>2852</v>
      </c>
      <c r="R1448" s="5">
        <v>17.81</v>
      </c>
      <c r="S1448" s="4">
        <v>45482</v>
      </c>
      <c r="T1448" s="4">
        <v>45490</v>
      </c>
      <c r="U1448" s="5">
        <f t="shared" si="68"/>
        <v>8</v>
      </c>
      <c r="V1448" s="5" t="s">
        <v>76</v>
      </c>
      <c r="X1448" s="5"/>
    </row>
    <row r="1449" spans="1:24">
      <c r="A1449" s="4">
        <v>45831</v>
      </c>
      <c r="B1449" s="5" t="str">
        <f t="shared" si="66"/>
        <v>June</v>
      </c>
      <c r="C1449" s="5" t="s">
        <v>16</v>
      </c>
      <c r="D1449" s="5" t="s">
        <v>23</v>
      </c>
      <c r="E1449" s="5">
        <v>20</v>
      </c>
      <c r="F1449" s="5">
        <v>243.47</v>
      </c>
      <c r="G1449" s="6">
        <f t="shared" si="67"/>
        <v>4869.4</v>
      </c>
      <c r="H1449" s="5" t="s">
        <v>61</v>
      </c>
      <c r="I1449" s="5" t="s">
        <v>54</v>
      </c>
      <c r="J1449" s="5">
        <v>0.05</v>
      </c>
      <c r="K1449" s="5" t="s">
        <v>63</v>
      </c>
      <c r="L1449" s="6">
        <v>4625.93</v>
      </c>
      <c r="M1449" s="5" t="s">
        <v>31</v>
      </c>
      <c r="N1449" s="5" t="s">
        <v>56</v>
      </c>
      <c r="O1449" s="5">
        <v>1</v>
      </c>
      <c r="P1449" s="5" t="s">
        <v>2853</v>
      </c>
      <c r="Q1449" s="5" t="s">
        <v>2556</v>
      </c>
      <c r="R1449" s="5">
        <v>32.28</v>
      </c>
      <c r="S1449" s="4">
        <v>45831</v>
      </c>
      <c r="T1449" s="4">
        <v>45841</v>
      </c>
      <c r="U1449" s="5">
        <f t="shared" si="68"/>
        <v>10</v>
      </c>
      <c r="V1449" s="5" t="s">
        <v>59</v>
      </c>
      <c r="X1449" s="5"/>
    </row>
    <row r="1450" spans="1:24">
      <c r="A1450" s="4">
        <v>45452</v>
      </c>
      <c r="B1450" s="5" t="str">
        <f t="shared" si="66"/>
        <v>June</v>
      </c>
      <c r="C1450" s="5" t="s">
        <v>16</v>
      </c>
      <c r="D1450" s="5" t="s">
        <v>101</v>
      </c>
      <c r="E1450" s="5">
        <v>11</v>
      </c>
      <c r="F1450" s="5">
        <v>185.59</v>
      </c>
      <c r="G1450" s="6">
        <f t="shared" si="67"/>
        <v>2041.49</v>
      </c>
      <c r="H1450" s="5" t="s">
        <v>53</v>
      </c>
      <c r="I1450" s="5" t="s">
        <v>62</v>
      </c>
      <c r="J1450" s="5">
        <v>0.1</v>
      </c>
      <c r="K1450" s="5" t="s">
        <v>78</v>
      </c>
      <c r="L1450" s="6">
        <v>1837.341</v>
      </c>
      <c r="M1450" s="5" t="s">
        <v>31</v>
      </c>
      <c r="N1450" s="5"/>
      <c r="O1450" s="5">
        <v>0</v>
      </c>
      <c r="P1450" s="5" t="s">
        <v>2854</v>
      </c>
      <c r="Q1450" s="5" t="s">
        <v>1667</v>
      </c>
      <c r="R1450" s="5">
        <v>45.19</v>
      </c>
      <c r="S1450" s="4">
        <v>45452</v>
      </c>
      <c r="T1450" s="4">
        <v>45461</v>
      </c>
      <c r="U1450" s="5">
        <f t="shared" si="68"/>
        <v>9</v>
      </c>
      <c r="V1450" s="5" t="s">
        <v>59</v>
      </c>
      <c r="X1450" s="5"/>
    </row>
    <row r="1451" spans="1:24">
      <c r="A1451" s="4">
        <v>45261</v>
      </c>
      <c r="B1451" s="5" t="str">
        <f t="shared" si="66"/>
        <v>December</v>
      </c>
      <c r="C1451" s="5" t="s">
        <v>19</v>
      </c>
      <c r="D1451" s="5" t="s">
        <v>24</v>
      </c>
      <c r="E1451" s="5">
        <v>11</v>
      </c>
      <c r="F1451" s="5">
        <v>347.38</v>
      </c>
      <c r="G1451" s="6">
        <f t="shared" si="67"/>
        <v>3821.18</v>
      </c>
      <c r="H1451" s="5" t="s">
        <v>77</v>
      </c>
      <c r="I1451" s="5" t="s">
        <v>54</v>
      </c>
      <c r="J1451" s="5">
        <v>0.05</v>
      </c>
      <c r="K1451" s="5" t="s">
        <v>55</v>
      </c>
      <c r="L1451" s="6">
        <v>3630.121</v>
      </c>
      <c r="M1451" s="5" t="s">
        <v>32</v>
      </c>
      <c r="N1451" s="5" t="s">
        <v>56</v>
      </c>
      <c r="O1451" s="5">
        <v>0</v>
      </c>
      <c r="P1451" s="5" t="s">
        <v>2855</v>
      </c>
      <c r="Q1451" s="5" t="s">
        <v>2856</v>
      </c>
      <c r="R1451" s="5">
        <v>24.8</v>
      </c>
      <c r="S1451" s="4">
        <v>45261</v>
      </c>
      <c r="T1451" s="4">
        <v>45263</v>
      </c>
      <c r="U1451" s="5">
        <f t="shared" si="68"/>
        <v>2</v>
      </c>
      <c r="V1451" s="5" t="s">
        <v>76</v>
      </c>
      <c r="X1451" s="5"/>
    </row>
    <row r="1452" spans="1:24">
      <c r="A1452" s="4">
        <v>45497</v>
      </c>
      <c r="B1452" s="5" t="str">
        <f t="shared" si="66"/>
        <v>July</v>
      </c>
      <c r="C1452" s="5" t="s">
        <v>20</v>
      </c>
      <c r="D1452" s="5" t="s">
        <v>101</v>
      </c>
      <c r="E1452" s="5">
        <v>15</v>
      </c>
      <c r="F1452" s="5">
        <v>318.03</v>
      </c>
      <c r="G1452" s="6">
        <f t="shared" si="67"/>
        <v>4770.45</v>
      </c>
      <c r="H1452" s="5" t="s">
        <v>81</v>
      </c>
      <c r="I1452" s="5" t="s">
        <v>62</v>
      </c>
      <c r="J1452" s="5">
        <v>0.05</v>
      </c>
      <c r="K1452" s="5" t="s">
        <v>82</v>
      </c>
      <c r="L1452" s="6">
        <v>4531.9275</v>
      </c>
      <c r="M1452" s="5" t="s">
        <v>31</v>
      </c>
      <c r="N1452" s="5" t="s">
        <v>69</v>
      </c>
      <c r="O1452" s="5">
        <v>1</v>
      </c>
      <c r="P1452" s="5" t="s">
        <v>2857</v>
      </c>
      <c r="Q1452" s="5" t="s">
        <v>2858</v>
      </c>
      <c r="R1452" s="5">
        <v>24.38</v>
      </c>
      <c r="S1452" s="4">
        <v>45497</v>
      </c>
      <c r="T1452" s="4">
        <v>45503</v>
      </c>
      <c r="U1452" s="5">
        <f t="shared" si="68"/>
        <v>6</v>
      </c>
      <c r="V1452" s="5" t="s">
        <v>94</v>
      </c>
      <c r="X1452" s="5"/>
    </row>
    <row r="1453" spans="1:24">
      <c r="A1453" s="4">
        <v>45028</v>
      </c>
      <c r="B1453" s="5" t="str">
        <f t="shared" si="66"/>
        <v>April</v>
      </c>
      <c r="C1453" s="5" t="s">
        <v>20</v>
      </c>
      <c r="D1453" s="5" t="s">
        <v>25</v>
      </c>
      <c r="E1453" s="5">
        <v>15</v>
      </c>
      <c r="F1453" s="5">
        <v>242.35</v>
      </c>
      <c r="G1453" s="6">
        <f t="shared" si="67"/>
        <v>3635.25</v>
      </c>
      <c r="H1453" s="5" t="s">
        <v>81</v>
      </c>
      <c r="I1453" s="5" t="s">
        <v>54</v>
      </c>
      <c r="J1453" s="5">
        <v>0.15</v>
      </c>
      <c r="K1453" s="5" t="s">
        <v>82</v>
      </c>
      <c r="L1453" s="6">
        <v>3089.9625</v>
      </c>
      <c r="M1453" s="5" t="s">
        <v>34</v>
      </c>
      <c r="N1453" s="5" t="s">
        <v>69</v>
      </c>
      <c r="O1453" s="5">
        <v>1</v>
      </c>
      <c r="P1453" s="5" t="s">
        <v>2859</v>
      </c>
      <c r="Q1453" s="5" t="s">
        <v>2050</v>
      </c>
      <c r="R1453" s="5">
        <v>14.92</v>
      </c>
      <c r="S1453" s="4">
        <v>45028</v>
      </c>
      <c r="T1453" s="4">
        <v>45035</v>
      </c>
      <c r="U1453" s="5">
        <f t="shared" si="68"/>
        <v>7</v>
      </c>
      <c r="V1453" s="5" t="s">
        <v>94</v>
      </c>
      <c r="X1453" s="5"/>
    </row>
    <row r="1454" spans="1:24">
      <c r="A1454" s="4">
        <v>45643</v>
      </c>
      <c r="B1454" s="5" t="str">
        <f t="shared" si="66"/>
        <v>December</v>
      </c>
      <c r="C1454" s="5" t="s">
        <v>18</v>
      </c>
      <c r="D1454" s="5" t="s">
        <v>24</v>
      </c>
      <c r="E1454" s="5">
        <v>3</v>
      </c>
      <c r="F1454" s="5">
        <v>82.09</v>
      </c>
      <c r="G1454" s="6">
        <f t="shared" si="67"/>
        <v>246.27</v>
      </c>
      <c r="H1454" s="5" t="s">
        <v>53</v>
      </c>
      <c r="I1454" s="5" t="s">
        <v>62</v>
      </c>
      <c r="J1454" s="5">
        <v>0.15</v>
      </c>
      <c r="K1454" s="5" t="s">
        <v>55</v>
      </c>
      <c r="L1454" s="6">
        <v>209.3295</v>
      </c>
      <c r="M1454" s="5" t="s">
        <v>31</v>
      </c>
      <c r="N1454" s="5" t="s">
        <v>69</v>
      </c>
      <c r="O1454" s="5">
        <v>1</v>
      </c>
      <c r="P1454" s="5" t="s">
        <v>2860</v>
      </c>
      <c r="Q1454" s="5" t="s">
        <v>2861</v>
      </c>
      <c r="R1454" s="5">
        <v>12.63</v>
      </c>
      <c r="S1454" s="4">
        <v>45643</v>
      </c>
      <c r="T1454" s="4">
        <v>45652</v>
      </c>
      <c r="U1454" s="5">
        <f t="shared" si="68"/>
        <v>9</v>
      </c>
      <c r="V1454" s="5" t="s">
        <v>72</v>
      </c>
      <c r="X1454" s="5"/>
    </row>
    <row r="1455" spans="1:24">
      <c r="A1455" s="4">
        <v>45512</v>
      </c>
      <c r="B1455" s="5" t="str">
        <f t="shared" si="66"/>
        <v>August</v>
      </c>
      <c r="C1455" s="5" t="s">
        <v>17</v>
      </c>
      <c r="D1455" s="5" t="s">
        <v>26</v>
      </c>
      <c r="E1455" s="5">
        <v>10</v>
      </c>
      <c r="F1455" s="5">
        <v>285.73</v>
      </c>
      <c r="G1455" s="6">
        <f t="shared" si="67"/>
        <v>2857.3</v>
      </c>
      <c r="H1455" s="5" t="s">
        <v>81</v>
      </c>
      <c r="I1455" s="5" t="s">
        <v>54</v>
      </c>
      <c r="J1455" s="5">
        <v>0.15</v>
      </c>
      <c r="K1455" s="5" t="s">
        <v>55</v>
      </c>
      <c r="L1455" s="6">
        <v>2428.705</v>
      </c>
      <c r="M1455" s="5" t="s">
        <v>34</v>
      </c>
      <c r="N1455" s="5" t="s">
        <v>69</v>
      </c>
      <c r="O1455" s="5">
        <v>1</v>
      </c>
      <c r="P1455" s="5" t="s">
        <v>2862</v>
      </c>
      <c r="Q1455" s="5" t="s">
        <v>2863</v>
      </c>
      <c r="R1455" s="5">
        <v>26.68</v>
      </c>
      <c r="S1455" s="4">
        <v>45512</v>
      </c>
      <c r="T1455" s="4">
        <v>45518</v>
      </c>
      <c r="U1455" s="5">
        <f t="shared" si="68"/>
        <v>6</v>
      </c>
      <c r="V1455" s="5" t="s">
        <v>67</v>
      </c>
      <c r="X1455" s="5"/>
    </row>
    <row r="1456" spans="1:24">
      <c r="A1456" s="4">
        <v>45550</v>
      </c>
      <c r="B1456" s="5" t="str">
        <f t="shared" si="66"/>
        <v>September</v>
      </c>
      <c r="C1456" s="5" t="s">
        <v>16</v>
      </c>
      <c r="D1456" s="5" t="s">
        <v>22</v>
      </c>
      <c r="E1456" s="5">
        <v>17</v>
      </c>
      <c r="F1456" s="5">
        <v>341.52</v>
      </c>
      <c r="G1456" s="6">
        <f t="shared" si="67"/>
        <v>5805.84</v>
      </c>
      <c r="H1456" s="5" t="s">
        <v>77</v>
      </c>
      <c r="I1456" s="5" t="s">
        <v>54</v>
      </c>
      <c r="J1456" s="5">
        <v>0.1</v>
      </c>
      <c r="K1456" s="5" t="s">
        <v>55</v>
      </c>
      <c r="L1456" s="6">
        <v>5225.256</v>
      </c>
      <c r="M1456" s="5" t="s">
        <v>32</v>
      </c>
      <c r="N1456" s="5" t="s">
        <v>56</v>
      </c>
      <c r="O1456" s="5">
        <v>0</v>
      </c>
      <c r="P1456" s="5" t="s">
        <v>2864</v>
      </c>
      <c r="Q1456" s="5" t="s">
        <v>2497</v>
      </c>
      <c r="R1456" s="5">
        <v>16.67</v>
      </c>
      <c r="S1456" s="4">
        <v>45550</v>
      </c>
      <c r="T1456" s="4">
        <v>45557</v>
      </c>
      <c r="U1456" s="5">
        <f t="shared" si="68"/>
        <v>7</v>
      </c>
      <c r="V1456" s="5" t="s">
        <v>59</v>
      </c>
      <c r="X1456" s="5"/>
    </row>
    <row r="1457" spans="1:24">
      <c r="A1457" s="4">
        <v>45207</v>
      </c>
      <c r="B1457" s="5" t="str">
        <f t="shared" si="66"/>
        <v>October</v>
      </c>
      <c r="C1457" s="5" t="s">
        <v>17</v>
      </c>
      <c r="D1457" s="5" t="s">
        <v>101</v>
      </c>
      <c r="E1457" s="5">
        <v>14</v>
      </c>
      <c r="F1457" s="5">
        <v>216.4</v>
      </c>
      <c r="G1457" s="6">
        <f t="shared" si="67"/>
        <v>3029.6</v>
      </c>
      <c r="H1457" s="5" t="s">
        <v>81</v>
      </c>
      <c r="I1457" s="5" t="s">
        <v>54</v>
      </c>
      <c r="J1457" s="5">
        <v>0.1</v>
      </c>
      <c r="K1457" s="5" t="s">
        <v>82</v>
      </c>
      <c r="L1457" s="6">
        <v>2726.64</v>
      </c>
      <c r="M1457" s="5" t="s">
        <v>33</v>
      </c>
      <c r="N1457" s="5" t="s">
        <v>69</v>
      </c>
      <c r="O1457" s="5">
        <v>0</v>
      </c>
      <c r="P1457" s="5" t="s">
        <v>2865</v>
      </c>
      <c r="Q1457" s="5" t="s">
        <v>2713</v>
      </c>
      <c r="R1457" s="5">
        <v>40.74</v>
      </c>
      <c r="S1457" s="4">
        <v>45207</v>
      </c>
      <c r="T1457" s="4">
        <v>45209</v>
      </c>
      <c r="U1457" s="5">
        <f t="shared" si="68"/>
        <v>2</v>
      </c>
      <c r="V1457" s="5" t="s">
        <v>67</v>
      </c>
      <c r="X1457" s="5"/>
    </row>
    <row r="1458" spans="1:24">
      <c r="A1458" s="4">
        <v>45800</v>
      </c>
      <c r="B1458" s="5" t="str">
        <f t="shared" si="66"/>
        <v>May</v>
      </c>
      <c r="C1458" s="5" t="s">
        <v>17</v>
      </c>
      <c r="D1458" s="5" t="s">
        <v>23</v>
      </c>
      <c r="E1458" s="5">
        <v>16</v>
      </c>
      <c r="F1458" s="5">
        <v>231.76</v>
      </c>
      <c r="G1458" s="6">
        <f t="shared" si="67"/>
        <v>3708.16</v>
      </c>
      <c r="H1458" s="5" t="s">
        <v>53</v>
      </c>
      <c r="I1458" s="5" t="s">
        <v>62</v>
      </c>
      <c r="J1458" s="5">
        <v>0.15</v>
      </c>
      <c r="K1458" s="5" t="s">
        <v>89</v>
      </c>
      <c r="L1458" s="6">
        <v>3151.936</v>
      </c>
      <c r="M1458" s="5" t="s">
        <v>30</v>
      </c>
      <c r="N1458" s="5" t="s">
        <v>69</v>
      </c>
      <c r="O1458" s="5">
        <v>1</v>
      </c>
      <c r="P1458" s="5" t="s">
        <v>2866</v>
      </c>
      <c r="Q1458" s="5" t="s">
        <v>2867</v>
      </c>
      <c r="R1458" s="5">
        <v>9.42</v>
      </c>
      <c r="S1458" s="4">
        <v>45800</v>
      </c>
      <c r="T1458" s="4">
        <v>45804</v>
      </c>
      <c r="U1458" s="5">
        <f t="shared" si="68"/>
        <v>4</v>
      </c>
      <c r="V1458" s="5" t="s">
        <v>67</v>
      </c>
      <c r="X1458" s="5"/>
    </row>
    <row r="1459" spans="1:24">
      <c r="A1459" s="4">
        <v>44928</v>
      </c>
      <c r="B1459" s="5" t="str">
        <f t="shared" si="66"/>
        <v>January</v>
      </c>
      <c r="C1459" s="5" t="s">
        <v>17</v>
      </c>
      <c r="D1459" s="5" t="s">
        <v>22</v>
      </c>
      <c r="E1459" s="5">
        <v>7</v>
      </c>
      <c r="F1459" s="5">
        <v>61.47</v>
      </c>
      <c r="G1459" s="6">
        <f t="shared" si="67"/>
        <v>430.29</v>
      </c>
      <c r="H1459" s="5" t="s">
        <v>77</v>
      </c>
      <c r="I1459" s="5" t="s">
        <v>62</v>
      </c>
      <c r="J1459" s="5">
        <v>0.15</v>
      </c>
      <c r="K1459" s="5" t="s">
        <v>55</v>
      </c>
      <c r="L1459" s="6">
        <v>365.7465</v>
      </c>
      <c r="M1459" s="5" t="s">
        <v>30</v>
      </c>
      <c r="N1459" s="5" t="s">
        <v>56</v>
      </c>
      <c r="O1459" s="5">
        <v>0</v>
      </c>
      <c r="P1459" s="5" t="s">
        <v>2868</v>
      </c>
      <c r="Q1459" s="5" t="s">
        <v>2869</v>
      </c>
      <c r="R1459" s="5">
        <v>14.44</v>
      </c>
      <c r="S1459" s="4">
        <v>44928</v>
      </c>
      <c r="T1459" s="4">
        <v>44938</v>
      </c>
      <c r="U1459" s="5">
        <f t="shared" si="68"/>
        <v>10</v>
      </c>
      <c r="V1459" s="5" t="s">
        <v>67</v>
      </c>
      <c r="X1459" s="5"/>
    </row>
    <row r="1460" spans="1:24">
      <c r="A1460" s="4">
        <v>45218</v>
      </c>
      <c r="B1460" s="5" t="str">
        <f t="shared" si="66"/>
        <v>October</v>
      </c>
      <c r="C1460" s="5" t="s">
        <v>18</v>
      </c>
      <c r="D1460" s="5" t="s">
        <v>24</v>
      </c>
      <c r="E1460" s="5">
        <v>15</v>
      </c>
      <c r="F1460" s="5">
        <v>434.44</v>
      </c>
      <c r="G1460" s="6">
        <f t="shared" si="67"/>
        <v>6516.6</v>
      </c>
      <c r="H1460" s="5" t="s">
        <v>53</v>
      </c>
      <c r="I1460" s="5" t="s">
        <v>54</v>
      </c>
      <c r="J1460" s="5">
        <v>0</v>
      </c>
      <c r="K1460" s="5" t="s">
        <v>89</v>
      </c>
      <c r="L1460" s="6">
        <v>6516.6</v>
      </c>
      <c r="M1460" s="5" t="s">
        <v>33</v>
      </c>
      <c r="N1460" s="5"/>
      <c r="O1460" s="5">
        <v>1</v>
      </c>
      <c r="P1460" s="5" t="s">
        <v>2870</v>
      </c>
      <c r="Q1460" s="5" t="s">
        <v>2871</v>
      </c>
      <c r="R1460" s="5">
        <v>33.86</v>
      </c>
      <c r="S1460" s="4">
        <v>45218</v>
      </c>
      <c r="T1460" s="4">
        <v>45227</v>
      </c>
      <c r="U1460" s="5">
        <f t="shared" si="68"/>
        <v>9</v>
      </c>
      <c r="V1460" s="5" t="s">
        <v>72</v>
      </c>
      <c r="X1460" s="5"/>
    </row>
    <row r="1461" spans="1:24">
      <c r="A1461" s="4">
        <v>45772</v>
      </c>
      <c r="B1461" s="5" t="str">
        <f t="shared" si="66"/>
        <v>April</v>
      </c>
      <c r="C1461" s="5" t="s">
        <v>20</v>
      </c>
      <c r="D1461" s="5" t="s">
        <v>25</v>
      </c>
      <c r="E1461" s="5">
        <v>16</v>
      </c>
      <c r="F1461" s="5">
        <v>484.01</v>
      </c>
      <c r="G1461" s="6">
        <f t="shared" si="67"/>
        <v>7744.16</v>
      </c>
      <c r="H1461" s="5" t="s">
        <v>61</v>
      </c>
      <c r="I1461" s="5" t="s">
        <v>54</v>
      </c>
      <c r="J1461" s="5">
        <v>0</v>
      </c>
      <c r="K1461" s="5" t="s">
        <v>63</v>
      </c>
      <c r="L1461" s="6">
        <v>7744.16</v>
      </c>
      <c r="M1461" s="5" t="s">
        <v>30</v>
      </c>
      <c r="N1461" s="5" t="s">
        <v>64</v>
      </c>
      <c r="O1461" s="5">
        <v>1</v>
      </c>
      <c r="P1461" s="5" t="s">
        <v>2872</v>
      </c>
      <c r="Q1461" s="5" t="s">
        <v>2873</v>
      </c>
      <c r="R1461" s="5">
        <v>9.65</v>
      </c>
      <c r="S1461" s="4">
        <v>45772</v>
      </c>
      <c r="T1461" s="4">
        <v>45778</v>
      </c>
      <c r="U1461" s="5">
        <f t="shared" si="68"/>
        <v>6</v>
      </c>
      <c r="V1461" s="5" t="s">
        <v>94</v>
      </c>
      <c r="X1461" s="5"/>
    </row>
    <row r="1462" spans="1:24">
      <c r="A1462" s="4">
        <v>45382</v>
      </c>
      <c r="B1462" s="5" t="str">
        <f t="shared" si="66"/>
        <v>March</v>
      </c>
      <c r="C1462" s="5" t="s">
        <v>19</v>
      </c>
      <c r="D1462" s="5" t="s">
        <v>24</v>
      </c>
      <c r="E1462" s="5">
        <v>2</v>
      </c>
      <c r="F1462" s="5">
        <v>55.08</v>
      </c>
      <c r="G1462" s="6">
        <f t="shared" si="67"/>
        <v>110.16</v>
      </c>
      <c r="H1462" s="5" t="s">
        <v>77</v>
      </c>
      <c r="I1462" s="5" t="s">
        <v>54</v>
      </c>
      <c r="J1462" s="5">
        <v>0</v>
      </c>
      <c r="K1462" s="5" t="s">
        <v>73</v>
      </c>
      <c r="L1462" s="6">
        <v>110.16</v>
      </c>
      <c r="M1462" s="5" t="s">
        <v>32</v>
      </c>
      <c r="N1462" s="5" t="s">
        <v>56</v>
      </c>
      <c r="O1462" s="5">
        <v>0</v>
      </c>
      <c r="P1462" s="5" t="s">
        <v>2874</v>
      </c>
      <c r="Q1462" s="5" t="s">
        <v>2875</v>
      </c>
      <c r="R1462" s="5">
        <v>9.85</v>
      </c>
      <c r="S1462" s="4">
        <v>45382</v>
      </c>
      <c r="T1462" s="4">
        <v>45386</v>
      </c>
      <c r="U1462" s="5">
        <f t="shared" si="68"/>
        <v>4</v>
      </c>
      <c r="V1462" s="5" t="s">
        <v>76</v>
      </c>
      <c r="X1462" s="5"/>
    </row>
    <row r="1463" spans="1:24">
      <c r="A1463" s="4">
        <v>45688</v>
      </c>
      <c r="B1463" s="5" t="str">
        <f t="shared" si="66"/>
        <v>January</v>
      </c>
      <c r="C1463" s="5" t="s">
        <v>18</v>
      </c>
      <c r="D1463" s="5" t="s">
        <v>27</v>
      </c>
      <c r="E1463" s="5">
        <v>13</v>
      </c>
      <c r="F1463" s="5">
        <v>223.44</v>
      </c>
      <c r="G1463" s="6">
        <f t="shared" si="67"/>
        <v>2904.72</v>
      </c>
      <c r="H1463" s="5" t="s">
        <v>53</v>
      </c>
      <c r="I1463" s="5" t="s">
        <v>62</v>
      </c>
      <c r="J1463" s="5">
        <v>0.15</v>
      </c>
      <c r="K1463" s="5" t="s">
        <v>78</v>
      </c>
      <c r="L1463" s="6">
        <v>2469.012</v>
      </c>
      <c r="M1463" s="5" t="s">
        <v>32</v>
      </c>
      <c r="N1463" s="5"/>
      <c r="O1463" s="5">
        <v>1</v>
      </c>
      <c r="P1463" s="5" t="s">
        <v>2876</v>
      </c>
      <c r="Q1463" s="5" t="s">
        <v>2877</v>
      </c>
      <c r="R1463" s="5">
        <v>38.46</v>
      </c>
      <c r="S1463" s="4">
        <v>45688</v>
      </c>
      <c r="T1463" s="4">
        <v>45695</v>
      </c>
      <c r="U1463" s="5">
        <f t="shared" si="68"/>
        <v>7</v>
      </c>
      <c r="V1463" s="5" t="s">
        <v>72</v>
      </c>
      <c r="X1463" s="5"/>
    </row>
    <row r="1464" spans="1:24">
      <c r="A1464" s="4">
        <v>45743</v>
      </c>
      <c r="B1464" s="5" t="str">
        <f t="shared" si="66"/>
        <v>March</v>
      </c>
      <c r="C1464" s="5" t="s">
        <v>16</v>
      </c>
      <c r="D1464" s="5" t="s">
        <v>23</v>
      </c>
      <c r="E1464" s="5">
        <v>11</v>
      </c>
      <c r="F1464" s="5">
        <v>548.08</v>
      </c>
      <c r="G1464" s="6">
        <f t="shared" si="67"/>
        <v>6028.88</v>
      </c>
      <c r="H1464" s="5" t="s">
        <v>81</v>
      </c>
      <c r="I1464" s="5" t="s">
        <v>54</v>
      </c>
      <c r="J1464" s="5">
        <v>0.05</v>
      </c>
      <c r="K1464" s="5" t="s">
        <v>55</v>
      </c>
      <c r="L1464" s="6">
        <v>5727.436</v>
      </c>
      <c r="M1464" s="5" t="s">
        <v>34</v>
      </c>
      <c r="N1464" s="5"/>
      <c r="O1464" s="5">
        <v>0</v>
      </c>
      <c r="P1464" s="5" t="s">
        <v>2878</v>
      </c>
      <c r="Q1464" s="5" t="s">
        <v>2879</v>
      </c>
      <c r="R1464" s="5">
        <v>25.82</v>
      </c>
      <c r="S1464" s="4">
        <v>45743</v>
      </c>
      <c r="T1464" s="4">
        <v>45753</v>
      </c>
      <c r="U1464" s="5">
        <f t="shared" si="68"/>
        <v>10</v>
      </c>
      <c r="V1464" s="5" t="s">
        <v>59</v>
      </c>
      <c r="X1464" s="5"/>
    </row>
    <row r="1465" spans="1:24">
      <c r="A1465" s="4">
        <v>45676</v>
      </c>
      <c r="B1465" s="5" t="str">
        <f t="shared" si="66"/>
        <v>January</v>
      </c>
      <c r="C1465" s="5" t="s">
        <v>19</v>
      </c>
      <c r="D1465" s="5" t="s">
        <v>24</v>
      </c>
      <c r="E1465" s="5">
        <v>11</v>
      </c>
      <c r="F1465" s="5">
        <v>133.64</v>
      </c>
      <c r="G1465" s="6">
        <f t="shared" si="67"/>
        <v>1470.04</v>
      </c>
      <c r="H1465" s="5" t="s">
        <v>81</v>
      </c>
      <c r="I1465" s="5" t="s">
        <v>54</v>
      </c>
      <c r="J1465" s="5">
        <v>0</v>
      </c>
      <c r="K1465" s="5" t="s">
        <v>82</v>
      </c>
      <c r="L1465" s="6">
        <v>1470.04</v>
      </c>
      <c r="M1465" s="5" t="s">
        <v>33</v>
      </c>
      <c r="N1465" s="5"/>
      <c r="O1465" s="5">
        <v>1</v>
      </c>
      <c r="P1465" s="5" t="s">
        <v>2880</v>
      </c>
      <c r="Q1465" s="5" t="s">
        <v>2173</v>
      </c>
      <c r="R1465" s="5">
        <v>30.18</v>
      </c>
      <c r="S1465" s="4">
        <v>45676</v>
      </c>
      <c r="T1465" s="4">
        <v>45681</v>
      </c>
      <c r="U1465" s="5">
        <f t="shared" si="68"/>
        <v>5</v>
      </c>
      <c r="V1465" s="5" t="s">
        <v>76</v>
      </c>
      <c r="X1465" s="5"/>
    </row>
    <row r="1466" spans="1:24">
      <c r="A1466" s="4">
        <v>45428</v>
      </c>
      <c r="B1466" s="5" t="str">
        <f t="shared" si="66"/>
        <v>May</v>
      </c>
      <c r="C1466" s="5" t="s">
        <v>18</v>
      </c>
      <c r="D1466" s="5" t="s">
        <v>25</v>
      </c>
      <c r="E1466" s="5">
        <v>19</v>
      </c>
      <c r="F1466" s="5">
        <v>368.85</v>
      </c>
      <c r="G1466" s="6">
        <f t="shared" si="67"/>
        <v>7008.15</v>
      </c>
      <c r="H1466" s="5" t="s">
        <v>77</v>
      </c>
      <c r="I1466" s="5" t="s">
        <v>62</v>
      </c>
      <c r="J1466" s="5">
        <v>0.1</v>
      </c>
      <c r="K1466" s="5" t="s">
        <v>89</v>
      </c>
      <c r="L1466" s="6">
        <v>6307.335</v>
      </c>
      <c r="M1466" s="5" t="s">
        <v>31</v>
      </c>
      <c r="N1466" s="5" t="s">
        <v>56</v>
      </c>
      <c r="O1466" s="5">
        <v>0</v>
      </c>
      <c r="P1466" s="5" t="s">
        <v>2881</v>
      </c>
      <c r="Q1466" s="5" t="s">
        <v>2882</v>
      </c>
      <c r="R1466" s="5">
        <v>35.37</v>
      </c>
      <c r="S1466" s="4">
        <v>45428</v>
      </c>
      <c r="T1466" s="4">
        <v>45433</v>
      </c>
      <c r="U1466" s="5">
        <f t="shared" si="68"/>
        <v>5</v>
      </c>
      <c r="V1466" s="5" t="s">
        <v>72</v>
      </c>
      <c r="X1466" s="5"/>
    </row>
    <row r="1467" spans="1:24">
      <c r="A1467" s="4">
        <v>45173</v>
      </c>
      <c r="B1467" s="5" t="str">
        <f t="shared" si="66"/>
        <v>September</v>
      </c>
      <c r="C1467" s="5" t="s">
        <v>19</v>
      </c>
      <c r="D1467" s="5" t="s">
        <v>25</v>
      </c>
      <c r="E1467" s="5">
        <v>14</v>
      </c>
      <c r="F1467" s="5">
        <v>115.98</v>
      </c>
      <c r="G1467" s="6">
        <f t="shared" si="67"/>
        <v>1623.72</v>
      </c>
      <c r="H1467" s="5" t="s">
        <v>61</v>
      </c>
      <c r="I1467" s="5" t="s">
        <v>54</v>
      </c>
      <c r="J1467" s="5">
        <v>0</v>
      </c>
      <c r="K1467" s="5" t="s">
        <v>89</v>
      </c>
      <c r="L1467" s="6">
        <v>1623.72</v>
      </c>
      <c r="M1467" s="5" t="s">
        <v>33</v>
      </c>
      <c r="N1467" s="5"/>
      <c r="O1467" s="5">
        <v>0</v>
      </c>
      <c r="P1467" s="5" t="s">
        <v>2883</v>
      </c>
      <c r="Q1467" s="5" t="s">
        <v>2884</v>
      </c>
      <c r="R1467" s="5">
        <v>31.85</v>
      </c>
      <c r="S1467" s="4">
        <v>45173</v>
      </c>
      <c r="T1467" s="4">
        <v>45175</v>
      </c>
      <c r="U1467" s="5">
        <f t="shared" si="68"/>
        <v>2</v>
      </c>
      <c r="V1467" s="5" t="s">
        <v>76</v>
      </c>
      <c r="X1467" s="5"/>
    </row>
    <row r="1468" spans="1:24">
      <c r="A1468" s="4">
        <v>45277</v>
      </c>
      <c r="B1468" s="5" t="str">
        <f t="shared" si="66"/>
        <v>December</v>
      </c>
      <c r="C1468" s="5" t="s">
        <v>17</v>
      </c>
      <c r="D1468" s="5" t="s">
        <v>26</v>
      </c>
      <c r="E1468" s="5">
        <v>9</v>
      </c>
      <c r="F1468" s="5">
        <v>55.04</v>
      </c>
      <c r="G1468" s="6">
        <f t="shared" si="67"/>
        <v>495.36</v>
      </c>
      <c r="H1468" s="5" t="s">
        <v>53</v>
      </c>
      <c r="I1468" s="5" t="s">
        <v>62</v>
      </c>
      <c r="J1468" s="5">
        <v>0.15</v>
      </c>
      <c r="K1468" s="5" t="s">
        <v>63</v>
      </c>
      <c r="L1468" s="6">
        <v>421.056</v>
      </c>
      <c r="M1468" s="5" t="s">
        <v>30</v>
      </c>
      <c r="N1468" s="5"/>
      <c r="O1468" s="5">
        <v>0</v>
      </c>
      <c r="P1468" s="5" t="s">
        <v>2885</v>
      </c>
      <c r="Q1468" s="5" t="s">
        <v>2886</v>
      </c>
      <c r="R1468" s="5">
        <v>31.09</v>
      </c>
      <c r="S1468" s="4">
        <v>45277</v>
      </c>
      <c r="T1468" s="4">
        <v>45283</v>
      </c>
      <c r="U1468" s="5">
        <f t="shared" si="68"/>
        <v>6</v>
      </c>
      <c r="V1468" s="5" t="s">
        <v>67</v>
      </c>
      <c r="X1468" s="5"/>
    </row>
    <row r="1469" spans="1:24">
      <c r="A1469" s="4">
        <v>45306</v>
      </c>
      <c r="B1469" s="5" t="str">
        <f t="shared" si="66"/>
        <v>January</v>
      </c>
      <c r="C1469" s="5" t="s">
        <v>19</v>
      </c>
      <c r="D1469" s="5" t="s">
        <v>26</v>
      </c>
      <c r="E1469" s="5">
        <v>4</v>
      </c>
      <c r="F1469" s="5">
        <v>159.54</v>
      </c>
      <c r="G1469" s="6">
        <f t="shared" si="67"/>
        <v>638.16</v>
      </c>
      <c r="H1469" s="5" t="s">
        <v>61</v>
      </c>
      <c r="I1469" s="5" t="s">
        <v>54</v>
      </c>
      <c r="J1469" s="5">
        <v>0.05</v>
      </c>
      <c r="K1469" s="5" t="s">
        <v>63</v>
      </c>
      <c r="L1469" s="6">
        <v>606.252</v>
      </c>
      <c r="M1469" s="5" t="s">
        <v>32</v>
      </c>
      <c r="N1469" s="5" t="s">
        <v>56</v>
      </c>
      <c r="O1469" s="5">
        <v>0</v>
      </c>
      <c r="P1469" s="5" t="s">
        <v>2887</v>
      </c>
      <c r="Q1469" s="5" t="s">
        <v>2888</v>
      </c>
      <c r="R1469" s="5">
        <v>32.36</v>
      </c>
      <c r="S1469" s="4">
        <v>45306</v>
      </c>
      <c r="T1469" s="4">
        <v>45312</v>
      </c>
      <c r="U1469" s="5">
        <f t="shared" si="68"/>
        <v>6</v>
      </c>
      <c r="V1469" s="5" t="s">
        <v>76</v>
      </c>
      <c r="X1469" s="5"/>
    </row>
    <row r="1470" spans="1:24">
      <c r="A1470" s="4">
        <v>45645</v>
      </c>
      <c r="B1470" s="5" t="str">
        <f t="shared" si="66"/>
        <v>December</v>
      </c>
      <c r="C1470" s="5" t="s">
        <v>19</v>
      </c>
      <c r="D1470" s="5" t="s">
        <v>22</v>
      </c>
      <c r="E1470" s="5">
        <v>15</v>
      </c>
      <c r="F1470" s="5">
        <v>150.15</v>
      </c>
      <c r="G1470" s="6">
        <f t="shared" si="67"/>
        <v>2252.25</v>
      </c>
      <c r="H1470" s="5" t="s">
        <v>77</v>
      </c>
      <c r="I1470" s="5" t="s">
        <v>62</v>
      </c>
      <c r="J1470" s="5">
        <v>0</v>
      </c>
      <c r="K1470" s="5" t="s">
        <v>73</v>
      </c>
      <c r="L1470" s="6">
        <v>2252.25</v>
      </c>
      <c r="M1470" s="5" t="s">
        <v>30</v>
      </c>
      <c r="N1470" s="5" t="s">
        <v>69</v>
      </c>
      <c r="O1470" s="5">
        <v>0</v>
      </c>
      <c r="P1470" s="5" t="s">
        <v>2889</v>
      </c>
      <c r="Q1470" s="5" t="s">
        <v>2890</v>
      </c>
      <c r="R1470" s="5">
        <v>35.94</v>
      </c>
      <c r="S1470" s="4">
        <v>45645</v>
      </c>
      <c r="T1470" s="4">
        <v>45655</v>
      </c>
      <c r="U1470" s="5">
        <f t="shared" si="68"/>
        <v>10</v>
      </c>
      <c r="V1470" s="5" t="s">
        <v>76</v>
      </c>
      <c r="X1470" s="5"/>
    </row>
    <row r="1471" spans="1:24">
      <c r="A1471" s="4">
        <v>45276</v>
      </c>
      <c r="B1471" s="5" t="str">
        <f t="shared" si="66"/>
        <v>December</v>
      </c>
      <c r="C1471" s="5" t="s">
        <v>18</v>
      </c>
      <c r="D1471" s="5" t="s">
        <v>25</v>
      </c>
      <c r="E1471" s="5">
        <v>9</v>
      </c>
      <c r="F1471" s="5">
        <v>57.93</v>
      </c>
      <c r="G1471" s="6">
        <f t="shared" si="67"/>
        <v>521.37</v>
      </c>
      <c r="H1471" s="5" t="s">
        <v>77</v>
      </c>
      <c r="I1471" s="5" t="s">
        <v>54</v>
      </c>
      <c r="J1471" s="5">
        <v>0</v>
      </c>
      <c r="K1471" s="5" t="s">
        <v>89</v>
      </c>
      <c r="L1471" s="6">
        <v>521.37</v>
      </c>
      <c r="M1471" s="5" t="s">
        <v>31</v>
      </c>
      <c r="N1471" s="5" t="s">
        <v>56</v>
      </c>
      <c r="O1471" s="5">
        <v>1</v>
      </c>
      <c r="P1471" s="5" t="s">
        <v>2891</v>
      </c>
      <c r="Q1471" s="5" t="s">
        <v>787</v>
      </c>
      <c r="R1471" s="5">
        <v>28.73</v>
      </c>
      <c r="S1471" s="4">
        <v>45276</v>
      </c>
      <c r="T1471" s="4">
        <v>45278</v>
      </c>
      <c r="U1471" s="5">
        <f t="shared" si="68"/>
        <v>2</v>
      </c>
      <c r="V1471" s="5" t="s">
        <v>72</v>
      </c>
      <c r="X1471" s="5"/>
    </row>
    <row r="1472" spans="1:24">
      <c r="A1472" s="4">
        <v>45791</v>
      </c>
      <c r="B1472" s="5" t="str">
        <f t="shared" si="66"/>
        <v>May</v>
      </c>
      <c r="C1472" s="5" t="s">
        <v>19</v>
      </c>
      <c r="D1472" s="5" t="s">
        <v>22</v>
      </c>
      <c r="E1472" s="5">
        <v>4</v>
      </c>
      <c r="F1472" s="5">
        <v>438.58</v>
      </c>
      <c r="G1472" s="6">
        <f t="shared" si="67"/>
        <v>1754.32</v>
      </c>
      <c r="H1472" s="5" t="s">
        <v>81</v>
      </c>
      <c r="I1472" s="5" t="s">
        <v>62</v>
      </c>
      <c r="J1472" s="5">
        <v>0.05</v>
      </c>
      <c r="K1472" s="5" t="s">
        <v>63</v>
      </c>
      <c r="L1472" s="6">
        <v>1666.604</v>
      </c>
      <c r="M1472" s="5" t="s">
        <v>30</v>
      </c>
      <c r="N1472" s="5" t="s">
        <v>69</v>
      </c>
      <c r="O1472" s="5">
        <v>0</v>
      </c>
      <c r="P1472" s="5" t="s">
        <v>2892</v>
      </c>
      <c r="Q1472" s="5" t="s">
        <v>2893</v>
      </c>
      <c r="R1472" s="5">
        <v>5.1</v>
      </c>
      <c r="S1472" s="4">
        <v>45791</v>
      </c>
      <c r="T1472" s="4">
        <v>45795</v>
      </c>
      <c r="U1472" s="5">
        <f t="shared" si="68"/>
        <v>4</v>
      </c>
      <c r="V1472" s="5" t="s">
        <v>76</v>
      </c>
      <c r="X1472" s="5"/>
    </row>
    <row r="1473" spans="1:24">
      <c r="A1473" s="4">
        <v>45107</v>
      </c>
      <c r="B1473" s="5" t="str">
        <f t="shared" si="66"/>
        <v>June</v>
      </c>
      <c r="C1473" s="5" t="s">
        <v>17</v>
      </c>
      <c r="D1473" s="5" t="s">
        <v>26</v>
      </c>
      <c r="E1473" s="5">
        <v>6</v>
      </c>
      <c r="F1473" s="5">
        <v>536.24</v>
      </c>
      <c r="G1473" s="6">
        <f t="shared" si="67"/>
        <v>3217.44</v>
      </c>
      <c r="H1473" s="5" t="s">
        <v>81</v>
      </c>
      <c r="I1473" s="5" t="s">
        <v>62</v>
      </c>
      <c r="J1473" s="5">
        <v>0</v>
      </c>
      <c r="K1473" s="5" t="s">
        <v>82</v>
      </c>
      <c r="L1473" s="6">
        <v>3217.44</v>
      </c>
      <c r="M1473" s="5" t="s">
        <v>34</v>
      </c>
      <c r="N1473" s="5" t="s">
        <v>69</v>
      </c>
      <c r="O1473" s="5">
        <v>0</v>
      </c>
      <c r="P1473" s="5" t="s">
        <v>2894</v>
      </c>
      <c r="Q1473" s="5" t="s">
        <v>1510</v>
      </c>
      <c r="R1473" s="5">
        <v>35.32</v>
      </c>
      <c r="S1473" s="4">
        <v>45107</v>
      </c>
      <c r="T1473" s="4">
        <v>45109</v>
      </c>
      <c r="U1473" s="5">
        <f t="shared" si="68"/>
        <v>2</v>
      </c>
      <c r="V1473" s="5" t="s">
        <v>67</v>
      </c>
      <c r="X1473" s="5"/>
    </row>
    <row r="1474" spans="1:24">
      <c r="A1474" s="4">
        <v>45838</v>
      </c>
      <c r="B1474" s="5" t="str">
        <f t="shared" si="66"/>
        <v>June</v>
      </c>
      <c r="C1474" s="5" t="s">
        <v>17</v>
      </c>
      <c r="D1474" s="5" t="s">
        <v>23</v>
      </c>
      <c r="E1474" s="5">
        <v>20</v>
      </c>
      <c r="F1474" s="5">
        <v>444.77</v>
      </c>
      <c r="G1474" s="6">
        <f t="shared" si="67"/>
        <v>8895.4</v>
      </c>
      <c r="H1474" s="5" t="s">
        <v>53</v>
      </c>
      <c r="I1474" s="5" t="s">
        <v>54</v>
      </c>
      <c r="J1474" s="5">
        <v>0.1</v>
      </c>
      <c r="K1474" s="5" t="s">
        <v>82</v>
      </c>
      <c r="L1474" s="6">
        <v>8005.86</v>
      </c>
      <c r="M1474" s="5" t="s">
        <v>30</v>
      </c>
      <c r="N1474" s="5"/>
      <c r="O1474" s="5">
        <v>1</v>
      </c>
      <c r="P1474" s="5" t="s">
        <v>2895</v>
      </c>
      <c r="Q1474" s="5" t="s">
        <v>2896</v>
      </c>
      <c r="R1474" s="5">
        <v>20.05</v>
      </c>
      <c r="S1474" s="4">
        <v>45838</v>
      </c>
      <c r="T1474" s="4">
        <v>45845</v>
      </c>
      <c r="U1474" s="5">
        <f t="shared" si="68"/>
        <v>7</v>
      </c>
      <c r="V1474" s="5" t="s">
        <v>67</v>
      </c>
      <c r="X1474" s="5"/>
    </row>
    <row r="1475" spans="1:24">
      <c r="A1475" s="4">
        <v>45730</v>
      </c>
      <c r="B1475" s="5" t="str">
        <f>TEXT(A1475,"mmmm")</f>
        <v>March</v>
      </c>
      <c r="C1475" s="5" t="s">
        <v>19</v>
      </c>
      <c r="D1475" s="5" t="s">
        <v>27</v>
      </c>
      <c r="E1475" s="5">
        <v>10</v>
      </c>
      <c r="F1475" s="5">
        <v>212.1</v>
      </c>
      <c r="G1475" s="6">
        <f>F1475*E1475</f>
        <v>2121</v>
      </c>
      <c r="H1475" s="5" t="s">
        <v>53</v>
      </c>
      <c r="I1475" s="5" t="s">
        <v>62</v>
      </c>
      <c r="J1475" s="5">
        <v>0.15</v>
      </c>
      <c r="K1475" s="5" t="s">
        <v>55</v>
      </c>
      <c r="L1475" s="6">
        <v>1802.85</v>
      </c>
      <c r="M1475" s="5" t="s">
        <v>31</v>
      </c>
      <c r="N1475" s="5" t="s">
        <v>69</v>
      </c>
      <c r="O1475" s="5">
        <v>0</v>
      </c>
      <c r="P1475" s="5" t="s">
        <v>2897</v>
      </c>
      <c r="Q1475" s="5" t="s">
        <v>2898</v>
      </c>
      <c r="R1475" s="5">
        <v>47.93</v>
      </c>
      <c r="S1475" s="4">
        <v>45730</v>
      </c>
      <c r="T1475" s="4">
        <v>45738</v>
      </c>
      <c r="U1475" s="5">
        <f>T1475-S1475</f>
        <v>8</v>
      </c>
      <c r="V1475" s="5" t="s">
        <v>76</v>
      </c>
      <c r="X1475" s="5"/>
    </row>
    <row r="1476" spans="1:24">
      <c r="A1476" s="4">
        <v>45034</v>
      </c>
      <c r="B1476" s="5" t="str">
        <f>TEXT(A1476,"mmmm")</f>
        <v>April</v>
      </c>
      <c r="C1476" s="5" t="s">
        <v>17</v>
      </c>
      <c r="D1476" s="5" t="s">
        <v>23</v>
      </c>
      <c r="E1476" s="5">
        <v>9</v>
      </c>
      <c r="F1476" s="5">
        <v>509.44</v>
      </c>
      <c r="G1476" s="6">
        <f>F1476*E1476</f>
        <v>4584.96</v>
      </c>
      <c r="H1476" s="5" t="s">
        <v>53</v>
      </c>
      <c r="I1476" s="5" t="s">
        <v>62</v>
      </c>
      <c r="J1476" s="5">
        <v>0.15</v>
      </c>
      <c r="K1476" s="5" t="s">
        <v>55</v>
      </c>
      <c r="L1476" s="6">
        <v>3897.216</v>
      </c>
      <c r="M1476" s="5" t="s">
        <v>32</v>
      </c>
      <c r="N1476" s="5" t="s">
        <v>64</v>
      </c>
      <c r="O1476" s="5">
        <v>0</v>
      </c>
      <c r="P1476" s="5" t="s">
        <v>2899</v>
      </c>
      <c r="Q1476" s="5" t="s">
        <v>2900</v>
      </c>
      <c r="R1476" s="5">
        <v>13</v>
      </c>
      <c r="S1476" s="4">
        <v>45034</v>
      </c>
      <c r="T1476" s="4">
        <v>45043</v>
      </c>
      <c r="U1476" s="5">
        <f>T1476-S1476</f>
        <v>9</v>
      </c>
      <c r="V1476" s="5" t="s">
        <v>67</v>
      </c>
      <c r="X1476" s="5"/>
    </row>
    <row r="1477" spans="1:24">
      <c r="A1477" s="4">
        <v>45546</v>
      </c>
      <c r="B1477" s="5" t="str">
        <f>TEXT(A1477,"mmmm")</f>
        <v>September</v>
      </c>
      <c r="C1477" s="5" t="s">
        <v>20</v>
      </c>
      <c r="D1477" s="5" t="s">
        <v>26</v>
      </c>
      <c r="E1477" s="5">
        <v>8</v>
      </c>
      <c r="F1477" s="5">
        <v>236.17</v>
      </c>
      <c r="G1477" s="6">
        <f>F1477*E1477</f>
        <v>1889.36</v>
      </c>
      <c r="H1477" s="5" t="s">
        <v>77</v>
      </c>
      <c r="I1477" s="5" t="s">
        <v>54</v>
      </c>
      <c r="J1477" s="5">
        <v>0.15</v>
      </c>
      <c r="K1477" s="5" t="s">
        <v>73</v>
      </c>
      <c r="L1477" s="6">
        <v>1605.956</v>
      </c>
      <c r="M1477" s="5" t="s">
        <v>34</v>
      </c>
      <c r="N1477" s="5" t="s">
        <v>69</v>
      </c>
      <c r="O1477" s="5">
        <v>0</v>
      </c>
      <c r="P1477" s="5" t="s">
        <v>2901</v>
      </c>
      <c r="Q1477" s="5" t="s">
        <v>2902</v>
      </c>
      <c r="R1477" s="5">
        <v>22.88</v>
      </c>
      <c r="S1477" s="4">
        <v>45546</v>
      </c>
      <c r="T1477" s="4">
        <v>45554</v>
      </c>
      <c r="U1477" s="5">
        <f>T1477-S1477</f>
        <v>8</v>
      </c>
      <c r="V1477" s="5" t="s">
        <v>94</v>
      </c>
      <c r="X1477" s="5"/>
    </row>
    <row r="1478" spans="1:24">
      <c r="A1478" s="4">
        <v>45251</v>
      </c>
      <c r="B1478" s="5" t="str">
        <f>TEXT(A1478,"mmmm")</f>
        <v>November</v>
      </c>
      <c r="C1478" s="5" t="s">
        <v>19</v>
      </c>
      <c r="D1478" s="5" t="s">
        <v>27</v>
      </c>
      <c r="E1478" s="5">
        <v>1</v>
      </c>
      <c r="F1478" s="5">
        <v>147.4</v>
      </c>
      <c r="G1478" s="6">
        <f>F1478*E1478</f>
        <v>147.4</v>
      </c>
      <c r="H1478" s="5" t="s">
        <v>81</v>
      </c>
      <c r="I1478" s="5" t="s">
        <v>62</v>
      </c>
      <c r="J1478" s="5">
        <v>0</v>
      </c>
      <c r="K1478" s="5" t="s">
        <v>78</v>
      </c>
      <c r="L1478" s="6">
        <v>147.4</v>
      </c>
      <c r="M1478" s="5" t="s">
        <v>34</v>
      </c>
      <c r="N1478" s="5" t="s">
        <v>64</v>
      </c>
      <c r="O1478" s="5">
        <v>1</v>
      </c>
      <c r="P1478" s="5" t="s">
        <v>2903</v>
      </c>
      <c r="Q1478" s="5" t="s">
        <v>1449</v>
      </c>
      <c r="R1478" s="5">
        <v>40.47</v>
      </c>
      <c r="S1478" s="4">
        <v>45251</v>
      </c>
      <c r="T1478" s="4">
        <v>45258</v>
      </c>
      <c r="U1478" s="5">
        <f>T1478-S1478</f>
        <v>7</v>
      </c>
      <c r="V1478" s="5" t="s">
        <v>76</v>
      </c>
      <c r="X1478" s="5"/>
    </row>
    <row r="1479" spans="1:24">
      <c r="A1479" s="4">
        <v>45351</v>
      </c>
      <c r="B1479" s="5" t="str">
        <f>TEXT(A1479,"mmmm")</f>
        <v>February</v>
      </c>
      <c r="C1479" s="5" t="s">
        <v>20</v>
      </c>
      <c r="D1479" s="5" t="s">
        <v>101</v>
      </c>
      <c r="E1479" s="5">
        <v>8</v>
      </c>
      <c r="F1479" s="5">
        <v>279.74</v>
      </c>
      <c r="G1479" s="6">
        <f>F1479*E1479</f>
        <v>2237.92</v>
      </c>
      <c r="H1479" s="5" t="s">
        <v>53</v>
      </c>
      <c r="I1479" s="5" t="s">
        <v>62</v>
      </c>
      <c r="J1479" s="5">
        <v>0.05</v>
      </c>
      <c r="K1479" s="5" t="s">
        <v>63</v>
      </c>
      <c r="L1479" s="6">
        <v>2126.024</v>
      </c>
      <c r="M1479" s="5" t="s">
        <v>31</v>
      </c>
      <c r="N1479" s="5" t="s">
        <v>56</v>
      </c>
      <c r="O1479" s="5">
        <v>0</v>
      </c>
      <c r="P1479" s="5" t="s">
        <v>2904</v>
      </c>
      <c r="Q1479" s="5" t="s">
        <v>1267</v>
      </c>
      <c r="R1479" s="5">
        <v>33.1</v>
      </c>
      <c r="S1479" s="4">
        <v>45351</v>
      </c>
      <c r="T1479" s="4">
        <v>45358</v>
      </c>
      <c r="U1479" s="5">
        <f>T1479-S1479</f>
        <v>7</v>
      </c>
      <c r="V1479" s="5" t="s">
        <v>94</v>
      </c>
      <c r="X1479" s="5"/>
    </row>
    <row r="1480" spans="1:24">
      <c r="A1480" s="4">
        <v>45057</v>
      </c>
      <c r="B1480" s="5" t="str">
        <f>TEXT(A1480,"mmmm")</f>
        <v>May</v>
      </c>
      <c r="C1480" s="5" t="s">
        <v>20</v>
      </c>
      <c r="D1480" s="5" t="s">
        <v>22</v>
      </c>
      <c r="E1480" s="5">
        <v>3</v>
      </c>
      <c r="F1480" s="5">
        <v>304.61</v>
      </c>
      <c r="G1480" s="6">
        <f>F1480*E1480</f>
        <v>913.83</v>
      </c>
      <c r="H1480" s="5" t="s">
        <v>53</v>
      </c>
      <c r="I1480" s="5" t="s">
        <v>54</v>
      </c>
      <c r="J1480" s="5">
        <v>0.05</v>
      </c>
      <c r="K1480" s="5" t="s">
        <v>89</v>
      </c>
      <c r="L1480" s="6">
        <v>868.1385</v>
      </c>
      <c r="M1480" s="5" t="s">
        <v>34</v>
      </c>
      <c r="N1480" s="5" t="s">
        <v>64</v>
      </c>
      <c r="O1480" s="5">
        <v>0</v>
      </c>
      <c r="P1480" s="5" t="s">
        <v>2905</v>
      </c>
      <c r="Q1480" s="5" t="s">
        <v>2906</v>
      </c>
      <c r="R1480" s="5">
        <v>47.14</v>
      </c>
      <c r="S1480" s="4">
        <v>45057</v>
      </c>
      <c r="T1480" s="4">
        <v>45061</v>
      </c>
      <c r="U1480" s="5">
        <f>T1480-S1480</f>
        <v>4</v>
      </c>
      <c r="V1480" s="5" t="s">
        <v>94</v>
      </c>
      <c r="X1480" s="5"/>
    </row>
    <row r="1481" spans="1:24">
      <c r="A1481" s="4">
        <v>45546</v>
      </c>
      <c r="B1481" s="5" t="str">
        <f>TEXT(A1481,"mmmm")</f>
        <v>September</v>
      </c>
      <c r="C1481" s="5" t="s">
        <v>17</v>
      </c>
      <c r="D1481" s="5" t="s">
        <v>101</v>
      </c>
      <c r="E1481" s="5">
        <v>9</v>
      </c>
      <c r="F1481" s="5">
        <v>238.32</v>
      </c>
      <c r="G1481" s="6">
        <f>F1481*E1481</f>
        <v>2144.88</v>
      </c>
      <c r="H1481" s="5" t="s">
        <v>77</v>
      </c>
      <c r="I1481" s="5" t="s">
        <v>62</v>
      </c>
      <c r="J1481" s="5">
        <v>0</v>
      </c>
      <c r="K1481" s="5" t="s">
        <v>82</v>
      </c>
      <c r="L1481" s="6">
        <v>2144.88</v>
      </c>
      <c r="M1481" s="5" t="s">
        <v>34</v>
      </c>
      <c r="N1481" s="5" t="s">
        <v>69</v>
      </c>
      <c r="O1481" s="5">
        <v>1</v>
      </c>
      <c r="P1481" s="5" t="s">
        <v>2907</v>
      </c>
      <c r="Q1481" s="5" t="s">
        <v>2767</v>
      </c>
      <c r="R1481" s="5">
        <v>8.5</v>
      </c>
      <c r="S1481" s="4">
        <v>45546</v>
      </c>
      <c r="T1481" s="4">
        <v>45555</v>
      </c>
      <c r="U1481" s="5">
        <f>T1481-S1481</f>
        <v>9</v>
      </c>
      <c r="V1481" s="5" t="s">
        <v>67</v>
      </c>
      <c r="X1481" s="5"/>
    </row>
    <row r="1482" spans="1:24">
      <c r="A1482" s="4">
        <v>45520</v>
      </c>
      <c r="B1482" s="5" t="str">
        <f>TEXT(A1482,"mmmm")</f>
        <v>August</v>
      </c>
      <c r="C1482" s="5" t="s">
        <v>20</v>
      </c>
      <c r="D1482" s="5" t="s">
        <v>27</v>
      </c>
      <c r="E1482" s="5">
        <v>16</v>
      </c>
      <c r="F1482" s="5">
        <v>483.37</v>
      </c>
      <c r="G1482" s="6">
        <f>F1482*E1482</f>
        <v>7733.92</v>
      </c>
      <c r="H1482" s="5" t="s">
        <v>53</v>
      </c>
      <c r="I1482" s="5" t="s">
        <v>62</v>
      </c>
      <c r="J1482" s="5">
        <v>0.1</v>
      </c>
      <c r="K1482" s="5" t="s">
        <v>63</v>
      </c>
      <c r="L1482" s="6">
        <v>6960.528</v>
      </c>
      <c r="M1482" s="5" t="s">
        <v>33</v>
      </c>
      <c r="N1482" s="5"/>
      <c r="O1482" s="5">
        <v>0</v>
      </c>
      <c r="P1482" s="5" t="s">
        <v>2908</v>
      </c>
      <c r="Q1482" s="5" t="s">
        <v>2909</v>
      </c>
      <c r="R1482" s="5">
        <v>42.52</v>
      </c>
      <c r="S1482" s="4">
        <v>45520</v>
      </c>
      <c r="T1482" s="4">
        <v>45526</v>
      </c>
      <c r="U1482" s="5">
        <f>T1482-S1482</f>
        <v>6</v>
      </c>
      <c r="V1482" s="5" t="s">
        <v>94</v>
      </c>
      <c r="X1482" s="5"/>
    </row>
    <row r="1483" spans="1:24">
      <c r="A1483" s="4">
        <v>45807</v>
      </c>
      <c r="B1483" s="5" t="str">
        <f>TEXT(A1483,"mmmm")</f>
        <v>May</v>
      </c>
      <c r="C1483" s="5" t="s">
        <v>18</v>
      </c>
      <c r="D1483" s="5" t="s">
        <v>26</v>
      </c>
      <c r="E1483" s="5">
        <v>6</v>
      </c>
      <c r="F1483" s="5">
        <v>159.53</v>
      </c>
      <c r="G1483" s="6">
        <f>F1483*E1483</f>
        <v>957.18</v>
      </c>
      <c r="H1483" s="5" t="s">
        <v>61</v>
      </c>
      <c r="I1483" s="5" t="s">
        <v>62</v>
      </c>
      <c r="J1483" s="5">
        <v>0.05</v>
      </c>
      <c r="K1483" s="5" t="s">
        <v>89</v>
      </c>
      <c r="L1483" s="6">
        <v>909.321</v>
      </c>
      <c r="M1483" s="5" t="s">
        <v>31</v>
      </c>
      <c r="N1483" s="5"/>
      <c r="O1483" s="5">
        <v>0</v>
      </c>
      <c r="P1483" s="5" t="s">
        <v>2910</v>
      </c>
      <c r="Q1483" s="5" t="s">
        <v>2911</v>
      </c>
      <c r="R1483" s="5">
        <v>48.6</v>
      </c>
      <c r="S1483" s="4">
        <v>45807</v>
      </c>
      <c r="T1483" s="4">
        <v>45815</v>
      </c>
      <c r="U1483" s="5">
        <f>T1483-S1483</f>
        <v>8</v>
      </c>
      <c r="V1483" s="5" t="s">
        <v>72</v>
      </c>
      <c r="X1483" s="5"/>
    </row>
    <row r="1484" spans="1:24">
      <c r="A1484" s="4">
        <v>45160</v>
      </c>
      <c r="B1484" s="5" t="str">
        <f>TEXT(A1484,"mmmm")</f>
        <v>August</v>
      </c>
      <c r="C1484" s="5" t="s">
        <v>16</v>
      </c>
      <c r="D1484" s="5" t="s">
        <v>24</v>
      </c>
      <c r="E1484" s="5">
        <v>19</v>
      </c>
      <c r="F1484" s="5">
        <v>280.6</v>
      </c>
      <c r="G1484" s="6">
        <f>F1484*E1484</f>
        <v>5331.4</v>
      </c>
      <c r="H1484" s="5" t="s">
        <v>61</v>
      </c>
      <c r="I1484" s="5" t="s">
        <v>54</v>
      </c>
      <c r="J1484" s="5">
        <v>0.1</v>
      </c>
      <c r="K1484" s="5" t="s">
        <v>73</v>
      </c>
      <c r="L1484" s="6">
        <v>4798.26</v>
      </c>
      <c r="M1484" s="5" t="s">
        <v>31</v>
      </c>
      <c r="N1484" s="5" t="s">
        <v>56</v>
      </c>
      <c r="O1484" s="5">
        <v>0</v>
      </c>
      <c r="P1484" s="5" t="s">
        <v>2912</v>
      </c>
      <c r="Q1484" s="5" t="s">
        <v>2913</v>
      </c>
      <c r="R1484" s="5">
        <v>35.94</v>
      </c>
      <c r="S1484" s="4">
        <v>45160</v>
      </c>
      <c r="T1484" s="4">
        <v>45166</v>
      </c>
      <c r="U1484" s="5">
        <f>T1484-S1484</f>
        <v>6</v>
      </c>
      <c r="V1484" s="5" t="s">
        <v>59</v>
      </c>
      <c r="X1484" s="5"/>
    </row>
    <row r="1485" spans="1:24">
      <c r="A1485" s="4">
        <v>45314</v>
      </c>
      <c r="B1485" s="5" t="str">
        <f>TEXT(A1485,"mmmm")</f>
        <v>January</v>
      </c>
      <c r="C1485" s="5" t="s">
        <v>16</v>
      </c>
      <c r="D1485" s="5" t="s">
        <v>101</v>
      </c>
      <c r="E1485" s="5">
        <v>2</v>
      </c>
      <c r="F1485" s="5">
        <v>389.98</v>
      </c>
      <c r="G1485" s="6">
        <f>F1485*E1485</f>
        <v>779.96</v>
      </c>
      <c r="H1485" s="5" t="s">
        <v>81</v>
      </c>
      <c r="I1485" s="5" t="s">
        <v>54</v>
      </c>
      <c r="J1485" s="5">
        <v>0.05</v>
      </c>
      <c r="K1485" s="5" t="s">
        <v>78</v>
      </c>
      <c r="L1485" s="6">
        <v>740.962</v>
      </c>
      <c r="M1485" s="5" t="s">
        <v>33</v>
      </c>
      <c r="N1485" s="5" t="s">
        <v>64</v>
      </c>
      <c r="O1485" s="5">
        <v>1</v>
      </c>
      <c r="P1485" s="5" t="s">
        <v>2914</v>
      </c>
      <c r="Q1485" s="5" t="s">
        <v>2915</v>
      </c>
      <c r="R1485" s="5">
        <v>24.55</v>
      </c>
      <c r="S1485" s="4">
        <v>45314</v>
      </c>
      <c r="T1485" s="4">
        <v>45316</v>
      </c>
      <c r="U1485" s="5">
        <f>T1485-S1485</f>
        <v>2</v>
      </c>
      <c r="V1485" s="5" t="s">
        <v>59</v>
      </c>
      <c r="X1485" s="5"/>
    </row>
    <row r="1486" spans="1:24">
      <c r="A1486" s="4">
        <v>45001</v>
      </c>
      <c r="B1486" s="5" t="str">
        <f>TEXT(A1486,"mmmm")</f>
        <v>March</v>
      </c>
      <c r="C1486" s="5" t="s">
        <v>18</v>
      </c>
      <c r="D1486" s="5" t="s">
        <v>26</v>
      </c>
      <c r="E1486" s="5">
        <v>17</v>
      </c>
      <c r="F1486" s="5">
        <v>485.3</v>
      </c>
      <c r="G1486" s="6">
        <f>F1486*E1486</f>
        <v>8250.1</v>
      </c>
      <c r="H1486" s="5" t="s">
        <v>81</v>
      </c>
      <c r="I1486" s="5" t="s">
        <v>62</v>
      </c>
      <c r="J1486" s="5">
        <v>0.15</v>
      </c>
      <c r="K1486" s="5" t="s">
        <v>82</v>
      </c>
      <c r="L1486" s="6">
        <v>7012.585</v>
      </c>
      <c r="M1486" s="5" t="s">
        <v>34</v>
      </c>
      <c r="N1486" s="5" t="s">
        <v>69</v>
      </c>
      <c r="O1486" s="5">
        <v>0</v>
      </c>
      <c r="P1486" s="5" t="s">
        <v>2916</v>
      </c>
      <c r="Q1486" s="5" t="s">
        <v>2917</v>
      </c>
      <c r="R1486" s="5">
        <v>37.94</v>
      </c>
      <c r="S1486" s="4">
        <v>45001</v>
      </c>
      <c r="T1486" s="4">
        <v>45008</v>
      </c>
      <c r="U1486" s="5">
        <f>T1486-S1486</f>
        <v>7</v>
      </c>
      <c r="V1486" s="5" t="s">
        <v>72</v>
      </c>
      <c r="X1486" s="5"/>
    </row>
    <row r="1487" spans="1:24">
      <c r="A1487" s="4">
        <v>45793</v>
      </c>
      <c r="B1487" s="5" t="str">
        <f>TEXT(A1487,"mmmm")</f>
        <v>May</v>
      </c>
      <c r="C1487" s="5" t="s">
        <v>17</v>
      </c>
      <c r="D1487" s="5" t="s">
        <v>22</v>
      </c>
      <c r="E1487" s="5">
        <v>4</v>
      </c>
      <c r="F1487" s="5">
        <v>472.24</v>
      </c>
      <c r="G1487" s="6">
        <f>F1487*E1487</f>
        <v>1888.96</v>
      </c>
      <c r="H1487" s="5" t="s">
        <v>81</v>
      </c>
      <c r="I1487" s="5" t="s">
        <v>62</v>
      </c>
      <c r="J1487" s="5">
        <v>0</v>
      </c>
      <c r="K1487" s="5" t="s">
        <v>63</v>
      </c>
      <c r="L1487" s="6">
        <v>1888.96</v>
      </c>
      <c r="M1487" s="5" t="s">
        <v>31</v>
      </c>
      <c r="N1487" s="5" t="s">
        <v>56</v>
      </c>
      <c r="O1487" s="5">
        <v>1</v>
      </c>
      <c r="P1487" s="5" t="s">
        <v>2918</v>
      </c>
      <c r="Q1487" s="5" t="s">
        <v>2919</v>
      </c>
      <c r="R1487" s="5">
        <v>6.78</v>
      </c>
      <c r="S1487" s="4">
        <v>45793</v>
      </c>
      <c r="T1487" s="4">
        <v>45798</v>
      </c>
      <c r="U1487" s="5">
        <f>T1487-S1487</f>
        <v>5</v>
      </c>
      <c r="V1487" s="5" t="s">
        <v>67</v>
      </c>
      <c r="X1487" s="5"/>
    </row>
    <row r="1488" spans="1:24">
      <c r="A1488" s="4">
        <v>45069</v>
      </c>
      <c r="B1488" s="5" t="str">
        <f>TEXT(A1488,"mmmm")</f>
        <v>May</v>
      </c>
      <c r="C1488" s="5" t="s">
        <v>16</v>
      </c>
      <c r="D1488" s="5" t="s">
        <v>26</v>
      </c>
      <c r="E1488" s="5">
        <v>8</v>
      </c>
      <c r="F1488" s="5">
        <v>143.53</v>
      </c>
      <c r="G1488" s="6">
        <f>F1488*E1488</f>
        <v>1148.24</v>
      </c>
      <c r="H1488" s="5" t="s">
        <v>81</v>
      </c>
      <c r="I1488" s="5" t="s">
        <v>54</v>
      </c>
      <c r="J1488" s="5">
        <v>0</v>
      </c>
      <c r="K1488" s="5" t="s">
        <v>63</v>
      </c>
      <c r="L1488" s="6">
        <v>1148.24</v>
      </c>
      <c r="M1488" s="5" t="s">
        <v>34</v>
      </c>
      <c r="N1488" s="5" t="s">
        <v>69</v>
      </c>
      <c r="O1488" s="5">
        <v>0</v>
      </c>
      <c r="P1488" s="5" t="s">
        <v>2920</v>
      </c>
      <c r="Q1488" s="5" t="s">
        <v>2921</v>
      </c>
      <c r="R1488" s="5">
        <v>9.1</v>
      </c>
      <c r="S1488" s="4">
        <v>45069</v>
      </c>
      <c r="T1488" s="4">
        <v>45075</v>
      </c>
      <c r="U1488" s="5">
        <f>T1488-S1488</f>
        <v>6</v>
      </c>
      <c r="V1488" s="5" t="s">
        <v>59</v>
      </c>
      <c r="X1488" s="5"/>
    </row>
    <row r="1489" spans="1:24">
      <c r="A1489" s="4">
        <v>45459</v>
      </c>
      <c r="B1489" s="5" t="str">
        <f>TEXT(A1489,"mmmm")</f>
        <v>June</v>
      </c>
      <c r="C1489" s="5" t="s">
        <v>18</v>
      </c>
      <c r="D1489" s="5" t="s">
        <v>25</v>
      </c>
      <c r="E1489" s="5">
        <v>5</v>
      </c>
      <c r="F1489" s="5">
        <v>159.92</v>
      </c>
      <c r="G1489" s="6">
        <f>F1489*E1489</f>
        <v>799.6</v>
      </c>
      <c r="H1489" s="5" t="s">
        <v>53</v>
      </c>
      <c r="I1489" s="5" t="s">
        <v>54</v>
      </c>
      <c r="J1489" s="5">
        <v>0</v>
      </c>
      <c r="K1489" s="5" t="s">
        <v>78</v>
      </c>
      <c r="L1489" s="6">
        <v>799.6</v>
      </c>
      <c r="M1489" s="5" t="s">
        <v>34</v>
      </c>
      <c r="N1489" s="5" t="s">
        <v>64</v>
      </c>
      <c r="O1489" s="5">
        <v>0</v>
      </c>
      <c r="P1489" s="5" t="s">
        <v>2922</v>
      </c>
      <c r="Q1489" s="5" t="s">
        <v>2923</v>
      </c>
      <c r="R1489" s="5">
        <v>10.86</v>
      </c>
      <c r="S1489" s="4">
        <v>45459</v>
      </c>
      <c r="T1489" s="4">
        <v>45466</v>
      </c>
      <c r="U1489" s="5">
        <f>T1489-S1489</f>
        <v>7</v>
      </c>
      <c r="V1489" s="5" t="s">
        <v>72</v>
      </c>
      <c r="X1489" s="5"/>
    </row>
    <row r="1490" spans="1:24">
      <c r="A1490" s="4">
        <v>45685</v>
      </c>
      <c r="B1490" s="5" t="str">
        <f>TEXT(A1490,"mmmm")</f>
        <v>January</v>
      </c>
      <c r="C1490" s="5" t="s">
        <v>19</v>
      </c>
      <c r="D1490" s="5" t="s">
        <v>26</v>
      </c>
      <c r="E1490" s="5">
        <v>13</v>
      </c>
      <c r="F1490" s="5">
        <v>447.34</v>
      </c>
      <c r="G1490" s="6">
        <f>F1490*E1490</f>
        <v>5815.42</v>
      </c>
      <c r="H1490" s="5" t="s">
        <v>61</v>
      </c>
      <c r="I1490" s="5" t="s">
        <v>54</v>
      </c>
      <c r="J1490" s="5">
        <v>0.05</v>
      </c>
      <c r="K1490" s="5" t="s">
        <v>73</v>
      </c>
      <c r="L1490" s="6">
        <v>5524.649</v>
      </c>
      <c r="M1490" s="5" t="s">
        <v>34</v>
      </c>
      <c r="N1490" s="5" t="s">
        <v>64</v>
      </c>
      <c r="O1490" s="5">
        <v>0</v>
      </c>
      <c r="P1490" s="5" t="s">
        <v>2924</v>
      </c>
      <c r="Q1490" s="5" t="s">
        <v>2925</v>
      </c>
      <c r="R1490" s="5">
        <v>38.93</v>
      </c>
      <c r="S1490" s="4">
        <v>45685</v>
      </c>
      <c r="T1490" s="4">
        <v>45692</v>
      </c>
      <c r="U1490" s="5">
        <f>T1490-S1490</f>
        <v>7</v>
      </c>
      <c r="V1490" s="5" t="s">
        <v>76</v>
      </c>
      <c r="X1490" s="5"/>
    </row>
    <row r="1491" spans="1:24">
      <c r="A1491" s="4">
        <v>45623</v>
      </c>
      <c r="B1491" s="5" t="str">
        <f>TEXT(A1491,"mmmm")</f>
        <v>November</v>
      </c>
      <c r="C1491" s="5" t="s">
        <v>17</v>
      </c>
      <c r="D1491" s="5" t="s">
        <v>23</v>
      </c>
      <c r="E1491" s="5">
        <v>13</v>
      </c>
      <c r="F1491" s="5">
        <v>196.8</v>
      </c>
      <c r="G1491" s="6">
        <f>F1491*E1491</f>
        <v>2558.4</v>
      </c>
      <c r="H1491" s="5" t="s">
        <v>53</v>
      </c>
      <c r="I1491" s="5" t="s">
        <v>62</v>
      </c>
      <c r="J1491" s="5">
        <v>0.1</v>
      </c>
      <c r="K1491" s="5" t="s">
        <v>82</v>
      </c>
      <c r="L1491" s="6">
        <v>2302.56</v>
      </c>
      <c r="M1491" s="5" t="s">
        <v>34</v>
      </c>
      <c r="N1491" s="5"/>
      <c r="O1491" s="5">
        <v>0</v>
      </c>
      <c r="P1491" s="5" t="s">
        <v>2926</v>
      </c>
      <c r="Q1491" s="5" t="s">
        <v>2927</v>
      </c>
      <c r="R1491" s="5">
        <v>10.12</v>
      </c>
      <c r="S1491" s="4">
        <v>45623</v>
      </c>
      <c r="T1491" s="4">
        <v>45633</v>
      </c>
      <c r="U1491" s="5">
        <f>T1491-S1491</f>
        <v>10</v>
      </c>
      <c r="V1491" s="5" t="s">
        <v>67</v>
      </c>
      <c r="X1491" s="5"/>
    </row>
    <row r="1492" spans="1:24">
      <c r="A1492" s="4">
        <v>45208</v>
      </c>
      <c r="B1492" s="5" t="str">
        <f>TEXT(A1492,"mmmm")</f>
        <v>October</v>
      </c>
      <c r="C1492" s="5" t="s">
        <v>19</v>
      </c>
      <c r="D1492" s="5" t="s">
        <v>25</v>
      </c>
      <c r="E1492" s="5">
        <v>3</v>
      </c>
      <c r="F1492" s="5">
        <v>485.81</v>
      </c>
      <c r="G1492" s="6">
        <f>F1492*E1492</f>
        <v>1457.43</v>
      </c>
      <c r="H1492" s="5" t="s">
        <v>61</v>
      </c>
      <c r="I1492" s="5" t="s">
        <v>54</v>
      </c>
      <c r="J1492" s="5">
        <v>0.1</v>
      </c>
      <c r="K1492" s="5" t="s">
        <v>55</v>
      </c>
      <c r="L1492" s="6">
        <v>1311.687</v>
      </c>
      <c r="M1492" s="5" t="s">
        <v>33</v>
      </c>
      <c r="N1492" s="5" t="s">
        <v>64</v>
      </c>
      <c r="O1492" s="5">
        <v>0</v>
      </c>
      <c r="P1492" s="5" t="s">
        <v>2928</v>
      </c>
      <c r="Q1492" s="5" t="s">
        <v>2929</v>
      </c>
      <c r="R1492" s="5">
        <v>19.46</v>
      </c>
      <c r="S1492" s="4">
        <v>45208</v>
      </c>
      <c r="T1492" s="4">
        <v>45210</v>
      </c>
      <c r="U1492" s="5">
        <f>T1492-S1492</f>
        <v>2</v>
      </c>
      <c r="V1492" s="5" t="s">
        <v>76</v>
      </c>
      <c r="X1492" s="5"/>
    </row>
    <row r="1493" spans="1:24">
      <c r="A1493" s="4">
        <v>45494</v>
      </c>
      <c r="B1493" s="5" t="str">
        <f>TEXT(A1493,"mmmm")</f>
        <v>July</v>
      </c>
      <c r="C1493" s="5" t="s">
        <v>20</v>
      </c>
      <c r="D1493" s="5" t="s">
        <v>23</v>
      </c>
      <c r="E1493" s="5">
        <v>16</v>
      </c>
      <c r="F1493" s="5">
        <v>183.62</v>
      </c>
      <c r="G1493" s="6">
        <f>F1493*E1493</f>
        <v>2937.92</v>
      </c>
      <c r="H1493" s="5" t="s">
        <v>61</v>
      </c>
      <c r="I1493" s="5" t="s">
        <v>54</v>
      </c>
      <c r="J1493" s="5">
        <v>0.05</v>
      </c>
      <c r="K1493" s="5" t="s">
        <v>89</v>
      </c>
      <c r="L1493" s="6">
        <v>2791.024</v>
      </c>
      <c r="M1493" s="5" t="s">
        <v>31</v>
      </c>
      <c r="N1493" s="5" t="s">
        <v>69</v>
      </c>
      <c r="O1493" s="5">
        <v>0</v>
      </c>
      <c r="P1493" s="5" t="s">
        <v>2930</v>
      </c>
      <c r="Q1493" s="5" t="s">
        <v>2931</v>
      </c>
      <c r="R1493" s="5">
        <v>6.56</v>
      </c>
      <c r="S1493" s="4">
        <v>45494</v>
      </c>
      <c r="T1493" s="4">
        <v>45504</v>
      </c>
      <c r="U1493" s="5">
        <f>T1493-S1493</f>
        <v>10</v>
      </c>
      <c r="V1493" s="5" t="s">
        <v>94</v>
      </c>
      <c r="X1493" s="5"/>
    </row>
    <row r="1494" spans="1:24">
      <c r="A1494" s="4">
        <v>45476</v>
      </c>
      <c r="B1494" s="5" t="str">
        <f>TEXT(A1494,"mmmm")</f>
        <v>July</v>
      </c>
      <c r="C1494" s="5" t="s">
        <v>16</v>
      </c>
      <c r="D1494" s="5" t="s">
        <v>26</v>
      </c>
      <c r="E1494" s="5">
        <v>2</v>
      </c>
      <c r="F1494" s="5">
        <v>373.07</v>
      </c>
      <c r="G1494" s="6">
        <f>F1494*E1494</f>
        <v>746.14</v>
      </c>
      <c r="H1494" s="5" t="s">
        <v>61</v>
      </c>
      <c r="I1494" s="5" t="s">
        <v>62</v>
      </c>
      <c r="J1494" s="5">
        <v>0.05</v>
      </c>
      <c r="K1494" s="5" t="s">
        <v>82</v>
      </c>
      <c r="L1494" s="6">
        <v>708.833</v>
      </c>
      <c r="M1494" s="5" t="s">
        <v>32</v>
      </c>
      <c r="N1494" s="5" t="s">
        <v>56</v>
      </c>
      <c r="O1494" s="5">
        <v>0</v>
      </c>
      <c r="P1494" s="5" t="s">
        <v>2932</v>
      </c>
      <c r="Q1494" s="5" t="s">
        <v>2933</v>
      </c>
      <c r="R1494" s="5">
        <v>26.9</v>
      </c>
      <c r="S1494" s="4">
        <v>45476</v>
      </c>
      <c r="T1494" s="4">
        <v>45480</v>
      </c>
      <c r="U1494" s="5">
        <f>T1494-S1494</f>
        <v>4</v>
      </c>
      <c r="V1494" s="5" t="s">
        <v>59</v>
      </c>
      <c r="X1494" s="5"/>
    </row>
    <row r="1495" spans="1:24">
      <c r="A1495" s="4">
        <v>45559</v>
      </c>
      <c r="B1495" s="5" t="str">
        <f>TEXT(A1495,"mmmm")</f>
        <v>September</v>
      </c>
      <c r="C1495" s="5" t="s">
        <v>20</v>
      </c>
      <c r="D1495" s="5" t="s">
        <v>26</v>
      </c>
      <c r="E1495" s="5">
        <v>17</v>
      </c>
      <c r="F1495" s="5">
        <v>527.68</v>
      </c>
      <c r="G1495" s="6">
        <f>F1495*E1495</f>
        <v>8970.56</v>
      </c>
      <c r="H1495" s="5" t="s">
        <v>53</v>
      </c>
      <c r="I1495" s="5" t="s">
        <v>54</v>
      </c>
      <c r="J1495" s="5">
        <v>0</v>
      </c>
      <c r="K1495" s="5" t="s">
        <v>82</v>
      </c>
      <c r="L1495" s="6">
        <v>8970.56</v>
      </c>
      <c r="M1495" s="5" t="s">
        <v>31</v>
      </c>
      <c r="N1495" s="5" t="s">
        <v>56</v>
      </c>
      <c r="O1495" s="5">
        <v>0</v>
      </c>
      <c r="P1495" s="5" t="s">
        <v>2934</v>
      </c>
      <c r="Q1495" s="5" t="s">
        <v>2935</v>
      </c>
      <c r="R1495" s="5">
        <v>29.19</v>
      </c>
      <c r="S1495" s="4">
        <v>45559</v>
      </c>
      <c r="T1495" s="4">
        <v>45567</v>
      </c>
      <c r="U1495" s="5">
        <f>T1495-S1495</f>
        <v>8</v>
      </c>
      <c r="V1495" s="5" t="s">
        <v>94</v>
      </c>
      <c r="X1495" s="5"/>
    </row>
    <row r="1496" spans="1:24">
      <c r="A1496" s="4">
        <v>45671</v>
      </c>
      <c r="B1496" s="5" t="str">
        <f>TEXT(A1496,"mmmm")</f>
        <v>January</v>
      </c>
      <c r="C1496" s="5" t="s">
        <v>16</v>
      </c>
      <c r="D1496" s="5" t="s">
        <v>101</v>
      </c>
      <c r="E1496" s="5">
        <v>5</v>
      </c>
      <c r="F1496" s="5">
        <v>201.29</v>
      </c>
      <c r="G1496" s="6">
        <f>F1496*E1496</f>
        <v>1006.45</v>
      </c>
      <c r="H1496" s="5" t="s">
        <v>81</v>
      </c>
      <c r="I1496" s="5" t="s">
        <v>54</v>
      </c>
      <c r="J1496" s="5">
        <v>0</v>
      </c>
      <c r="K1496" s="5" t="s">
        <v>78</v>
      </c>
      <c r="L1496" s="6">
        <v>1006.45</v>
      </c>
      <c r="M1496" s="5" t="s">
        <v>30</v>
      </c>
      <c r="N1496" s="5" t="s">
        <v>56</v>
      </c>
      <c r="O1496" s="5">
        <v>0</v>
      </c>
      <c r="P1496" s="5" t="s">
        <v>2936</v>
      </c>
      <c r="Q1496" s="5" t="s">
        <v>2937</v>
      </c>
      <c r="R1496" s="5">
        <v>49.13</v>
      </c>
      <c r="S1496" s="4">
        <v>45671</v>
      </c>
      <c r="T1496" s="4">
        <v>45678</v>
      </c>
      <c r="U1496" s="5">
        <f>T1496-S1496</f>
        <v>7</v>
      </c>
      <c r="V1496" s="5" t="s">
        <v>59</v>
      </c>
      <c r="X1496" s="5"/>
    </row>
    <row r="1497" spans="1:24">
      <c r="A1497" s="4">
        <v>45705</v>
      </c>
      <c r="B1497" s="5" t="str">
        <f>TEXT(A1497,"mmmm")</f>
        <v>February</v>
      </c>
      <c r="C1497" s="5" t="s">
        <v>20</v>
      </c>
      <c r="D1497" s="5" t="s">
        <v>24</v>
      </c>
      <c r="E1497" s="5">
        <v>13</v>
      </c>
      <c r="F1497" s="5">
        <v>134.56</v>
      </c>
      <c r="G1497" s="6">
        <f>F1497*E1497</f>
        <v>1749.28</v>
      </c>
      <c r="H1497" s="5" t="s">
        <v>81</v>
      </c>
      <c r="I1497" s="5" t="s">
        <v>62</v>
      </c>
      <c r="J1497" s="5">
        <v>0.05</v>
      </c>
      <c r="K1497" s="5" t="s">
        <v>78</v>
      </c>
      <c r="L1497" s="6">
        <v>1661.816</v>
      </c>
      <c r="M1497" s="5" t="s">
        <v>32</v>
      </c>
      <c r="N1497" s="5" t="s">
        <v>69</v>
      </c>
      <c r="O1497" s="5">
        <v>0</v>
      </c>
      <c r="P1497" s="5" t="s">
        <v>2938</v>
      </c>
      <c r="Q1497" s="5" t="s">
        <v>2939</v>
      </c>
      <c r="R1497" s="5">
        <v>35.63</v>
      </c>
      <c r="S1497" s="4">
        <v>45705</v>
      </c>
      <c r="T1497" s="4">
        <v>45710</v>
      </c>
      <c r="U1497" s="5">
        <f>T1497-S1497</f>
        <v>5</v>
      </c>
      <c r="V1497" s="5" t="s">
        <v>94</v>
      </c>
      <c r="X1497" s="5"/>
    </row>
    <row r="1498" spans="1:24">
      <c r="A1498" s="4">
        <v>45302</v>
      </c>
      <c r="B1498" s="5" t="str">
        <f>TEXT(A1498,"mmmm")</f>
        <v>January</v>
      </c>
      <c r="C1498" s="5" t="s">
        <v>17</v>
      </c>
      <c r="D1498" s="5" t="s">
        <v>25</v>
      </c>
      <c r="E1498" s="5">
        <v>18</v>
      </c>
      <c r="F1498" s="5">
        <v>209.75</v>
      </c>
      <c r="G1498" s="6">
        <f>F1498*E1498</f>
        <v>3775.5</v>
      </c>
      <c r="H1498" s="5" t="s">
        <v>77</v>
      </c>
      <c r="I1498" s="5" t="s">
        <v>54</v>
      </c>
      <c r="J1498" s="5">
        <v>0.15</v>
      </c>
      <c r="K1498" s="5" t="s">
        <v>73</v>
      </c>
      <c r="L1498" s="6">
        <v>3209.175</v>
      </c>
      <c r="M1498" s="5" t="s">
        <v>33</v>
      </c>
      <c r="N1498" s="5" t="s">
        <v>56</v>
      </c>
      <c r="O1498" s="5">
        <v>0</v>
      </c>
      <c r="P1498" s="5" t="s">
        <v>2940</v>
      </c>
      <c r="Q1498" s="5" t="s">
        <v>2941</v>
      </c>
      <c r="R1498" s="5">
        <v>45.93</v>
      </c>
      <c r="S1498" s="4">
        <v>45302</v>
      </c>
      <c r="T1498" s="4">
        <v>45308</v>
      </c>
      <c r="U1498" s="5">
        <f>T1498-S1498</f>
        <v>6</v>
      </c>
      <c r="V1498" s="5" t="s">
        <v>67</v>
      </c>
      <c r="X1498" s="5"/>
    </row>
    <row r="1499" spans="1:24">
      <c r="A1499" s="4">
        <v>45500</v>
      </c>
      <c r="B1499" s="5" t="str">
        <f>TEXT(A1499,"mmmm")</f>
        <v>July</v>
      </c>
      <c r="C1499" s="5" t="s">
        <v>16</v>
      </c>
      <c r="D1499" s="5" t="s">
        <v>24</v>
      </c>
      <c r="E1499" s="5">
        <v>1</v>
      </c>
      <c r="F1499" s="5">
        <v>272.5</v>
      </c>
      <c r="G1499" s="6">
        <f>F1499*E1499</f>
        <v>272.5</v>
      </c>
      <c r="H1499" s="5" t="s">
        <v>61</v>
      </c>
      <c r="I1499" s="5" t="s">
        <v>54</v>
      </c>
      <c r="J1499" s="5">
        <v>0</v>
      </c>
      <c r="K1499" s="5" t="s">
        <v>55</v>
      </c>
      <c r="L1499" s="6">
        <v>272.5</v>
      </c>
      <c r="M1499" s="5" t="s">
        <v>31</v>
      </c>
      <c r="N1499" s="5" t="s">
        <v>69</v>
      </c>
      <c r="O1499" s="5">
        <v>0</v>
      </c>
      <c r="P1499" s="5" t="s">
        <v>2942</v>
      </c>
      <c r="Q1499" s="5" t="s">
        <v>2943</v>
      </c>
      <c r="R1499" s="5">
        <v>35.56</v>
      </c>
      <c r="S1499" s="4">
        <v>45500</v>
      </c>
      <c r="T1499" s="4">
        <v>45507</v>
      </c>
      <c r="U1499" s="5">
        <f>T1499-S1499</f>
        <v>7</v>
      </c>
      <c r="V1499" s="5" t="s">
        <v>59</v>
      </c>
      <c r="X1499" s="5"/>
    </row>
    <row r="1500" spans="1:24">
      <c r="A1500" s="4">
        <v>45629</v>
      </c>
      <c r="B1500" s="5" t="str">
        <f>TEXT(A1500,"mmmm")</f>
        <v>December</v>
      </c>
      <c r="C1500" s="5" t="s">
        <v>19</v>
      </c>
      <c r="D1500" s="5" t="s">
        <v>26</v>
      </c>
      <c r="E1500" s="5">
        <v>14</v>
      </c>
      <c r="F1500" s="5">
        <v>262.67</v>
      </c>
      <c r="G1500" s="6">
        <f>F1500*E1500</f>
        <v>3677.38</v>
      </c>
      <c r="H1500" s="5" t="s">
        <v>61</v>
      </c>
      <c r="I1500" s="5" t="s">
        <v>62</v>
      </c>
      <c r="J1500" s="5">
        <v>0.05</v>
      </c>
      <c r="K1500" s="5" t="s">
        <v>78</v>
      </c>
      <c r="L1500" s="6">
        <v>3493.511</v>
      </c>
      <c r="M1500" s="5" t="s">
        <v>31</v>
      </c>
      <c r="N1500" s="5" t="s">
        <v>64</v>
      </c>
      <c r="O1500" s="5">
        <v>0</v>
      </c>
      <c r="P1500" s="5" t="s">
        <v>2944</v>
      </c>
      <c r="Q1500" s="5" t="s">
        <v>2945</v>
      </c>
      <c r="R1500" s="5">
        <v>24.53</v>
      </c>
      <c r="S1500" s="4">
        <v>45629</v>
      </c>
      <c r="T1500" s="4">
        <v>45636</v>
      </c>
      <c r="U1500" s="5">
        <f>T1500-S1500</f>
        <v>7</v>
      </c>
      <c r="V1500" s="5" t="s">
        <v>76</v>
      </c>
      <c r="X1500" s="5"/>
    </row>
    <row r="1501" spans="1:24">
      <c r="A1501" s="4">
        <v>45786</v>
      </c>
      <c r="B1501" s="5" t="str">
        <f>TEXT(A1501,"mmmm")</f>
        <v>May</v>
      </c>
      <c r="C1501" s="5" t="s">
        <v>20</v>
      </c>
      <c r="D1501" s="5" t="s">
        <v>25</v>
      </c>
      <c r="E1501" s="5">
        <v>13</v>
      </c>
      <c r="F1501" s="5">
        <v>221.39</v>
      </c>
      <c r="G1501" s="6">
        <f>F1501*E1501</f>
        <v>2878.07</v>
      </c>
      <c r="H1501" s="5" t="s">
        <v>81</v>
      </c>
      <c r="I1501" s="5" t="s">
        <v>54</v>
      </c>
      <c r="J1501" s="5">
        <v>0</v>
      </c>
      <c r="K1501" s="5" t="s">
        <v>73</v>
      </c>
      <c r="L1501" s="6">
        <v>2878.07</v>
      </c>
      <c r="M1501" s="5" t="s">
        <v>33</v>
      </c>
      <c r="N1501" s="5" t="s">
        <v>56</v>
      </c>
      <c r="O1501" s="5">
        <v>1</v>
      </c>
      <c r="P1501" s="5" t="s">
        <v>2946</v>
      </c>
      <c r="Q1501" s="5" t="s">
        <v>1417</v>
      </c>
      <c r="R1501" s="5">
        <v>21.05</v>
      </c>
      <c r="S1501" s="4">
        <v>45786</v>
      </c>
      <c r="T1501" s="4">
        <v>45790</v>
      </c>
      <c r="U1501" s="5">
        <f>T1501-S1501</f>
        <v>4</v>
      </c>
      <c r="V1501" s="5" t="s">
        <v>94</v>
      </c>
      <c r="X1501" s="5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67" zoomScaleNormal="67" workbookViewId="0">
      <selection activeCell="W21" sqref="W21"/>
    </sheetView>
  </sheetViews>
  <sheetFormatPr defaultColWidth="8.72727272727273" defaultRowHeight="14.5"/>
  <sheetData/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Sheet9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P Bhagat</cp:lastModifiedBy>
  <dcterms:created xsi:type="dcterms:W3CDTF">2025-06-21T13:19:00Z</dcterms:created>
  <dcterms:modified xsi:type="dcterms:W3CDTF">2025-11-11T08:22:14Z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F3C574B7262C47098FE5A53B5B31301B_12</vt:lpwstr>
  </property>
  <property fmtid="{D5CDD505-2E9C-101B-9397-08002B2CF9AE}" pid="3" name="KSOProductBuildVer">
    <vt:lpwstr>1033-12.2.0.23155</vt:lpwstr>
  </property>
</Properties>
</file>